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C:\Users\mr__h\Downloads\Nueva carpeta (2)\"/>
    </mc:Choice>
  </mc:AlternateContent>
  <xr:revisionPtr revIDLastSave="0" documentId="13_ncr:1_{40F02B69-FB17-4BAE-ACC1-03A160621422}" xr6:coauthVersionLast="45" xr6:coauthVersionMax="45" xr10:uidLastSave="{00000000-0000-0000-0000-000000000000}"/>
  <bookViews>
    <workbookView xWindow="-120" yWindow="-120" windowWidth="20730" windowHeight="11160" xr2:uid="{00000000-000D-0000-FFFF-FFFF00000000}"/>
  </bookViews>
  <sheets>
    <sheet name="Certificado" sheetId="1" r:id="rId1"/>
  </sheets>
  <functionGroups builtInGroupCount="19"/>
  <definedNames>
    <definedName name="_xlnm.Print_Area" localSheetId="0">Certificado!$A$1:$N$112</definedName>
  </definedNames>
  <calcPr calcId="181029"/>
  <fileRecoveryPr repairLoad="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49" i="1" l="1"/>
  <c r="E70" i="1" l="1"/>
  <c r="G70" i="1" l="1"/>
  <c r="L69" i="1"/>
  <c r="E69" i="1"/>
  <c r="G69" i="1" l="1"/>
  <c r="G62" i="1" l="1"/>
  <c r="G63" i="1"/>
  <c r="G64" i="1"/>
  <c r="G65" i="1"/>
  <c r="H65" i="1"/>
  <c r="I64" i="1"/>
  <c r="I65" i="1"/>
  <c r="H64" i="1"/>
  <c r="H63" i="1"/>
  <c r="H62" i="1"/>
  <c r="I62" i="1"/>
  <c r="I63" i="1"/>
  <c r="H58" i="1" l="1"/>
  <c r="H57" i="1"/>
  <c r="I58" i="1"/>
  <c r="I57" i="1"/>
  <c r="K58" i="1"/>
  <c r="K57" i="1"/>
  <c r="D62" i="1"/>
  <c r="D63" i="1"/>
  <c r="E63" i="1"/>
  <c r="E62" i="1"/>
  <c r="G58" i="1"/>
  <c r="G57" i="1"/>
  <c r="G60" i="1"/>
  <c r="G59" i="1"/>
  <c r="H60" i="1"/>
  <c r="H59" i="1"/>
  <c r="I60" i="1"/>
  <c r="I59" i="1"/>
  <c r="K60" i="1"/>
  <c r="K59" i="1"/>
  <c r="D64" i="1"/>
  <c r="D65" i="1"/>
  <c r="E65" i="1"/>
  <c r="E64" i="1"/>
  <c r="D57" i="1" l="1"/>
  <c r="D58" i="1"/>
  <c r="E58" i="1"/>
  <c r="E57" i="1"/>
  <c r="D60" i="1"/>
  <c r="D59" i="1"/>
  <c r="E60" i="1"/>
  <c r="E59" i="1"/>
</calcChain>
</file>

<file path=xl/sharedStrings.xml><?xml version="1.0" encoding="utf-8"?>
<sst xmlns="http://schemas.openxmlformats.org/spreadsheetml/2006/main" count="128" uniqueCount="110">
  <si>
    <t xml:space="preserve">Objeto: </t>
  </si>
  <si>
    <t>Object:</t>
  </si>
  <si>
    <t>Exactitud:</t>
  </si>
  <si>
    <t>Accuracy:</t>
  </si>
  <si>
    <t>Resolución:</t>
  </si>
  <si>
    <t>Graduation:</t>
  </si>
  <si>
    <t>Modelo:</t>
  </si>
  <si>
    <t>Model:</t>
  </si>
  <si>
    <t>Intervalo Nominal:</t>
  </si>
  <si>
    <t>Nominal Interval:</t>
  </si>
  <si>
    <t>Procedimiento de Calibración:</t>
  </si>
  <si>
    <t>Calibration Procedure:</t>
  </si>
  <si>
    <t>Método Empleado:</t>
  </si>
  <si>
    <t>Instrumento Patrón:</t>
  </si>
  <si>
    <t>Test Instrument:</t>
  </si>
  <si>
    <t>Siguiente Calibración:</t>
  </si>
  <si>
    <t>Next Calibration:</t>
  </si>
  <si>
    <t>Fecha de Emisión:</t>
  </si>
  <si>
    <t>Date of Issue:</t>
  </si>
  <si>
    <t>Autorizó la Calibración:</t>
  </si>
  <si>
    <t>Authorized Calibration:</t>
  </si>
  <si>
    <t>• Av. Colinas del Cimatario No 381,  Col. Colinas del Cimatario, Querétaro, Qro., C. P. 76090
• Tel: (442) 2480250 • Fax: (442) 2481503 • e-mail: info@kalibrix.com.mx</t>
  </si>
  <si>
    <t>Measuring Method:</t>
  </si>
  <si>
    <t>Nº de Certificado:
Certificate N°:</t>
  </si>
  <si>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</si>
  <si>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</si>
  <si>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t>Planitud</t>
  </si>
  <si>
    <t xml:space="preserve">Paralelismo entre caras de medición </t>
  </si>
  <si>
    <t>pulg.</t>
  </si>
  <si>
    <r>
      <rPr>
        <b/>
        <i/>
        <sz val="11"/>
        <color theme="1"/>
        <rFont val="Calibri"/>
        <family val="2"/>
      </rPr>
      <t>µ</t>
    </r>
    <r>
      <rPr>
        <b/>
        <i/>
        <sz val="9.9"/>
        <color theme="1"/>
        <rFont val="Aharoni"/>
        <charset val="177"/>
      </rPr>
      <t>m</t>
    </r>
  </si>
  <si>
    <t>Fuerza de medición (N).</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</si>
  <si>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</si>
  <si>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</si>
  <si>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t>Fabricante:</t>
  </si>
  <si>
    <t>Manufacturer:</t>
  </si>
  <si>
    <r>
      <rPr>
        <b/>
        <sz val="28"/>
        <color theme="1"/>
        <rFont val="Arial"/>
        <family val="2"/>
      </rPr>
      <t>C</t>
    </r>
    <r>
      <rPr>
        <b/>
        <sz val="5"/>
        <color theme="0"/>
        <rFont val="Arial"/>
        <family val="2"/>
      </rPr>
      <t>0</t>
    </r>
    <r>
      <rPr>
        <b/>
        <sz val="28"/>
        <color theme="1"/>
        <rFont val="Arial"/>
        <family val="2"/>
      </rPr>
      <t>E</t>
    </r>
    <r>
      <rPr>
        <b/>
        <sz val="5"/>
        <color theme="0"/>
        <rFont val="Arial"/>
        <family val="2"/>
      </rPr>
      <t>0</t>
    </r>
    <r>
      <rPr>
        <b/>
        <sz val="28"/>
        <color theme="1"/>
        <rFont val="Arial"/>
        <family val="2"/>
      </rPr>
      <t>R</t>
    </r>
    <r>
      <rPr>
        <b/>
        <sz val="5"/>
        <color theme="0"/>
        <rFont val="Arial"/>
        <family val="2"/>
      </rPr>
      <t>0</t>
    </r>
    <r>
      <rPr>
        <b/>
        <sz val="28"/>
        <color theme="1"/>
        <rFont val="Arial"/>
        <family val="2"/>
      </rPr>
      <t>T</t>
    </r>
    <r>
      <rPr>
        <b/>
        <sz val="5"/>
        <color theme="0"/>
        <rFont val="Arial"/>
        <family val="2"/>
      </rPr>
      <t>0</t>
    </r>
    <r>
      <rPr>
        <b/>
        <sz val="28"/>
        <color theme="1"/>
        <rFont val="Arial"/>
        <family val="2"/>
      </rPr>
      <t>I</t>
    </r>
    <r>
      <rPr>
        <b/>
        <sz val="5"/>
        <color theme="0"/>
        <rFont val="Arial"/>
        <family val="2"/>
      </rPr>
      <t>0</t>
    </r>
    <r>
      <rPr>
        <b/>
        <sz val="28"/>
        <color theme="1"/>
        <rFont val="Arial"/>
        <family val="2"/>
      </rPr>
      <t>F</t>
    </r>
    <r>
      <rPr>
        <b/>
        <sz val="5"/>
        <color theme="0"/>
        <rFont val="Arial"/>
        <family val="2"/>
      </rPr>
      <t>0</t>
    </r>
    <r>
      <rPr>
        <b/>
        <sz val="28"/>
        <color theme="1"/>
        <rFont val="Arial"/>
        <family val="2"/>
      </rPr>
      <t>I</t>
    </r>
    <r>
      <rPr>
        <b/>
        <sz val="5"/>
        <color theme="0"/>
        <rFont val="Arial"/>
        <family val="2"/>
      </rPr>
      <t>0</t>
    </r>
    <r>
      <rPr>
        <b/>
        <sz val="28"/>
        <color theme="1"/>
        <rFont val="Arial"/>
        <family val="2"/>
      </rPr>
      <t>C</t>
    </r>
    <r>
      <rPr>
        <b/>
        <sz val="5"/>
        <color theme="0"/>
        <rFont val="Arial"/>
        <family val="2"/>
      </rPr>
      <t>0</t>
    </r>
    <r>
      <rPr>
        <b/>
        <sz val="28"/>
        <color theme="1"/>
        <rFont val="Arial"/>
        <family val="2"/>
      </rPr>
      <t>A</t>
    </r>
    <r>
      <rPr>
        <b/>
        <sz val="5"/>
        <color theme="0"/>
        <rFont val="Arial"/>
        <family val="2"/>
      </rPr>
      <t>0</t>
    </r>
    <r>
      <rPr>
        <b/>
        <sz val="28"/>
        <color theme="1"/>
        <rFont val="Arial"/>
        <family val="2"/>
      </rPr>
      <t>D</t>
    </r>
    <r>
      <rPr>
        <b/>
        <sz val="5"/>
        <color theme="0"/>
        <rFont val="Arial"/>
        <family val="2"/>
      </rPr>
      <t>0</t>
    </r>
    <r>
      <rPr>
        <b/>
        <sz val="28"/>
        <color theme="1"/>
        <rFont val="Arial"/>
        <family val="2"/>
      </rPr>
      <t>O</t>
    </r>
    <r>
      <rPr>
        <b/>
        <sz val="5"/>
        <color theme="0"/>
        <rFont val="Arial"/>
        <family val="2"/>
      </rPr>
      <t>0 0</t>
    </r>
    <r>
      <rPr>
        <b/>
        <sz val="28"/>
        <color theme="1"/>
        <rFont val="Arial"/>
        <family val="2"/>
      </rPr>
      <t>D</t>
    </r>
    <r>
      <rPr>
        <b/>
        <sz val="5"/>
        <color theme="0"/>
        <rFont val="Arial"/>
        <family val="2"/>
      </rPr>
      <t>0</t>
    </r>
    <r>
      <rPr>
        <b/>
        <sz val="28"/>
        <color theme="1"/>
        <rFont val="Arial"/>
        <family val="2"/>
      </rPr>
      <t>E</t>
    </r>
    <r>
      <rPr>
        <b/>
        <sz val="5"/>
        <color theme="0"/>
        <rFont val="Arial"/>
        <family val="2"/>
      </rPr>
      <t>0</t>
    </r>
    <r>
      <rPr>
        <b/>
        <sz val="29"/>
        <color theme="1"/>
        <rFont val="Arial"/>
        <family val="2"/>
      </rPr>
      <t xml:space="preserve"> </t>
    </r>
    <r>
      <rPr>
        <b/>
        <sz val="28"/>
        <color theme="1"/>
        <rFont val="Arial"/>
        <family val="2"/>
      </rPr>
      <t>C</t>
    </r>
    <r>
      <rPr>
        <b/>
        <sz val="5"/>
        <color theme="0"/>
        <rFont val="Arial"/>
        <family val="2"/>
      </rPr>
      <t>0</t>
    </r>
    <r>
      <rPr>
        <b/>
        <sz val="28"/>
        <color theme="1"/>
        <rFont val="Arial"/>
        <family val="2"/>
      </rPr>
      <t>A</t>
    </r>
    <r>
      <rPr>
        <b/>
        <sz val="5"/>
        <color theme="0"/>
        <rFont val="Arial"/>
        <family val="2"/>
      </rPr>
      <t>0</t>
    </r>
    <r>
      <rPr>
        <b/>
        <sz val="28"/>
        <color theme="1"/>
        <rFont val="Arial"/>
        <family val="2"/>
      </rPr>
      <t>L</t>
    </r>
    <r>
      <rPr>
        <b/>
        <sz val="5"/>
        <color theme="0"/>
        <rFont val="Arial"/>
        <family val="2"/>
      </rPr>
      <t>0</t>
    </r>
    <r>
      <rPr>
        <b/>
        <sz val="28"/>
        <color theme="1"/>
        <rFont val="Arial"/>
        <family val="2"/>
      </rPr>
      <t>I</t>
    </r>
    <r>
      <rPr>
        <b/>
        <sz val="5"/>
        <color theme="0"/>
        <rFont val="Arial"/>
        <family val="2"/>
      </rPr>
      <t>0</t>
    </r>
    <r>
      <rPr>
        <b/>
        <sz val="28"/>
        <color theme="1"/>
        <rFont val="Arial"/>
        <family val="2"/>
      </rPr>
      <t>B</t>
    </r>
    <r>
      <rPr>
        <b/>
        <sz val="5"/>
        <color theme="0"/>
        <rFont val="Arial"/>
        <family val="2"/>
      </rPr>
      <t>0</t>
    </r>
    <r>
      <rPr>
        <b/>
        <sz val="28"/>
        <color theme="1"/>
        <rFont val="Arial"/>
        <family val="2"/>
      </rPr>
      <t>R</t>
    </r>
    <r>
      <rPr>
        <b/>
        <sz val="5"/>
        <color theme="0"/>
        <rFont val="Arial"/>
        <family val="2"/>
      </rPr>
      <t>0</t>
    </r>
    <r>
      <rPr>
        <b/>
        <sz val="28"/>
        <color theme="1"/>
        <rFont val="Arial"/>
        <family val="2"/>
      </rPr>
      <t>A</t>
    </r>
    <r>
      <rPr>
        <b/>
        <sz val="5"/>
        <color theme="0"/>
        <rFont val="Arial"/>
        <family val="2"/>
      </rPr>
      <t>0</t>
    </r>
    <r>
      <rPr>
        <b/>
        <sz val="28"/>
        <color theme="1"/>
        <rFont val="Arial"/>
        <family val="2"/>
      </rPr>
      <t>C</t>
    </r>
    <r>
      <rPr>
        <b/>
        <sz val="5"/>
        <color theme="0"/>
        <rFont val="Arial"/>
        <family val="2"/>
      </rPr>
      <t>0</t>
    </r>
    <r>
      <rPr>
        <b/>
        <sz val="28"/>
        <color theme="1"/>
        <rFont val="Arial"/>
        <family val="2"/>
      </rPr>
      <t>I</t>
    </r>
    <r>
      <rPr>
        <b/>
        <sz val="5"/>
        <color theme="0"/>
        <rFont val="Arial"/>
        <family val="2"/>
      </rPr>
      <t>0</t>
    </r>
    <r>
      <rPr>
        <b/>
        <sz val="28"/>
        <color theme="1"/>
        <rFont val="Arial"/>
        <family val="2"/>
      </rPr>
      <t>Ó</t>
    </r>
    <r>
      <rPr>
        <b/>
        <sz val="5"/>
        <color theme="0"/>
        <rFont val="Arial"/>
        <family val="2"/>
      </rPr>
      <t>0</t>
    </r>
    <r>
      <rPr>
        <b/>
        <sz val="28"/>
        <color theme="1"/>
        <rFont val="Arial"/>
        <family val="2"/>
      </rPr>
      <t>N</t>
    </r>
    <r>
      <rPr>
        <b/>
        <sz val="29"/>
        <color theme="1"/>
        <rFont val="Arial"/>
        <family val="2"/>
      </rPr>
      <t xml:space="preserve">                                
</t>
    </r>
    <r>
      <rPr>
        <b/>
        <i/>
        <sz val="17.5"/>
        <color theme="1"/>
        <rFont val="Arial"/>
        <family val="2"/>
      </rPr>
      <t/>
    </r>
  </si>
  <si>
    <t xml:space="preserve">    C A L I B R A T I O N   C E R T I F I C A T E</t>
  </si>
  <si>
    <t>Ing. Magdalena Lugo</t>
  </si>
  <si>
    <t>Ing. Alberto Mendoza</t>
  </si>
  <si>
    <t>Trazabilidad Metrológica a (patrón primario):</t>
  </si>
  <si>
    <t>Metrologic Traceability to (primary master):</t>
  </si>
  <si>
    <t>N° de Serie</t>
  </si>
  <si>
    <t>Serial Number:</t>
  </si>
  <si>
    <t>Nº Identificación:</t>
  </si>
  <si>
    <t>Id N°:</t>
  </si>
  <si>
    <t>Pág 1 de 2</t>
  </si>
  <si>
    <t>Pág 2 de 2</t>
  </si>
  <si>
    <t>Calibrador Multiprocesos Martel DMC-1400; KAL805</t>
  </si>
  <si>
    <t>2 años</t>
  </si>
  <si>
    <t>Certificado CANHEFERN CNFR-AE-53529-01 (Patrones Nacionales CENAM)</t>
  </si>
  <si>
    <t>P5.4.1.60</t>
  </si>
  <si>
    <t>·</t>
  </si>
  <si>
    <t>GARDCO</t>
  </si>
  <si>
    <t>Copa de Viscosidad</t>
  </si>
  <si>
    <t>Estándar de Viscosidad 100 cP,  ID KAL-VIS-001</t>
  </si>
  <si>
    <t>2020-07</t>
  </si>
  <si>
    <t>F5.10 Certificado de Calibración (Versión 9)</t>
  </si>
  <si>
    <t>Realizó la Calibración:</t>
  </si>
  <si>
    <t>Did the Calibration:</t>
  </si>
  <si>
    <t>Fecha de Recepción:</t>
  </si>
  <si>
    <t>Date of Reception:</t>
  </si>
  <si>
    <t>Fecha de Calibración</t>
  </si>
  <si>
    <t>Date of Calibration</t>
  </si>
  <si>
    <t>Sello y Firma Eléctronica</t>
  </si>
  <si>
    <t>Seal and Electronic Signing</t>
  </si>
  <si>
    <r>
      <t>Cliente:</t>
    </r>
    <r>
      <rPr>
        <i/>
        <sz val="13"/>
        <color rgb="FF002060"/>
        <rFont val="Arial"/>
        <family val="2"/>
      </rPr>
      <t xml:space="preserve">
Customer:</t>
    </r>
  </si>
  <si>
    <r>
      <t>Dirección y Teléfono:</t>
    </r>
    <r>
      <rPr>
        <sz val="13"/>
        <color rgb="FF002060"/>
        <rFont val="Arial"/>
        <family val="2"/>
      </rPr>
      <t xml:space="preserve">
</t>
    </r>
    <r>
      <rPr>
        <i/>
        <sz val="13"/>
        <color rgb="FF002060"/>
        <rFont val="Arial"/>
        <family val="2"/>
      </rPr>
      <t>Address and Phone:</t>
    </r>
  </si>
  <si>
    <r>
      <t xml:space="preserve">Información General / </t>
    </r>
    <r>
      <rPr>
        <i/>
        <sz val="18"/>
        <color rgb="FF002060"/>
        <rFont val="Arial"/>
        <family val="2"/>
      </rPr>
      <t>General Information</t>
    </r>
  </si>
  <si>
    <r>
      <t xml:space="preserve">Información de Objeto / </t>
    </r>
    <r>
      <rPr>
        <i/>
        <sz val="18"/>
        <color rgb="FF002060"/>
        <rFont val="Arial"/>
        <family val="2"/>
      </rPr>
      <t>Object Information</t>
    </r>
  </si>
  <si>
    <t>Reference Standard:</t>
  </si>
  <si>
    <t>Norma de Referencia:</t>
  </si>
  <si>
    <t>ISO 2431</t>
  </si>
  <si>
    <t>Comparación Directa</t>
  </si>
  <si>
    <t>No. De Certificado de Calibración:</t>
  </si>
  <si>
    <t>Calibration certificate number:</t>
  </si>
  <si>
    <t>No. de lote 121117</t>
  </si>
  <si>
    <t>Patrón extranjero  en NIST</t>
  </si>
  <si>
    <r>
      <t xml:space="preserve">Método de Prueba / </t>
    </r>
    <r>
      <rPr>
        <i/>
        <sz val="18"/>
        <color theme="8" tint="-0.499984740745262"/>
        <rFont val="Arial"/>
        <family val="2"/>
      </rPr>
      <t>Testing method</t>
    </r>
  </si>
  <si>
    <r>
      <t>Patrón de Referencia /</t>
    </r>
    <r>
      <rPr>
        <i/>
        <sz val="18"/>
        <color theme="8" tint="-0.499984740745262"/>
        <rFont val="Arial"/>
        <family val="2"/>
      </rPr>
      <t xml:space="preserve"> Reference Master</t>
    </r>
  </si>
  <si>
    <r>
      <t xml:space="preserve">Nº de Certificado:
</t>
    </r>
    <r>
      <rPr>
        <i/>
        <sz val="14"/>
        <color theme="8" tint="-0.499984740745262"/>
        <rFont val="Arial"/>
        <family val="2"/>
      </rPr>
      <t>Certificate N°:</t>
    </r>
  </si>
  <si>
    <r>
      <t xml:space="preserve">Resultados Previos / </t>
    </r>
    <r>
      <rPr>
        <i/>
        <sz val="16"/>
        <color theme="8" tint="-0.499984740745262"/>
        <rFont val="Arial"/>
        <family val="2"/>
      </rPr>
      <t>Previous Results</t>
    </r>
  </si>
  <si>
    <r>
      <t xml:space="preserve">Resultados de Calibración / </t>
    </r>
    <r>
      <rPr>
        <i/>
        <sz val="16"/>
        <color theme="8" tint="-0.499984740745262"/>
        <rFont val="Arial"/>
        <family val="2"/>
      </rPr>
      <t>Calibration Results</t>
    </r>
  </si>
  <si>
    <r>
      <t xml:space="preserve">Observaciones / </t>
    </r>
    <r>
      <rPr>
        <sz val="16"/>
        <color theme="8" tint="-0.499984740745262"/>
        <rFont val="Arial"/>
        <family val="2"/>
      </rPr>
      <t>Observations</t>
    </r>
  </si>
  <si>
    <r>
      <rPr>
        <sz val="15"/>
        <color theme="8" tint="-0.499984740745262"/>
        <rFont val="Arial"/>
        <family val="2"/>
      </rPr>
      <t>Temperatura de Calibración:</t>
    </r>
    <r>
      <rPr>
        <i/>
        <sz val="13"/>
        <color theme="8" tint="-0.499984740745262"/>
        <rFont val="Arial"/>
        <family val="2"/>
      </rPr>
      <t xml:space="preserve">
Temperature of Calibration:</t>
    </r>
  </si>
  <si>
    <r>
      <rPr>
        <sz val="15"/>
        <color theme="8" tint="-0.499984740745262"/>
        <rFont val="Arial"/>
        <family val="2"/>
      </rPr>
      <t>Humedad relativa:</t>
    </r>
    <r>
      <rPr>
        <i/>
        <sz val="13"/>
        <color theme="8" tint="-0.499984740745262"/>
        <rFont val="Arial"/>
        <family val="2"/>
      </rPr>
      <t xml:space="preserve">
Relative Humidity:</t>
    </r>
  </si>
  <si>
    <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2"/>
        <color theme="8" tint="-0.499984740745262"/>
        <rFont val="Arial"/>
        <family val="2"/>
      </rPr>
      <t xml:space="preserve">
The uncertainty of the measurement is reported for the measured values with a factor K = 2 (confidence factor of approximately 95%). Uncertainty is not considered when considering compliance with specifications. It is the client's responsibility to determine the acceptance of the calibrated element for use in the scope of measurement reported.</t>
    </r>
  </si>
  <si>
    <r>
      <t xml:space="preserve">La incertidumbre de medición fue estimada de acuerdo a la norma NMX-CH-140-IMNC 2002 Guía para la expresión de la incertidumbre en las mediciones, equivalente al documento JCGM 100:2008 (GUM 1995 with minor corrections)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</si>
  <si>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t>La Siguiente Calibración a solicitud del cliente es:</t>
    </r>
    <r>
      <rPr>
        <sz val="12"/>
        <color theme="8" tint="-0.499984740745262"/>
        <rFont val="Arial"/>
        <family val="2"/>
      </rPr>
      <t xml:space="preserve">
The next calibration at the client´s request is: </t>
    </r>
  </si>
  <si>
    <r>
      <t>Servicio de calibración con acreditación:</t>
    </r>
    <r>
      <rPr>
        <sz val="12"/>
        <color theme="8" tint="-0.499984740745262"/>
        <rFont val="Arial"/>
        <family val="2"/>
      </rPr>
      <t xml:space="preserve">
Calibration Service with accreditation:</t>
    </r>
  </si>
  <si>
    <r>
      <t>No, Solo trazabilidad a patrones nacionales / internacionales</t>
    </r>
    <r>
      <rPr>
        <i/>
        <sz val="12"/>
        <color theme="8" tint="-0.499984740745262"/>
        <rFont val="Arial"/>
        <family val="2"/>
      </rPr>
      <t xml:space="preserve">
No, Only traceability to national / international standards</t>
    </r>
  </si>
  <si>
    <r>
      <t>El servicio fue realizado en instalaciones del cliente:</t>
    </r>
    <r>
      <rPr>
        <i/>
        <sz val="12"/>
        <color theme="8" tint="-0.499984740745262"/>
        <rFont val="Arial"/>
        <family val="2"/>
      </rPr>
      <t xml:space="preserve">
The service was performed  in customer facilities:</t>
    </r>
  </si>
  <si>
    <t xml:space="preserve">NO </t>
  </si>
  <si>
    <r>
      <t>El instrumento se encuentra dentro de especificaciones de acuerdo a la norma ISO 2431 standard.</t>
    </r>
    <r>
      <rPr>
        <i/>
        <sz val="12"/>
        <color theme="8" tint="-0.499984740745262"/>
        <rFont val="Arial"/>
        <family val="2"/>
      </rPr>
      <t xml:space="preserve">
The instrument is considered approved acording to ISO 2431</t>
    </r>
  </si>
  <si>
    <r>
      <t xml:space="preserve">Condiciones Ambientales / </t>
    </r>
    <r>
      <rPr>
        <sz val="16"/>
        <color theme="8" tint="-0.499984740745262"/>
        <rFont val="Arial"/>
        <family val="2"/>
      </rPr>
      <t>E</t>
    </r>
    <r>
      <rPr>
        <i/>
        <sz val="16"/>
        <color theme="8" tint="-0.499984740745262"/>
        <rFont val="Arial"/>
        <family val="2"/>
      </rPr>
      <t>nvironmental Conditions</t>
    </r>
  </si>
  <si>
    <t>KBX1906-0001</t>
  </si>
  <si>
    <r>
      <t xml:space="preserve">Temperatura durante la prueba: </t>
    </r>
    <r>
      <rPr>
        <i/>
        <sz val="14"/>
        <color theme="4" tint="-0.499984740745262"/>
        <rFont val="Arial"/>
        <family val="2"/>
      </rPr>
      <t>25 ºC (Temperature during the test: 25 ºC)</t>
    </r>
  </si>
  <si>
    <r>
      <t xml:space="preserve">Valor de Instrumento de Medida (s)
</t>
    </r>
    <r>
      <rPr>
        <b/>
        <i/>
        <sz val="14"/>
        <color theme="4" tint="-0.499984740745262"/>
        <rFont val="Arial"/>
        <family val="2"/>
      </rPr>
      <t>Value of the measuring instrument (s)</t>
    </r>
  </si>
  <si>
    <r>
      <t>Error de medida (s)</t>
    </r>
    <r>
      <rPr>
        <b/>
        <i/>
        <sz val="14"/>
        <color theme="4" tint="-0.499984740745262"/>
        <rFont val="Arial"/>
        <family val="2"/>
      </rPr>
      <t xml:space="preserve">
Error (s)</t>
    </r>
  </si>
  <si>
    <r>
      <t>Incertidumbre de medida (±</t>
    </r>
    <r>
      <rPr>
        <b/>
        <sz val="16"/>
        <color theme="4" tint="-0.499984740745262"/>
        <rFont val="Calibri"/>
        <family val="2"/>
      </rPr>
      <t xml:space="preserve"> </t>
    </r>
    <r>
      <rPr>
        <b/>
        <sz val="16"/>
        <color theme="4" tint="-0.499984740745262"/>
        <rFont val="Arial"/>
        <family val="2"/>
      </rPr>
      <t>s</t>
    </r>
    <r>
      <rPr>
        <b/>
        <sz val="16"/>
        <color theme="4" tint="-0.499984740745262"/>
        <rFont val="Calibri"/>
        <family val="2"/>
      </rPr>
      <t>)</t>
    </r>
    <r>
      <rPr>
        <b/>
        <i/>
        <sz val="14"/>
        <color theme="4" tint="-0.499984740745262"/>
        <rFont val="Arial"/>
        <family val="2"/>
      </rPr>
      <t xml:space="preserve">
Uncertainity (± s)</t>
    </r>
  </si>
  <si>
    <r>
      <t xml:space="preserve">Error máximo permitido (± s)
</t>
    </r>
    <r>
      <rPr>
        <b/>
        <i/>
        <sz val="14"/>
        <color theme="4" tint="-0.499984740745262"/>
        <rFont val="Arial"/>
        <family val="2"/>
      </rPr>
      <t>Tolerance (± s)</t>
    </r>
  </si>
  <si>
    <t>Kalibrixcal S.A. de C.V.</t>
  </si>
  <si>
    <t>Av. Colinas del Cimatario No. 381, Fracc. Colinas del Cimatario, Queretaro, Qro., C.P. 76090, Tel. 442 2480250</t>
  </si>
  <si>
    <t>A2548</t>
  </si>
  <si>
    <t>KAL-215</t>
  </si>
  <si>
    <t>± 10%</t>
  </si>
  <si>
    <t>No Aplica</t>
  </si>
  <si>
    <t>ZAHN 2</t>
  </si>
  <si>
    <t>25.2 ºC</t>
  </si>
  <si>
    <t>35.2 % H.R.</t>
  </si>
  <si>
    <r>
      <t xml:space="preserve">Valor de referencia (s)
</t>
    </r>
    <r>
      <rPr>
        <b/>
        <i/>
        <sz val="14"/>
        <color theme="4" tint="-0.499984740745262"/>
        <rFont val="Arial"/>
        <family val="2"/>
      </rPr>
      <t>Reference Value (s)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</si>
</sst>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C0A]mmmm\-yy;@"/>
    <numFmt numFmtId="166" formatCode="0.000"/>
    <numFmt numFmtId="167" formatCode="0.0000"/>
    <numFmt numFmtId="168" formatCode="yyyy\-mm\-dd;@"/>
    <numFmt numFmtId="169" formatCode="[h]\°mm\'ss\'\'"/>
    <numFmt numFmtId="170" formatCode="yyyy\-mm\-dd"/>
  </numFmts>
  <fonts count="78" x14ac:knownFonts="1">
    <font>
      <sz val="11"/>
      <color theme="1"/>
      <name val="Calibri"/>
      <family val="2"/>
      <scheme val="minor"/>
    </font>
    <font>
      <sz val="10"/>
      <color theme="1"/>
      <name val="Times New Roman"/>
      <family val="1"/>
    </font>
    <font>
      <sz val="8"/>
      <color theme="1"/>
      <name val="Arial"/>
      <family val="2"/>
    </font>
    <font>
      <b/>
      <sz val="14"/>
      <color theme="1"/>
      <name val="Arial"/>
      <family val="2"/>
    </font>
    <font>
      <b/>
      <sz val="9"/>
      <color theme="1"/>
      <name val="Arial"/>
      <family val="2"/>
    </font>
    <font>
      <i/>
      <sz val="8"/>
      <color theme="1"/>
      <name val="Arial"/>
      <family val="2"/>
    </font>
    <font>
      <sz val="9"/>
      <color theme="1"/>
      <name val="Arial"/>
      <family val="2"/>
    </font>
    <font>
      <sz val="7"/>
      <color theme="1"/>
      <name val="Arial"/>
      <family val="2"/>
    </font>
    <font>
      <b/>
      <sz val="10"/>
      <color theme="1"/>
      <name val="Arial"/>
      <family val="2"/>
    </font>
    <font>
      <sz val="12"/>
      <color theme="1"/>
      <name val="Times New Roman"/>
      <family val="1"/>
    </font>
    <font>
      <sz val="8"/>
      <color theme="1"/>
      <name val="Times New Roman"/>
      <family val="1"/>
    </font>
    <font>
      <i/>
      <sz val="9"/>
      <color theme="1"/>
      <name val="Arial"/>
      <family val="2"/>
    </font>
    <font>
      <b/>
      <i/>
      <sz val="10"/>
      <color theme="1"/>
      <name val="Arial"/>
      <family val="2"/>
    </font>
    <font>
      <b/>
      <i/>
      <sz val="9"/>
      <color theme="1"/>
      <name val="Arial"/>
      <family val="2"/>
    </font>
    <font>
      <b/>
      <sz val="11"/>
      <color theme="1"/>
      <name val="Calibri"/>
      <family val="2"/>
      <scheme val="minor"/>
    </font>
    <font>
      <b/>
      <sz val="11"/>
      <color theme="1"/>
      <name val="Aharoni"/>
      <charset val="177"/>
    </font>
    <font>
      <b/>
      <i/>
      <sz val="11"/>
      <color theme="1"/>
      <name val="Calibri"/>
      <family val="2"/>
      <scheme val="minor"/>
    </font>
    <font>
      <b/>
      <i/>
      <sz val="11"/>
      <color theme="1"/>
      <name val="Aharoni"/>
      <charset val="177"/>
    </font>
    <font>
      <b/>
      <i/>
      <sz val="10"/>
      <color theme="1"/>
      <name val="Calibri"/>
      <family val="2"/>
      <scheme val="minor"/>
    </font>
    <font>
      <b/>
      <i/>
      <sz val="11"/>
      <color theme="1"/>
      <name val="Calibri"/>
      <family val="2"/>
    </font>
    <font>
      <b/>
      <i/>
      <sz val="9.9"/>
      <color theme="1"/>
      <name val="Aharoni"/>
      <charset val="177"/>
    </font>
    <font>
      <i/>
      <sz val="10"/>
      <color theme="1"/>
      <name val="Arial"/>
      <family val="2"/>
    </font>
    <font>
      <i/>
      <sz val="9"/>
      <color theme="1"/>
      <name val="Courier New"/>
      <family val="3"/>
    </font>
    <font>
      <sz val="11"/>
      <color theme="1"/>
      <name val="Courier New"/>
      <family val="3"/>
    </font>
    <font>
      <sz val="10"/>
      <name val="Arial"/>
      <family val="2"/>
    </font>
    <font>
      <sz val="14"/>
      <color theme="1"/>
      <name val="Arial"/>
      <family val="2"/>
    </font>
    <font>
      <i/>
      <sz val="13"/>
      <color theme="1"/>
      <name val="Arial"/>
      <family val="2"/>
    </font>
    <font>
      <sz val="13"/>
      <color theme="1"/>
      <name val="Calibri"/>
      <family val="2"/>
      <scheme val="minor"/>
    </font>
    <font>
      <sz val="10"/>
      <color theme="1"/>
      <name val="Calibri"/>
      <family val="2"/>
      <scheme val="minor"/>
    </font>
    <font>
      <sz val="14"/>
      <color theme="1"/>
      <name val="Calibri"/>
      <family val="2"/>
      <scheme val="minor"/>
    </font>
    <font>
      <sz val="14"/>
      <color theme="1"/>
      <name val="Times New Roman"/>
      <family val="1"/>
    </font>
    <font>
      <sz val="14"/>
      <name val="Arial"/>
      <family val="2"/>
    </font>
    <font>
      <sz val="16"/>
      <color theme="1"/>
      <name val="Arial"/>
      <family val="2"/>
    </font>
    <font>
      <sz val="11"/>
      <color theme="1"/>
      <name val="Arial"/>
      <family val="2"/>
    </font>
    <font>
      <b/>
      <sz val="29"/>
      <color theme="1"/>
      <name val="Arial"/>
      <family val="2"/>
    </font>
    <font>
      <b/>
      <sz val="28"/>
      <color theme="1"/>
      <name val="Arial"/>
      <family val="2"/>
    </font>
    <font>
      <b/>
      <sz val="5"/>
      <color theme="0"/>
      <name val="Arial"/>
      <family val="2"/>
    </font>
    <font>
      <b/>
      <i/>
      <sz val="17.5"/>
      <color theme="1"/>
      <name val="Arial"/>
      <family val="2"/>
    </font>
    <font>
      <i/>
      <sz val="19"/>
      <color theme="1"/>
      <name val="Arial"/>
      <family val="2"/>
    </font>
    <font>
      <b/>
      <sz val="18"/>
      <color theme="1"/>
      <name val="Arial"/>
      <family val="2"/>
    </font>
    <font>
      <sz val="16.5"/>
      <color theme="1"/>
      <name val="Times New Roman"/>
      <family val="1"/>
    </font>
    <font>
      <b/>
      <sz val="16"/>
      <color theme="1"/>
      <name val="Arial"/>
      <family val="2"/>
    </font>
    <font>
      <b/>
      <sz val="16"/>
      <color rgb="FF333333"/>
      <name val="Arial"/>
      <family val="2"/>
    </font>
    <font>
      <sz val="16"/>
      <color theme="1"/>
      <name val="Calibri"/>
      <family val="2"/>
      <scheme val="minor"/>
    </font>
    <font>
      <sz val="13"/>
      <color theme="1"/>
      <name val="Times New Roman"/>
      <family val="1"/>
    </font>
    <font>
      <sz val="11"/>
      <color rgb="FF000000"/>
      <name val="Calibri"/>
      <family val="2"/>
    </font>
    <font>
      <sz val="50"/>
      <color theme="1"/>
      <name val="Arial"/>
      <family val="2"/>
    </font>
    <font>
      <sz val="18"/>
      <color theme="1"/>
      <name val="Arial"/>
      <family val="2"/>
    </font>
    <font>
      <b/>
      <sz val="18"/>
      <color theme="1"/>
      <name val="Calibri"/>
      <family val="2"/>
    </font>
    <font>
      <sz val="15"/>
      <color rgb="FF002060"/>
      <name val="Arial"/>
      <family val="2"/>
    </font>
    <font>
      <i/>
      <sz val="13"/>
      <color rgb="FF002060"/>
      <name val="Arial"/>
      <family val="2"/>
    </font>
    <font>
      <sz val="16.5"/>
      <color rgb="FF002060"/>
      <name val="Arial"/>
      <family val="2"/>
    </font>
    <font>
      <sz val="13"/>
      <color rgb="FF002060"/>
      <name val="Arial"/>
      <family val="2"/>
    </font>
    <font>
      <b/>
      <sz val="18"/>
      <color rgb="FF002060"/>
      <name val="Arial"/>
      <family val="2"/>
    </font>
    <font>
      <i/>
      <sz val="18"/>
      <color rgb="FF002060"/>
      <name val="Arial"/>
      <family val="2"/>
    </font>
    <font>
      <b/>
      <sz val="15"/>
      <color theme="1"/>
      <name val="Arial"/>
      <family val="2"/>
    </font>
    <font>
      <sz val="13"/>
      <name val="Arial"/>
      <family val="2"/>
    </font>
    <font>
      <i/>
      <sz val="19"/>
      <color theme="8" tint="-0.249977111117893"/>
      <name val="Arial"/>
      <family val="2"/>
    </font>
    <font>
      <sz val="15"/>
      <color theme="8" tint="-0.499984740745262"/>
      <name val="Arial"/>
      <family val="2"/>
    </font>
    <font>
      <i/>
      <sz val="13"/>
      <color theme="8" tint="-0.499984740745262"/>
      <name val="Arial"/>
      <family val="2"/>
    </font>
    <font>
      <b/>
      <sz val="18"/>
      <color theme="8" tint="-0.499984740745262"/>
      <name val="Arial"/>
      <family val="2"/>
    </font>
    <font>
      <i/>
      <sz val="18"/>
      <color theme="8" tint="-0.499984740745262"/>
      <name val="Arial"/>
      <family val="2"/>
    </font>
    <font>
      <sz val="14"/>
      <color theme="8" tint="-0.499984740745262"/>
      <name val="Arial"/>
      <family val="2"/>
    </font>
    <font>
      <i/>
      <sz val="14"/>
      <color theme="8" tint="-0.499984740745262"/>
      <name val="Arial"/>
      <family val="2"/>
    </font>
    <font>
      <b/>
      <sz val="14"/>
      <color theme="8" tint="-0.499984740745262"/>
      <name val="Arial"/>
      <family val="2"/>
    </font>
    <font>
      <b/>
      <sz val="16"/>
      <color theme="8" tint="-0.499984740745262"/>
      <name val="Arial"/>
      <family val="2"/>
    </font>
    <font>
      <i/>
      <sz val="16"/>
      <color theme="8" tint="-0.499984740745262"/>
      <name val="Arial"/>
      <family val="2"/>
    </font>
    <font>
      <i/>
      <sz val="12"/>
      <color theme="8" tint="-0.499984740745262"/>
      <name val="Arial"/>
      <family val="2"/>
    </font>
    <font>
      <sz val="16"/>
      <color theme="8" tint="-0.499984740745262"/>
      <name val="Arial"/>
      <family val="2"/>
    </font>
    <font>
      <sz val="11"/>
      <color theme="8" tint="-0.499984740745262"/>
      <name val="Calibri"/>
      <family val="2"/>
      <scheme val="minor"/>
    </font>
    <font>
      <sz val="12"/>
      <color theme="8" tint="-0.499984740745262"/>
      <name val="Arial"/>
      <family val="2"/>
    </font>
    <font>
      <sz val="12"/>
      <color theme="4" tint="-0.499984740745262"/>
      <name val="Arial"/>
      <family val="2"/>
    </font>
    <font>
      <b/>
      <sz val="16"/>
      <color theme="4" tint="-0.499984740745262"/>
      <name val="Arial"/>
      <family val="2"/>
    </font>
    <font>
      <i/>
      <sz val="14"/>
      <color theme="4" tint="-0.499984740745262"/>
      <name val="Arial"/>
      <family val="2"/>
    </font>
    <font>
      <b/>
      <i/>
      <sz val="14"/>
      <color theme="4" tint="-0.499984740745262"/>
      <name val="Arial"/>
      <family val="2"/>
    </font>
    <font>
      <b/>
      <sz val="16"/>
      <color theme="4" tint="-0.499984740745262"/>
      <name val="Calibri"/>
      <family val="2"/>
    </font>
    <font>
      <sz val="16"/>
      <color theme="4" tint="-0.499984740745262"/>
      <name val="Arial"/>
      <family val="2"/>
    </font>
    <font>
      <b/>
      <sz val="16"/>
      <name val="Arial"/>
      <family val="2"/>
    </font>
  </fonts>
  <fills count="4">
    <fill>
      <patternFill patternType="none"/>
    </fill>
    <fill>
      <patternFill patternType="gray125"/>
    </fill>
    <fill>
      <patternFill patternType="solid">
        <fgColor rgb="FFD5EAFF"/>
        <bgColor indexed="64"/>
      </patternFill>
    </fill>
    <fill>
      <patternFill patternType="solid">
        <fgColor theme="0"/>
        <bgColor indexed="64"/>
      </patternFill>
    </fill>
  </fills>
  <borders count="72">
    <border>
      <left/>
      <right/>
      <top/>
      <bottom/>
      <diagonal/>
    </border>
    <border>
      <left/>
      <right/>
      <top/>
      <bottom style="medium">
        <color auto="1"/>
      </bottom>
      <diagonal/>
    </border>
    <border>
      <left/>
      <right/>
      <top style="thin">
        <color indexed="64"/>
      </top>
      <bottom/>
      <diagonal/>
    </border>
    <border>
      <left/>
      <right/>
      <top style="medium">
        <color auto="1"/>
      </top>
      <bottom/>
      <diagonal/>
    </border>
    <border>
      <left style="medium">
        <color indexed="64"/>
      </left>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style="double">
        <color indexed="64"/>
      </top>
      <bottom style="double">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diagonal/>
    </border>
    <border>
      <left/>
      <right/>
      <top/>
      <bottom style="medium">
        <color rgb="FF0070C0"/>
      </bottom>
      <diagonal/>
    </border>
    <border>
      <left/>
      <right/>
      <top/>
      <bottom style="double">
        <color rgb="FF0070C0"/>
      </bottom>
      <diagonal/>
    </border>
    <border>
      <left/>
      <right/>
      <top style="thin">
        <color theme="0" tint="-0.499984740745262"/>
      </top>
      <bottom style="double">
        <color rgb="FF0070C0"/>
      </bottom>
      <diagonal/>
    </border>
    <border>
      <left style="medium">
        <color rgb="FF0070C0"/>
      </left>
      <right style="medium">
        <color rgb="FF0070C0"/>
      </right>
      <top style="medium">
        <color rgb="FF0070C0"/>
      </top>
      <bottom style="medium">
        <color rgb="FF0070C0"/>
      </bottom>
      <diagonal/>
    </border>
    <border>
      <left style="medium">
        <color rgb="FF0070C0"/>
      </left>
      <right style="medium">
        <color rgb="FF0070C0"/>
      </right>
      <top/>
      <bottom/>
      <diagonal/>
    </border>
    <border>
      <left style="medium">
        <color rgb="FF0070C0"/>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style="medium">
        <color rgb="FF0070C0"/>
      </right>
      <top/>
      <bottom/>
      <diagonal/>
    </border>
    <border>
      <left style="medium">
        <color rgb="FF0070C0"/>
      </left>
      <right/>
      <top/>
      <bottom style="medium">
        <color rgb="FF0070C0"/>
      </bottom>
      <diagonal/>
    </border>
    <border>
      <left/>
      <right style="medium">
        <color rgb="FF0070C0"/>
      </right>
      <top/>
      <bottom style="medium">
        <color rgb="FF0070C0"/>
      </bottom>
      <diagonal/>
    </border>
    <border>
      <left/>
      <right/>
      <top style="medium">
        <color rgb="FF0070C0"/>
      </top>
      <bottom/>
      <diagonal/>
    </border>
    <border>
      <left style="double">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rgb="FF0070C0"/>
      </top>
      <bottom/>
      <diagonal/>
    </border>
    <border>
      <left/>
      <right/>
      <top style="double">
        <color indexed="64"/>
      </top>
      <bottom style="double">
        <color indexed="64"/>
      </bottom>
      <diagonal/>
    </border>
    <border>
      <left style="thin">
        <color rgb="FF0070C0"/>
      </left>
      <right/>
      <top/>
      <bottom style="thin">
        <color rgb="FF0070C0"/>
      </bottom>
      <diagonal/>
    </border>
    <border>
      <left/>
      <right/>
      <top/>
      <bottom style="thin">
        <color rgb="FF0070C0"/>
      </bottom>
      <diagonal/>
    </border>
    <border>
      <left/>
      <right style="thin">
        <color rgb="FF0070C0"/>
      </right>
      <top/>
      <bottom style="thin">
        <color rgb="FF0070C0"/>
      </bottom>
      <diagonal/>
    </border>
    <border>
      <left/>
      <right style="thin">
        <color rgb="FF0070C0"/>
      </right>
      <top style="thin">
        <color rgb="FF0070C0"/>
      </top>
      <bottom style="thin">
        <color rgb="FF0070C0"/>
      </bottom>
      <diagonal/>
    </border>
    <border>
      <left/>
      <right style="thin">
        <color rgb="FF0070C0"/>
      </right>
      <top style="medium">
        <color rgb="FF0070C0"/>
      </top>
      <bottom/>
      <diagonal/>
    </border>
    <border>
      <left/>
      <right style="thin">
        <color rgb="FF0070C0"/>
      </right>
      <top/>
      <bottom style="medium">
        <color rgb="FF0070C0"/>
      </bottom>
      <diagonal/>
    </border>
    <border>
      <left/>
      <right/>
      <top style="medium">
        <color rgb="FF0070C0"/>
      </top>
      <bottom style="double">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style="medium">
        <color rgb="FF0070C0"/>
      </left>
      <right/>
      <top/>
      <bottom style="thin">
        <color rgb="FF0070C0"/>
      </bottom>
      <diagonal/>
    </border>
    <border>
      <left style="thin">
        <color rgb="FF0070C0"/>
      </left>
      <right/>
      <top style="medium">
        <color rgb="FF0070C0"/>
      </top>
      <bottom/>
      <diagonal/>
    </border>
    <border>
      <left style="medium">
        <color rgb="FF0070C0"/>
      </left>
      <right/>
      <top style="thin">
        <color rgb="FF0070C0"/>
      </top>
      <bottom style="thin">
        <color rgb="FF0070C0"/>
      </bottom>
      <diagonal/>
    </border>
    <border>
      <left/>
      <right style="medium">
        <color rgb="FF0070C0"/>
      </right>
      <top style="thin">
        <color rgb="FF0070C0"/>
      </top>
      <bottom style="thin">
        <color rgb="FF0070C0"/>
      </bottom>
      <diagonal/>
    </border>
    <border>
      <left style="medium">
        <color rgb="FF0070C0"/>
      </left>
      <right/>
      <top style="thin">
        <color rgb="FF0070C0"/>
      </top>
      <bottom style="medium">
        <color rgb="FF0070C0"/>
      </bottom>
      <diagonal/>
    </border>
    <border>
      <left/>
      <right/>
      <top style="thin">
        <color rgb="FF0070C0"/>
      </top>
      <bottom style="medium">
        <color rgb="FF0070C0"/>
      </bottom>
      <diagonal/>
    </border>
    <border>
      <left style="thin">
        <color rgb="FF0070C0"/>
      </left>
      <right/>
      <top style="thin">
        <color rgb="FF0070C0"/>
      </top>
      <bottom style="medium">
        <color rgb="FF0070C0"/>
      </bottom>
      <diagonal/>
    </border>
    <border>
      <left/>
      <right style="medium">
        <color rgb="FF0070C0"/>
      </right>
      <top style="thin">
        <color rgb="FF0070C0"/>
      </top>
      <bottom style="medium">
        <color rgb="FF0070C0"/>
      </bottom>
      <diagonal/>
    </border>
    <border>
      <left/>
      <right/>
      <top style="double">
        <color rgb="FF0070C0"/>
      </top>
      <bottom style="thin">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medium">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tint="-0.499984740745262"/>
      </right>
      <top style="thin">
        <color theme="4" tint="-0.499984740745262"/>
      </top>
      <bottom style="thin">
        <color theme="4" tint="-0.499984740745262"/>
      </bottom>
      <diagonal/>
    </border>
    <border>
      <left style="medium">
        <color theme="4" tint="-0.499984740745262"/>
      </left>
      <right style="thin">
        <color theme="4" tint="-0.499984740745262"/>
      </right>
      <top style="thin">
        <color theme="4" tint="-0.499984740745262"/>
      </top>
      <bottom style="medium">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thin">
        <color theme="4" tint="-0.499984740745262"/>
      </left>
      <right style="medium">
        <color theme="4" tint="-0.499984740745262"/>
      </right>
      <top style="thin">
        <color theme="4" tint="-0.499984740745262"/>
      </top>
      <bottom style="medium">
        <color theme="4" tint="-0.499984740745262"/>
      </bottom>
      <diagonal/>
    </border>
    <border>
      <left style="medium">
        <color theme="4" tint="-0.499984740745262"/>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style="medium">
        <color theme="4" tint="-0.499984740745262"/>
      </right>
      <top/>
      <bottom style="thin">
        <color theme="4" tint="-0.499984740745262"/>
      </bottom>
      <diagonal/>
    </border>
    <border>
      <left style="medium">
        <color theme="4" tint="-0.499984740745262"/>
      </left>
      <right style="thin">
        <color theme="4" tint="-0.499984740745262"/>
      </right>
      <top style="medium">
        <color theme="4" tint="-0.499984740745262"/>
      </top>
      <bottom style="double">
        <color theme="4" tint="-0.499984740745262"/>
      </bottom>
      <diagonal/>
    </border>
    <border>
      <left style="thin">
        <color theme="4" tint="-0.499984740745262"/>
      </left>
      <right style="thin">
        <color theme="4" tint="-0.499984740745262"/>
      </right>
      <top style="medium">
        <color theme="4" tint="-0.499984740745262"/>
      </top>
      <bottom style="double">
        <color theme="4" tint="-0.499984740745262"/>
      </bottom>
      <diagonal/>
    </border>
    <border>
      <left style="thin">
        <color theme="4" tint="-0.499984740745262"/>
      </left>
      <right style="medium">
        <color theme="4" tint="-0.499984740745262"/>
      </right>
      <top style="medium">
        <color theme="4" tint="-0.499984740745262"/>
      </top>
      <bottom style="double">
        <color theme="4" tint="-0.499984740745262"/>
      </bottom>
      <diagonal/>
    </border>
  </borders>
  <cellStyleXfs count="2">
    <xf numFmtId="0" fontId="0" fillId="0" borderId="0"/>
    <xf numFmtId="0" fontId="24" fillId="0" borderId="0"/>
  </cellStyleXfs>
  <cellXfs count="264">
    <xf numFmtId="0" fontId="0" fillId="0" borderId="0" xfId="0"/>
    <xf numFmtId="0" fontId="25" fillId="0" borderId="0" xfId="0" applyFont="1" applyBorder="1" applyAlignment="1" applyProtection="1">
      <alignment vertical="center" wrapText="1"/>
      <protection locked="0"/>
    </xf>
    <xf numFmtId="0" fontId="0" fillId="0" borderId="0" xfId="0" applyProtection="1">
      <protection locked="0"/>
    </xf>
    <xf numFmtId="0" fontId="0" fillId="0" borderId="0" xfId="0" applyBorder="1" applyProtection="1">
      <protection locked="0"/>
    </xf>
    <xf numFmtId="0" fontId="0" fillId="3" borderId="0" xfId="0" applyFill="1" applyProtection="1">
      <protection locked="0"/>
    </xf>
    <xf numFmtId="0" fontId="27" fillId="0" borderId="0" xfId="0" applyFont="1" applyProtection="1">
      <protection locked="0"/>
    </xf>
    <xf numFmtId="0" fontId="26" fillId="0" borderId="0" xfId="0" applyFont="1" applyBorder="1" applyAlignment="1" applyProtection="1">
      <alignment vertical="center" wrapText="1"/>
      <protection locked="0"/>
    </xf>
    <xf numFmtId="0" fontId="28" fillId="0" borderId="0" xfId="0" applyFont="1" applyProtection="1">
      <protection locked="0"/>
    </xf>
    <xf numFmtId="0" fontId="29" fillId="0" borderId="0" xfId="0" applyFont="1" applyBorder="1" applyProtection="1">
      <protection locked="0"/>
    </xf>
    <xf numFmtId="0" fontId="11" fillId="0" borderId="0" xfId="0" applyFont="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164" fontId="12" fillId="2" borderId="3" xfId="0" applyNumberFormat="1" applyFont="1" applyFill="1" applyBorder="1" applyAlignment="1" applyProtection="1">
      <alignment horizontal="center" vertical="center"/>
      <protection locked="0"/>
    </xf>
    <xf numFmtId="0" fontId="14" fillId="0" borderId="4" xfId="0" applyFont="1" applyBorder="1" applyAlignment="1" applyProtection="1">
      <alignment vertical="center"/>
      <protection locked="0"/>
    </xf>
    <xf numFmtId="166" fontId="21" fillId="2" borderId="5" xfId="0" applyNumberFormat="1" applyFont="1" applyFill="1" applyBorder="1" applyAlignment="1" applyProtection="1">
      <alignment horizontal="center" vertical="center"/>
      <protection locked="0"/>
    </xf>
    <xf numFmtId="166" fontId="21" fillId="2" borderId="8" xfId="0" applyNumberFormat="1" applyFont="1" applyFill="1" applyBorder="1" applyAlignment="1" applyProtection="1">
      <alignment horizontal="center" vertical="center"/>
      <protection locked="0"/>
    </xf>
    <xf numFmtId="166" fontId="21" fillId="2" borderId="14" xfId="0" applyNumberFormat="1" applyFont="1" applyFill="1" applyBorder="1" applyAlignment="1" applyProtection="1">
      <alignment horizontal="center" vertical="center"/>
      <protection locked="0"/>
    </xf>
    <xf numFmtId="0" fontId="14" fillId="0" borderId="0" xfId="0" applyFont="1" applyBorder="1" applyAlignment="1" applyProtection="1">
      <alignment horizontal="center"/>
      <protection locked="0"/>
    </xf>
    <xf numFmtId="166" fontId="23" fillId="0" borderId="6" xfId="0" applyNumberFormat="1" applyFont="1" applyFill="1" applyBorder="1" applyAlignment="1" applyProtection="1">
      <alignment horizontal="center" vertical="center"/>
      <protection locked="0"/>
    </xf>
    <xf numFmtId="166" fontId="23" fillId="0" borderId="9" xfId="0" applyNumberFormat="1" applyFont="1" applyFill="1" applyBorder="1" applyAlignment="1" applyProtection="1">
      <alignment horizontal="center" vertical="center"/>
      <protection locked="0"/>
    </xf>
    <xf numFmtId="0" fontId="16" fillId="3" borderId="0" xfId="0" applyFont="1" applyFill="1" applyBorder="1" applyAlignment="1" applyProtection="1">
      <alignment horizontal="center" vertical="center"/>
      <protection locked="0"/>
    </xf>
    <xf numFmtId="0" fontId="18" fillId="3" borderId="0" xfId="0" applyFont="1" applyFill="1" applyBorder="1" applyAlignment="1" applyProtection="1">
      <alignment horizontal="center" vertical="center"/>
      <protection locked="0"/>
    </xf>
    <xf numFmtId="0" fontId="0" fillId="3" borderId="0" xfId="0" applyFill="1" applyBorder="1" applyProtection="1">
      <protection locked="0"/>
    </xf>
    <xf numFmtId="166" fontId="22" fillId="0" borderId="16" xfId="0" applyNumberFormat="1" applyFont="1" applyFill="1" applyBorder="1" applyAlignment="1" applyProtection="1">
      <alignment horizontal="center" vertical="center"/>
      <protection locked="0"/>
    </xf>
    <xf numFmtId="166" fontId="22" fillId="0" borderId="1" xfId="0" applyNumberFormat="1" applyFont="1" applyFill="1" applyBorder="1" applyAlignment="1" applyProtection="1">
      <alignment horizontal="center" vertical="center"/>
      <protection locked="0"/>
    </xf>
    <xf numFmtId="0" fontId="11" fillId="3" borderId="4" xfId="0" applyFont="1" applyFill="1" applyBorder="1" applyAlignment="1" applyProtection="1">
      <alignment horizontal="center" vertical="center"/>
      <protection locked="0"/>
    </xf>
    <xf numFmtId="0" fontId="11" fillId="3" borderId="0" xfId="0" applyFont="1" applyFill="1" applyBorder="1" applyAlignment="1" applyProtection="1">
      <alignment horizontal="center" vertical="center"/>
      <protection locked="0"/>
    </xf>
    <xf numFmtId="0" fontId="14" fillId="3" borderId="0" xfId="0" applyFont="1" applyFill="1" applyBorder="1" applyAlignment="1" applyProtection="1">
      <alignment horizontal="center" vertical="center"/>
      <protection locked="0"/>
    </xf>
    <xf numFmtId="164" fontId="12" fillId="2" borderId="22" xfId="0" applyNumberFormat="1" applyFont="1" applyFill="1" applyBorder="1" applyAlignment="1" applyProtection="1">
      <alignment horizontal="center" vertical="center"/>
      <protection locked="0"/>
    </xf>
    <xf numFmtId="166" fontId="21" fillId="2" borderId="7" xfId="0" applyNumberFormat="1" applyFont="1" applyFill="1" applyBorder="1" applyAlignment="1" applyProtection="1">
      <alignment horizontal="center" vertical="center"/>
      <protection locked="0"/>
    </xf>
    <xf numFmtId="166" fontId="22" fillId="0" borderId="17" xfId="0" applyNumberFormat="1" applyFont="1" applyFill="1" applyBorder="1" applyAlignment="1" applyProtection="1">
      <alignment horizontal="center" vertical="center"/>
      <protection locked="0"/>
    </xf>
    <xf numFmtId="0" fontId="15" fillId="0" borderId="0" xfId="0" applyFont="1" applyBorder="1" applyProtection="1">
      <protection locked="0"/>
    </xf>
    <xf numFmtId="0" fontId="17" fillId="0" borderId="0" xfId="0" applyFont="1" applyBorder="1" applyProtection="1">
      <protection locked="0"/>
    </xf>
    <xf numFmtId="0" fontId="13" fillId="0" borderId="18" xfId="0" applyFont="1" applyBorder="1" applyAlignment="1" applyProtection="1">
      <alignment horizontal="center" vertical="center"/>
      <protection locked="0"/>
    </xf>
    <xf numFmtId="167" fontId="16" fillId="0" borderId="19" xfId="0" applyNumberFormat="1" applyFont="1" applyBorder="1" applyAlignment="1" applyProtection="1">
      <alignment horizontal="center" vertical="center"/>
      <protection locked="0"/>
    </xf>
    <xf numFmtId="0" fontId="0" fillId="0" borderId="19" xfId="0" applyBorder="1" applyAlignment="1" applyProtection="1">
      <alignment horizontal="center"/>
      <protection locked="0"/>
    </xf>
    <xf numFmtId="0" fontId="29" fillId="0" borderId="0" xfId="0" applyFont="1" applyProtection="1">
      <protection locked="0"/>
    </xf>
    <xf numFmtId="0" fontId="43" fillId="0" borderId="0" xfId="0" applyFont="1" applyProtection="1">
      <protection locked="0"/>
    </xf>
    <xf numFmtId="0" fontId="41" fillId="0" borderId="0" xfId="0" applyFont="1" applyAlignment="1" applyProtection="1">
      <alignment horizontal="right" vertical="center" wrapText="1"/>
      <protection locked="0"/>
    </xf>
    <xf numFmtId="0" fontId="32" fillId="0" borderId="0" xfId="0" applyFont="1" applyAlignment="1" applyProtection="1">
      <alignment horizontal="left" vertical="center" wrapText="1"/>
      <protection locked="0"/>
    </xf>
    <xf numFmtId="0" fontId="32" fillId="0" borderId="0" xfId="0" applyFont="1" applyAlignment="1" applyProtection="1">
      <alignment horizontal="left" vertical="center"/>
      <protection locked="0"/>
    </xf>
    <xf numFmtId="0" fontId="25" fillId="0" borderId="0" xfId="0" applyFont="1" applyBorder="1" applyAlignment="1" applyProtection="1">
      <alignment vertical="center" wrapText="1"/>
    </xf>
    <xf numFmtId="0" fontId="0" fillId="0" borderId="0" xfId="0" applyProtection="1"/>
    <xf numFmtId="0" fontId="0" fillId="0" borderId="0" xfId="0" applyBorder="1" applyProtection="1"/>
    <xf numFmtId="0" fontId="3" fillId="0" borderId="0" xfId="0" applyFont="1" applyBorder="1" applyAlignment="1" applyProtection="1">
      <alignment vertical="center" wrapText="1"/>
    </xf>
    <xf numFmtId="0" fontId="3" fillId="0" borderId="0" xfId="0" applyFont="1" applyBorder="1" applyAlignment="1" applyProtection="1">
      <alignment horizontal="center" vertical="center" wrapText="1"/>
    </xf>
    <xf numFmtId="0" fontId="4" fillId="0" borderId="0" xfId="0" applyFont="1" applyBorder="1" applyAlignment="1" applyProtection="1">
      <alignment horizontal="center" vertical="center" wrapText="1"/>
    </xf>
    <xf numFmtId="0" fontId="2" fillId="0" borderId="0" xfId="0" applyFont="1" applyAlignment="1" applyProtection="1">
      <alignment horizontal="left" vertical="center" wrapText="1" indent="5"/>
    </xf>
    <xf numFmtId="0" fontId="1" fillId="0" borderId="0" xfId="0" applyFont="1" applyAlignment="1" applyProtection="1">
      <alignment vertical="center" wrapText="1"/>
    </xf>
    <xf numFmtId="0" fontId="7" fillId="0" borderId="0"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25" fillId="0" borderId="0" xfId="0" applyFont="1" applyAlignment="1" applyProtection="1">
      <alignment vertical="center" wrapText="1"/>
    </xf>
    <xf numFmtId="0" fontId="29" fillId="0" borderId="0" xfId="0" applyFont="1" applyProtection="1"/>
    <xf numFmtId="0" fontId="3" fillId="0" borderId="0" xfId="0" applyFont="1" applyAlignment="1" applyProtection="1">
      <alignment vertical="center" wrapText="1"/>
    </xf>
    <xf numFmtId="0" fontId="30" fillId="0" borderId="0" xfId="0" applyFont="1" applyAlignment="1" applyProtection="1">
      <alignment vertical="center" wrapText="1"/>
    </xf>
    <xf numFmtId="0" fontId="8" fillId="0" borderId="0" xfId="0" applyFont="1" applyAlignment="1" applyProtection="1">
      <alignment vertical="center"/>
    </xf>
    <xf numFmtId="0" fontId="42" fillId="0" borderId="0" xfId="0" applyFont="1" applyBorder="1" applyAlignment="1" applyProtection="1">
      <alignment horizontal="center" vertical="center" wrapText="1"/>
    </xf>
    <xf numFmtId="0" fontId="42" fillId="0" borderId="0" xfId="0" applyFont="1" applyBorder="1" applyAlignment="1" applyProtection="1">
      <alignment vertical="center" wrapText="1"/>
    </xf>
    <xf numFmtId="0" fontId="41" fillId="0" borderId="0" xfId="0" applyFont="1" applyAlignment="1" applyProtection="1">
      <alignment horizontal="left" vertical="center" wrapText="1"/>
      <protection locked="0"/>
    </xf>
    <xf numFmtId="0" fontId="46" fillId="0" borderId="0" xfId="0" applyFont="1" applyAlignment="1" applyProtection="1">
      <alignment horizontal="right" vertical="center" wrapText="1"/>
    </xf>
    <xf numFmtId="0" fontId="25" fillId="0" borderId="0" xfId="0" applyFont="1" applyBorder="1" applyAlignment="1" applyProtection="1">
      <alignment horizontal="left" vertical="center" wrapText="1"/>
    </xf>
    <xf numFmtId="0" fontId="34" fillId="0" borderId="0" xfId="0" applyFont="1" applyBorder="1" applyAlignment="1" applyProtection="1">
      <alignment horizontal="center" wrapText="1"/>
    </xf>
    <xf numFmtId="0" fontId="39" fillId="0" borderId="0" xfId="0" applyFont="1" applyBorder="1" applyAlignment="1" applyProtection="1">
      <alignment horizontal="center" vertical="top" wrapText="1"/>
    </xf>
    <xf numFmtId="0" fontId="26" fillId="0" borderId="0" xfId="0" applyFont="1" applyBorder="1" applyAlignment="1" applyProtection="1">
      <alignment vertical="center" wrapText="1"/>
      <protection locked="0"/>
    </xf>
    <xf numFmtId="0" fontId="0" fillId="0" borderId="24" xfId="0" applyBorder="1" applyProtection="1"/>
    <xf numFmtId="0" fontId="1" fillId="0" borderId="24" xfId="0" applyFont="1" applyBorder="1" applyAlignment="1" applyProtection="1">
      <alignment vertical="center" wrapText="1"/>
    </xf>
    <xf numFmtId="0" fontId="5" fillId="0" borderId="24" xfId="0" applyFont="1" applyBorder="1" applyAlignment="1" applyProtection="1">
      <alignment horizontal="center" vertical="center" wrapText="1"/>
    </xf>
    <xf numFmtId="0" fontId="10" fillId="0" borderId="25" xfId="0" applyFont="1" applyBorder="1" applyAlignment="1" applyProtection="1">
      <alignment vertical="center"/>
    </xf>
    <xf numFmtId="0" fontId="0" fillId="0" borderId="25" xfId="0" applyBorder="1" applyProtection="1"/>
    <xf numFmtId="0" fontId="25" fillId="0" borderId="34" xfId="0" applyFont="1" applyBorder="1" applyAlignment="1" applyProtection="1">
      <alignment vertical="center" wrapText="1"/>
    </xf>
    <xf numFmtId="0" fontId="29" fillId="0" borderId="31" xfId="0" applyFont="1" applyBorder="1" applyProtection="1">
      <protection locked="0"/>
    </xf>
    <xf numFmtId="0" fontId="28" fillId="0" borderId="23" xfId="0" applyFont="1" applyBorder="1" applyProtection="1">
      <protection locked="0"/>
    </xf>
    <xf numFmtId="0" fontId="25" fillId="0" borderId="34" xfId="0" applyFont="1" applyBorder="1" applyAlignment="1" applyProtection="1">
      <alignment horizontal="center" wrapText="1"/>
    </xf>
    <xf numFmtId="0" fontId="28" fillId="0" borderId="0" xfId="0" applyFont="1" applyBorder="1" applyProtection="1">
      <protection locked="0"/>
    </xf>
    <xf numFmtId="0" fontId="28" fillId="0" borderId="34" xfId="0" applyFont="1" applyBorder="1" applyProtection="1">
      <protection locked="0"/>
    </xf>
    <xf numFmtId="0" fontId="28" fillId="0" borderId="29" xfId="0" applyFont="1" applyBorder="1" applyProtection="1">
      <protection locked="0"/>
    </xf>
    <xf numFmtId="0" fontId="28" fillId="0" borderId="33" xfId="0" applyFont="1" applyBorder="1" applyProtection="1">
      <protection locked="0"/>
    </xf>
    <xf numFmtId="0" fontId="11" fillId="3" borderId="0" xfId="0" applyFont="1" applyFill="1" applyBorder="1" applyAlignment="1" applyProtection="1">
      <alignment horizontal="center" vertical="center" wrapText="1"/>
      <protection locked="0"/>
    </xf>
    <xf numFmtId="170" fontId="25" fillId="0" borderId="28" xfId="0" applyNumberFormat="1" applyFont="1" applyBorder="1" applyAlignment="1" applyProtection="1">
      <alignment horizontal="left" vertical="center" wrapText="1"/>
    </xf>
    <xf numFmtId="170" fontId="25" fillId="0" borderId="30" xfId="0" applyNumberFormat="1" applyFont="1" applyBorder="1" applyAlignment="1" applyProtection="1">
      <alignment horizontal="left" vertical="center" wrapText="1"/>
    </xf>
    <xf numFmtId="170" fontId="25" fillId="0" borderId="32" xfId="0" applyNumberFormat="1" applyFont="1" applyBorder="1" applyAlignment="1" applyProtection="1">
      <alignment horizontal="left" vertical="center" wrapText="1"/>
    </xf>
    <xf numFmtId="0" fontId="13" fillId="0" borderId="38" xfId="0" applyFont="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166" fontId="23" fillId="0" borderId="2" xfId="0" applyNumberFormat="1" applyFont="1" applyFill="1" applyBorder="1" applyAlignment="1" applyProtection="1">
      <alignment horizontal="center" vertical="center"/>
      <protection locked="0"/>
    </xf>
    <xf numFmtId="164" fontId="12" fillId="2" borderId="0" xfId="0" applyNumberFormat="1" applyFont="1" applyFill="1" applyBorder="1" applyAlignment="1" applyProtection="1">
      <alignment horizontal="center" vertical="center"/>
      <protection locked="0"/>
    </xf>
    <xf numFmtId="166" fontId="21" fillId="2" borderId="0" xfId="0" applyNumberFormat="1" applyFont="1" applyFill="1" applyBorder="1" applyAlignment="1" applyProtection="1">
      <alignment horizontal="center" vertical="center"/>
      <protection locked="0"/>
    </xf>
    <xf numFmtId="166" fontId="23" fillId="0" borderId="0" xfId="0" applyNumberFormat="1" applyFont="1" applyFill="1" applyBorder="1" applyAlignment="1" applyProtection="1">
      <alignment horizontal="center" vertical="center"/>
      <protection locked="0"/>
    </xf>
    <xf numFmtId="166" fontId="22" fillId="0" borderId="0" xfId="0" applyNumberFormat="1" applyFont="1" applyFill="1" applyBorder="1" applyAlignment="1" applyProtection="1">
      <alignment horizontal="center" vertical="center"/>
      <protection locked="0"/>
    </xf>
    <xf numFmtId="0" fontId="40" fillId="0" borderId="24" xfId="0" applyFont="1" applyBorder="1" applyAlignment="1" applyProtection="1">
      <alignment vertical="center"/>
    </xf>
    <xf numFmtId="0" fontId="2" fillId="0" borderId="45" xfId="0" applyFont="1" applyBorder="1" applyAlignment="1" applyProtection="1">
      <alignment vertical="center" wrapText="1"/>
    </xf>
    <xf numFmtId="0" fontId="0" fillId="0" borderId="45" xfId="0" applyBorder="1" applyProtection="1"/>
    <xf numFmtId="0" fontId="6" fillId="0" borderId="24" xfId="0" applyFont="1" applyBorder="1" applyAlignment="1" applyProtection="1">
      <alignment horizontal="center" vertical="center" wrapText="1"/>
    </xf>
    <xf numFmtId="0" fontId="27" fillId="0" borderId="0" xfId="0" applyFont="1" applyBorder="1" applyProtection="1">
      <protection locked="0"/>
    </xf>
    <xf numFmtId="0" fontId="6" fillId="0" borderId="45" xfId="0" applyFont="1" applyBorder="1" applyAlignment="1" applyProtection="1">
      <alignment vertical="center" wrapText="1"/>
    </xf>
    <xf numFmtId="0" fontId="69" fillId="0" borderId="0" xfId="0" applyFont="1" applyAlignment="1">
      <alignment vertical="center"/>
    </xf>
    <xf numFmtId="0" fontId="62" fillId="0" borderId="0" xfId="0" applyFont="1" applyAlignment="1" applyProtection="1">
      <alignment horizontal="left" vertical="center" wrapText="1"/>
    </xf>
    <xf numFmtId="0" fontId="62" fillId="0" borderId="0" xfId="0" applyFont="1" applyAlignment="1" applyProtection="1">
      <alignment horizontal="left" vertical="center" wrapText="1"/>
      <protection locked="0"/>
    </xf>
    <xf numFmtId="0" fontId="62" fillId="0" borderId="0" xfId="0" applyFont="1" applyAlignment="1" applyProtection="1">
      <alignment vertical="center" wrapText="1"/>
    </xf>
    <xf numFmtId="0" fontId="32" fillId="0" borderId="0" xfId="0" applyFont="1" applyAlignment="1" applyProtection="1">
      <alignment horizontal="center" vertical="center" wrapText="1"/>
    </xf>
    <xf numFmtId="168" fontId="62" fillId="0" borderId="0" xfId="0" applyNumberFormat="1" applyFont="1" applyAlignment="1" applyProtection="1">
      <alignment vertical="center" wrapText="1"/>
    </xf>
    <xf numFmtId="0" fontId="9" fillId="0" borderId="24" xfId="0" applyFont="1" applyBorder="1" applyAlignment="1" applyProtection="1">
      <alignment vertical="center"/>
    </xf>
    <xf numFmtId="0" fontId="25" fillId="0" borderId="24" xfId="0" applyFont="1" applyBorder="1" applyAlignment="1" applyProtection="1">
      <alignment horizontal="justify" vertical="center"/>
      <protection locked="0"/>
    </xf>
    <xf numFmtId="0" fontId="29" fillId="0" borderId="24" xfId="0" applyFont="1" applyBorder="1" applyProtection="1">
      <protection locked="0"/>
    </xf>
    <xf numFmtId="0" fontId="2" fillId="0" borderId="24" xfId="0" applyFont="1" applyBorder="1" applyAlignment="1" applyProtection="1">
      <alignment vertical="center"/>
    </xf>
    <xf numFmtId="0" fontId="25" fillId="0" borderId="40" xfId="0" applyFont="1" applyBorder="1" applyAlignment="1" applyProtection="1">
      <alignment horizontal="right" vertical="center" wrapText="1"/>
      <protection locked="0"/>
    </xf>
    <xf numFmtId="0" fontId="29" fillId="0" borderId="40" xfId="0" applyFont="1" applyBorder="1" applyProtection="1">
      <protection locked="0"/>
    </xf>
    <xf numFmtId="0" fontId="25" fillId="0" borderId="40" xfId="0" applyFont="1" applyBorder="1" applyAlignment="1" applyProtection="1">
      <alignment horizontal="left" vertical="center" wrapText="1" indent="5"/>
    </xf>
    <xf numFmtId="0" fontId="31" fillId="0" borderId="40" xfId="0" applyFont="1" applyBorder="1" applyAlignment="1" applyProtection="1">
      <alignment horizontal="left" vertical="center" wrapText="1"/>
      <protection locked="0"/>
    </xf>
    <xf numFmtId="0" fontId="0" fillId="0" borderId="40" xfId="0" applyBorder="1" applyProtection="1">
      <protection locked="0"/>
    </xf>
    <xf numFmtId="0" fontId="0" fillId="0" borderId="0" xfId="0" applyBorder="1"/>
    <xf numFmtId="0" fontId="0" fillId="0" borderId="60" xfId="0" applyBorder="1" applyAlignment="1">
      <alignment horizontal="center"/>
    </xf>
    <xf numFmtId="0" fontId="42" fillId="0" borderId="60" xfId="0" applyFont="1" applyBorder="1" applyAlignment="1" applyProtection="1">
      <alignment horizontal="center" vertical="center" wrapText="1"/>
    </xf>
    <xf numFmtId="0" fontId="42" fillId="0" borderId="62" xfId="0" applyFont="1" applyBorder="1" applyAlignment="1" applyProtection="1">
      <alignment horizontal="center" vertical="center" wrapText="1"/>
    </xf>
    <xf numFmtId="0" fontId="64" fillId="0" borderId="57" xfId="0" applyFont="1" applyBorder="1" applyAlignment="1" applyProtection="1">
      <alignment horizontal="center" vertical="center" wrapText="1"/>
    </xf>
    <xf numFmtId="0" fontId="64" fillId="0" borderId="59" xfId="0" applyFont="1" applyBorder="1" applyAlignment="1" applyProtection="1">
      <alignment horizontal="center" vertical="center" wrapText="1"/>
    </xf>
    <xf numFmtId="0" fontId="41" fillId="0" borderId="57" xfId="0" applyFont="1" applyBorder="1" applyAlignment="1" applyProtection="1">
      <alignment horizontal="center" vertical="center" wrapText="1"/>
      <protection locked="0"/>
    </xf>
    <xf numFmtId="0" fontId="41" fillId="0" borderId="58" xfId="0" applyFont="1" applyBorder="1" applyAlignment="1" applyProtection="1">
      <alignment horizontal="center" vertical="center" wrapText="1"/>
      <protection locked="0"/>
    </xf>
    <xf numFmtId="0" fontId="33" fillId="0" borderId="57" xfId="0" applyFont="1" applyBorder="1" applyAlignment="1" applyProtection="1">
      <alignment horizontal="center" vertical="center" wrapText="1"/>
    </xf>
    <xf numFmtId="0" fontId="33" fillId="0" borderId="58" xfId="0" applyFont="1" applyBorder="1" applyAlignment="1" applyProtection="1">
      <alignment horizontal="center" vertical="center" wrapText="1"/>
    </xf>
    <xf numFmtId="0" fontId="76" fillId="0" borderId="67" xfId="0" applyFont="1" applyBorder="1" applyAlignment="1">
      <alignment horizontal="center" vertical="center"/>
    </xf>
    <xf numFmtId="0" fontId="76" fillId="0" borderId="67" xfId="0" applyFont="1" applyBorder="1" applyAlignment="1" applyProtection="1">
      <alignment horizontal="center" vertical="center" wrapText="1"/>
    </xf>
    <xf numFmtId="0" fontId="76" fillId="0" borderId="68" xfId="0" applyFont="1" applyBorder="1" applyAlignment="1" applyProtection="1">
      <alignment horizontal="center" vertical="center" wrapText="1"/>
    </xf>
    <xf numFmtId="0" fontId="42" fillId="0" borderId="61" xfId="0" applyFont="1" applyBorder="1" applyAlignment="1" applyProtection="1">
      <alignment horizontal="center" vertical="center" wrapText="1"/>
    </xf>
    <xf numFmtId="0" fontId="13" fillId="2" borderId="10" xfId="0" applyFont="1" applyFill="1" applyBorder="1" applyAlignment="1" applyProtection="1">
      <alignment horizontal="center" vertical="center"/>
      <protection locked="0"/>
    </xf>
    <xf numFmtId="0" fontId="11" fillId="3" borderId="0" xfId="0" applyFont="1" applyFill="1" applyBorder="1" applyAlignment="1" applyProtection="1">
      <alignment horizontal="center" vertical="center" wrapText="1"/>
      <protection locked="0"/>
    </xf>
    <xf numFmtId="0" fontId="13" fillId="0" borderId="0" xfId="0" applyFont="1" applyBorder="1" applyAlignment="1" applyProtection="1">
      <alignment horizontal="center" vertical="center"/>
      <protection locked="0"/>
    </xf>
    <xf numFmtId="0" fontId="62" fillId="0" borderId="0" xfId="0" applyFont="1" applyBorder="1" applyAlignment="1" applyProtection="1">
      <alignment horizontal="center" vertical="center" wrapText="1"/>
    </xf>
    <xf numFmtId="0" fontId="62" fillId="0" borderId="24" xfId="0" applyFont="1" applyBorder="1" applyAlignment="1" applyProtection="1">
      <alignment horizontal="center" vertical="center" wrapText="1"/>
    </xf>
    <xf numFmtId="0" fontId="59" fillId="0" borderId="48" xfId="0" applyFont="1" applyBorder="1" applyAlignment="1" applyProtection="1">
      <alignment horizontal="center" vertical="top" wrapText="1"/>
    </xf>
    <xf numFmtId="0" fontId="59" fillId="0" borderId="40" xfId="0" applyFont="1" applyBorder="1" applyAlignment="1" applyProtection="1">
      <alignment horizontal="center" vertical="top" wrapText="1"/>
    </xf>
    <xf numFmtId="0" fontId="59" fillId="0" borderId="41" xfId="0" applyFont="1" applyBorder="1" applyAlignment="1" applyProtection="1">
      <alignment horizontal="center" vertical="top" wrapText="1"/>
    </xf>
    <xf numFmtId="0" fontId="58" fillId="0" borderId="49" xfId="0" applyFont="1" applyBorder="1" applyAlignment="1" applyProtection="1">
      <alignment horizontal="center" wrapText="1"/>
    </xf>
    <xf numFmtId="0" fontId="58" fillId="0" borderId="34" xfId="0" applyFont="1" applyBorder="1" applyAlignment="1" applyProtection="1">
      <alignment horizontal="center" wrapText="1"/>
    </xf>
    <xf numFmtId="0" fontId="58" fillId="0" borderId="43" xfId="0" applyFont="1" applyBorder="1" applyAlignment="1" applyProtection="1">
      <alignment horizontal="center" wrapText="1"/>
    </xf>
    <xf numFmtId="0" fontId="59" fillId="0" borderId="39" xfId="0" applyFont="1" applyBorder="1" applyAlignment="1" applyProtection="1">
      <alignment horizontal="center" vertical="top" wrapText="1"/>
    </xf>
    <xf numFmtId="0" fontId="59" fillId="0" borderId="0" xfId="0" applyFont="1" applyBorder="1" applyAlignment="1" applyProtection="1">
      <alignment horizontal="center" vertical="top" wrapText="1"/>
    </xf>
    <xf numFmtId="0" fontId="53" fillId="0" borderId="37" xfId="0" applyFont="1" applyBorder="1" applyAlignment="1" applyProtection="1">
      <alignment horizontal="center" vertical="center" wrapText="1"/>
    </xf>
    <xf numFmtId="0" fontId="48" fillId="0" borderId="28" xfId="0" applyFont="1" applyBorder="1" applyAlignment="1" applyProtection="1">
      <alignment horizontal="center" vertical="center" wrapText="1"/>
      <protection locked="0"/>
    </xf>
    <xf numFmtId="0" fontId="39" fillId="0" borderId="34" xfId="0" applyFont="1" applyBorder="1" applyAlignment="1" applyProtection="1">
      <alignment horizontal="center" vertical="center" wrapText="1"/>
      <protection locked="0"/>
    </xf>
    <xf numFmtId="0" fontId="39" fillId="0" borderId="29" xfId="0" applyFont="1" applyBorder="1" applyAlignment="1" applyProtection="1">
      <alignment horizontal="center" vertical="center" wrapText="1"/>
      <protection locked="0"/>
    </xf>
    <xf numFmtId="0" fontId="39" fillId="0" borderId="32" xfId="0" applyFont="1" applyBorder="1" applyAlignment="1" applyProtection="1">
      <alignment horizontal="center" vertical="center" wrapText="1"/>
      <protection locked="0"/>
    </xf>
    <xf numFmtId="0" fontId="39" fillId="0" borderId="23" xfId="0" applyFont="1" applyBorder="1" applyAlignment="1" applyProtection="1">
      <alignment horizontal="center" vertical="center" wrapText="1"/>
      <protection locked="0"/>
    </xf>
    <xf numFmtId="0" fontId="39" fillId="0" borderId="33" xfId="0" applyFont="1" applyBorder="1" applyAlignment="1" applyProtection="1">
      <alignment horizontal="center" vertical="center" wrapText="1"/>
      <protection locked="0"/>
    </xf>
    <xf numFmtId="169" fontId="48" fillId="0" borderId="28" xfId="0" applyNumberFormat="1" applyFont="1" applyBorder="1" applyAlignment="1">
      <alignment horizontal="center" vertical="center" wrapText="1"/>
    </xf>
    <xf numFmtId="169" fontId="39" fillId="0" borderId="34" xfId="0" applyNumberFormat="1" applyFont="1" applyBorder="1" applyAlignment="1">
      <alignment horizontal="center" vertical="center" wrapText="1"/>
    </xf>
    <xf numFmtId="169" fontId="39" fillId="0" borderId="29" xfId="0" applyNumberFormat="1" applyFont="1" applyBorder="1" applyAlignment="1">
      <alignment horizontal="center" vertical="center" wrapText="1"/>
    </xf>
    <xf numFmtId="169" fontId="39" fillId="0" borderId="32" xfId="0" applyNumberFormat="1" applyFont="1" applyBorder="1" applyAlignment="1">
      <alignment horizontal="center" vertical="center" wrapText="1"/>
    </xf>
    <xf numFmtId="169" fontId="39" fillId="0" borderId="23" xfId="0" applyNumberFormat="1" applyFont="1" applyBorder="1" applyAlignment="1">
      <alignment horizontal="center" vertical="center" wrapText="1"/>
    </xf>
    <xf numFmtId="169" fontId="39" fillId="0" borderId="33" xfId="0" applyNumberFormat="1" applyFont="1" applyBorder="1" applyAlignment="1">
      <alignment horizontal="center" vertical="center" wrapText="1"/>
    </xf>
    <xf numFmtId="167" fontId="41" fillId="0" borderId="28" xfId="0" applyNumberFormat="1" applyFont="1" applyBorder="1" applyAlignment="1" applyProtection="1">
      <alignment horizontal="center" vertical="center" wrapText="1"/>
      <protection locked="0"/>
    </xf>
    <xf numFmtId="167" fontId="41" fillId="0" borderId="34" xfId="0" applyNumberFormat="1" applyFont="1" applyBorder="1" applyAlignment="1" applyProtection="1">
      <alignment horizontal="center" vertical="center" wrapText="1"/>
      <protection locked="0"/>
    </xf>
    <xf numFmtId="167" fontId="41" fillId="0" borderId="29" xfId="0" applyNumberFormat="1" applyFont="1" applyBorder="1" applyAlignment="1" applyProtection="1">
      <alignment horizontal="center" vertical="center" wrapText="1"/>
      <protection locked="0"/>
    </xf>
    <xf numFmtId="167" fontId="41" fillId="0" borderId="32" xfId="0" applyNumberFormat="1" applyFont="1" applyBorder="1" applyAlignment="1" applyProtection="1">
      <alignment horizontal="center" vertical="center" wrapText="1"/>
      <protection locked="0"/>
    </xf>
    <xf numFmtId="167" fontId="41" fillId="0" borderId="23" xfId="0" applyNumberFormat="1" applyFont="1" applyBorder="1" applyAlignment="1" applyProtection="1">
      <alignment horizontal="center" vertical="center" wrapText="1"/>
      <protection locked="0"/>
    </xf>
    <xf numFmtId="167" fontId="41" fillId="0" borderId="33" xfId="0" applyNumberFormat="1" applyFont="1" applyBorder="1" applyAlignment="1" applyProtection="1">
      <alignment horizontal="center" vertical="center" wrapText="1"/>
      <protection locked="0"/>
    </xf>
    <xf numFmtId="0" fontId="53" fillId="0" borderId="0" xfId="0" applyFont="1" applyBorder="1" applyAlignment="1" applyProtection="1">
      <alignment horizontal="center" vertical="center" wrapText="1"/>
    </xf>
    <xf numFmtId="0" fontId="58" fillId="0" borderId="28" xfId="0" applyFont="1" applyBorder="1" applyAlignment="1" applyProtection="1">
      <alignment horizontal="right" wrapText="1"/>
    </xf>
    <xf numFmtId="0" fontId="58" fillId="0" borderId="34" xfId="0" applyFont="1" applyBorder="1" applyAlignment="1" applyProtection="1">
      <alignment horizontal="right" wrapText="1"/>
    </xf>
    <xf numFmtId="0" fontId="59" fillId="0" borderId="32" xfId="0" applyFont="1" applyBorder="1" applyAlignment="1" applyProtection="1">
      <alignment horizontal="right" vertical="top" wrapText="1"/>
    </xf>
    <xf numFmtId="0" fontId="59" fillId="0" borderId="23" xfId="0" applyFont="1" applyBorder="1" applyAlignment="1" applyProtection="1">
      <alignment horizontal="right" vertical="top" wrapText="1"/>
    </xf>
    <xf numFmtId="0" fontId="39" fillId="0" borderId="34" xfId="0" quotePrefix="1" applyFont="1" applyBorder="1" applyAlignment="1" applyProtection="1">
      <alignment horizontal="left" vertical="center"/>
      <protection locked="0"/>
    </xf>
    <xf numFmtId="0" fontId="39" fillId="0" borderId="43" xfId="0" quotePrefix="1" applyFont="1" applyBorder="1" applyAlignment="1" applyProtection="1">
      <alignment horizontal="left" vertical="center"/>
      <protection locked="0"/>
    </xf>
    <xf numFmtId="0" fontId="39" fillId="0" borderId="23" xfId="0" quotePrefix="1" applyFont="1" applyBorder="1" applyAlignment="1" applyProtection="1">
      <alignment horizontal="left" vertical="center"/>
      <protection locked="0"/>
    </xf>
    <xf numFmtId="0" fontId="39" fillId="0" borderId="44" xfId="0" quotePrefix="1" applyFont="1" applyBorder="1" applyAlignment="1" applyProtection="1">
      <alignment horizontal="left" vertical="center"/>
      <protection locked="0"/>
    </xf>
    <xf numFmtId="0" fontId="56" fillId="0" borderId="46" xfId="0" applyFont="1" applyBorder="1" applyAlignment="1" applyProtection="1">
      <alignment horizontal="center" vertical="center" wrapText="1"/>
    </xf>
    <xf numFmtId="0" fontId="56" fillId="0" borderId="51" xfId="0" applyFont="1" applyBorder="1" applyAlignment="1" applyProtection="1">
      <alignment horizontal="center" vertical="center" wrapText="1"/>
    </xf>
    <xf numFmtId="0" fontId="56" fillId="0" borderId="52" xfId="0" applyFont="1" applyBorder="1" applyAlignment="1" applyProtection="1">
      <alignment horizontal="center" vertical="center" wrapText="1"/>
    </xf>
    <xf numFmtId="0" fontId="56" fillId="0" borderId="53" xfId="0" applyFont="1" applyBorder="1" applyAlignment="1" applyProtection="1">
      <alignment horizontal="center" vertical="center" wrapText="1"/>
    </xf>
    <xf numFmtId="0" fontId="56" fillId="0" borderId="54" xfId="0" applyFont="1" applyBorder="1" applyAlignment="1" applyProtection="1">
      <alignment horizontal="center" vertical="center" wrapText="1"/>
    </xf>
    <xf numFmtId="0" fontId="56" fillId="0" borderId="55" xfId="0" applyFont="1" applyBorder="1" applyAlignment="1" applyProtection="1">
      <alignment horizontal="center" vertical="center" wrapText="1"/>
    </xf>
    <xf numFmtId="0" fontId="64" fillId="0" borderId="58" xfId="0" applyFont="1" applyBorder="1" applyAlignment="1" applyProtection="1">
      <alignment horizontal="center" vertical="center" wrapText="1"/>
    </xf>
    <xf numFmtId="0" fontId="77" fillId="0" borderId="34" xfId="0" applyFont="1" applyBorder="1" applyAlignment="1" applyProtection="1">
      <alignment horizontal="center" vertical="center" wrapText="1"/>
      <protection locked="0"/>
    </xf>
    <xf numFmtId="0" fontId="77" fillId="0" borderId="29" xfId="0" applyFont="1" applyBorder="1" applyAlignment="1" applyProtection="1">
      <alignment horizontal="center" vertical="center" wrapText="1"/>
      <protection locked="0"/>
    </xf>
    <xf numFmtId="0" fontId="71" fillId="0" borderId="57" xfId="0" applyFont="1" applyBorder="1" applyAlignment="1" applyProtection="1">
      <alignment horizontal="center" vertical="center" wrapText="1"/>
    </xf>
    <xf numFmtId="0" fontId="71" fillId="0" borderId="58" xfId="0" applyFont="1" applyBorder="1" applyAlignment="1" applyProtection="1">
      <alignment horizontal="center" vertical="center" wrapText="1"/>
    </xf>
    <xf numFmtId="0" fontId="39" fillId="3" borderId="26" xfId="0" applyFont="1" applyFill="1" applyBorder="1" applyAlignment="1" applyProtection="1">
      <alignment horizontal="center" vertical="center" wrapText="1"/>
      <protection locked="0"/>
    </xf>
    <xf numFmtId="0" fontId="41" fillId="0" borderId="26" xfId="0" applyFont="1" applyBorder="1" applyAlignment="1" applyProtection="1">
      <alignment horizontal="center" vertical="center" wrapText="1"/>
      <protection locked="0"/>
    </xf>
    <xf numFmtId="0" fontId="51" fillId="3" borderId="26" xfId="0" applyFont="1" applyFill="1" applyBorder="1" applyAlignment="1" applyProtection="1">
      <alignment horizontal="center" vertical="center" wrapText="1"/>
    </xf>
    <xf numFmtId="0" fontId="51" fillId="0" borderId="26" xfId="0" applyFont="1" applyBorder="1" applyAlignment="1" applyProtection="1">
      <alignment horizontal="center" vertical="center" wrapText="1"/>
    </xf>
    <xf numFmtId="0" fontId="34" fillId="0" borderId="0" xfId="0" applyFont="1" applyBorder="1" applyAlignment="1" applyProtection="1">
      <alignment horizontal="center" wrapText="1"/>
    </xf>
    <xf numFmtId="0" fontId="57" fillId="0" borderId="0" xfId="0" applyFont="1" applyBorder="1" applyAlignment="1" applyProtection="1">
      <alignment horizontal="center" vertical="top" wrapText="1"/>
    </xf>
    <xf numFmtId="0" fontId="49" fillId="0" borderId="28" xfId="0" applyFont="1" applyBorder="1" applyAlignment="1" applyProtection="1">
      <alignment horizontal="center" wrapText="1"/>
    </xf>
    <xf numFmtId="0" fontId="49" fillId="0" borderId="29" xfId="0" applyFont="1" applyBorder="1" applyAlignment="1" applyProtection="1">
      <alignment horizontal="center" wrapText="1"/>
    </xf>
    <xf numFmtId="0" fontId="50" fillId="0" borderId="32" xfId="0" applyFont="1" applyBorder="1" applyAlignment="1" applyProtection="1">
      <alignment horizontal="center" vertical="top" wrapText="1"/>
    </xf>
    <xf numFmtId="0" fontId="50" fillId="0" borderId="33" xfId="0" applyFont="1" applyBorder="1" applyAlignment="1" applyProtection="1">
      <alignment horizontal="center" vertical="top" wrapText="1"/>
    </xf>
    <xf numFmtId="0" fontId="60" fillId="0" borderId="23" xfId="0" applyFont="1" applyBorder="1" applyAlignment="1" applyProtection="1">
      <alignment horizontal="center" vertical="center" wrapText="1"/>
    </xf>
    <xf numFmtId="0" fontId="55" fillId="0" borderId="34" xfId="0" applyFont="1" applyBorder="1" applyAlignment="1" applyProtection="1">
      <alignment horizontal="center" vertical="center" wrapText="1"/>
    </xf>
    <xf numFmtId="0" fontId="55" fillId="0" borderId="43" xfId="0" applyFont="1" applyBorder="1" applyAlignment="1" applyProtection="1">
      <alignment horizontal="center" vertical="center" wrapText="1"/>
    </xf>
    <xf numFmtId="0" fontId="55" fillId="0" borderId="23" xfId="0" applyFont="1" applyBorder="1" applyAlignment="1" applyProtection="1">
      <alignment horizontal="center" vertical="center" wrapText="1"/>
    </xf>
    <xf numFmtId="0" fontId="55" fillId="0" borderId="44" xfId="0" applyFont="1" applyBorder="1" applyAlignment="1" applyProtection="1">
      <alignment horizontal="center" vertical="center" wrapText="1"/>
    </xf>
    <xf numFmtId="0" fontId="62" fillId="0" borderId="0" xfId="0" applyFont="1" applyAlignment="1" applyProtection="1">
      <alignment horizontal="left" vertical="center" wrapText="1"/>
    </xf>
    <xf numFmtId="0" fontId="58" fillId="0" borderId="34" xfId="0" applyFont="1" applyBorder="1" applyAlignment="1" applyProtection="1">
      <alignment horizontal="right" wrapText="1"/>
      <protection locked="0"/>
    </xf>
    <xf numFmtId="0" fontId="59" fillId="0" borderId="23" xfId="0" applyFont="1" applyBorder="1" applyAlignment="1" applyProtection="1">
      <alignment horizontal="right" vertical="top" wrapText="1"/>
      <protection locked="0"/>
    </xf>
    <xf numFmtId="0" fontId="3" fillId="0" borderId="29" xfId="0" applyFont="1" applyBorder="1" applyAlignment="1" applyProtection="1">
      <alignment horizontal="left" vertical="center" wrapText="1"/>
      <protection locked="0"/>
    </xf>
    <xf numFmtId="0" fontId="3" fillId="0" borderId="33" xfId="0" applyFont="1" applyBorder="1" applyAlignment="1" applyProtection="1">
      <alignment horizontal="left" vertical="center" wrapText="1"/>
      <protection locked="0"/>
    </xf>
    <xf numFmtId="0" fontId="3" fillId="0" borderId="0" xfId="0" applyFont="1" applyBorder="1" applyAlignment="1" applyProtection="1">
      <alignment horizontal="center" vertical="center" wrapText="1"/>
      <protection locked="0"/>
    </xf>
    <xf numFmtId="0" fontId="2" fillId="0" borderId="45" xfId="0" applyFont="1" applyBorder="1" applyAlignment="1" applyProtection="1">
      <alignment vertical="center" wrapText="1"/>
    </xf>
    <xf numFmtId="0" fontId="60" fillId="0" borderId="0" xfId="0" applyFont="1" applyBorder="1" applyAlignment="1" applyProtection="1">
      <alignment horizontal="center" vertical="center" wrapText="1"/>
    </xf>
    <xf numFmtId="0" fontId="58" fillId="0" borderId="29" xfId="0" applyFont="1" applyBorder="1" applyAlignment="1" applyProtection="1">
      <alignment horizontal="center" wrapText="1"/>
    </xf>
    <xf numFmtId="0" fontId="58" fillId="0" borderId="28" xfId="0" applyFont="1" applyBorder="1" applyAlignment="1" applyProtection="1">
      <alignment horizontal="center" wrapText="1"/>
    </xf>
    <xf numFmtId="0" fontId="59" fillId="0" borderId="31" xfId="0" applyFont="1" applyBorder="1" applyAlignment="1" applyProtection="1">
      <alignment horizontal="center" vertical="top" wrapText="1"/>
    </xf>
    <xf numFmtId="0" fontId="26" fillId="0" borderId="0" xfId="0" applyFont="1" applyBorder="1" applyAlignment="1" applyProtection="1">
      <alignment vertical="center" wrapText="1"/>
      <protection locked="0"/>
    </xf>
    <xf numFmtId="0" fontId="25" fillId="0" borderId="0" xfId="0" applyFont="1" applyBorder="1" applyAlignment="1" applyProtection="1">
      <alignment horizontal="center" vertical="center" wrapText="1"/>
      <protection locked="0"/>
    </xf>
    <xf numFmtId="165" fontId="25" fillId="0" borderId="0" xfId="0" applyNumberFormat="1" applyFont="1" applyBorder="1" applyAlignment="1" applyProtection="1">
      <alignment horizontal="center" vertical="center" wrapText="1"/>
      <protection locked="0"/>
    </xf>
    <xf numFmtId="0" fontId="16" fillId="2" borderId="35" xfId="0" applyFont="1" applyFill="1" applyBorder="1" applyAlignment="1" applyProtection="1">
      <alignment horizontal="center"/>
      <protection locked="0"/>
    </xf>
    <xf numFmtId="0" fontId="16" fillId="2" borderId="38" xfId="0" applyFont="1" applyFill="1" applyBorder="1" applyAlignment="1" applyProtection="1">
      <alignment horizontal="center"/>
      <protection locked="0"/>
    </xf>
    <xf numFmtId="0" fontId="16" fillId="2" borderId="36" xfId="0" applyFont="1" applyFill="1" applyBorder="1" applyAlignment="1" applyProtection="1">
      <alignment horizontal="center"/>
      <protection locked="0"/>
    </xf>
    <xf numFmtId="0" fontId="56" fillId="0" borderId="50" xfId="0" applyFont="1" applyBorder="1" applyAlignment="1" applyProtection="1">
      <alignment horizontal="center" vertical="center" wrapText="1"/>
    </xf>
    <xf numFmtId="0" fontId="56" fillId="0" borderId="47" xfId="0" applyFont="1" applyBorder="1" applyAlignment="1" applyProtection="1">
      <alignment horizontal="center" vertical="center" wrapText="1"/>
    </xf>
    <xf numFmtId="0" fontId="56" fillId="0" borderId="42" xfId="0" applyFont="1" applyBorder="1" applyAlignment="1" applyProtection="1">
      <alignment horizontal="center" vertical="center" wrapText="1"/>
    </xf>
    <xf numFmtId="170" fontId="25" fillId="0" borderId="26" xfId="0" applyNumberFormat="1" applyFont="1" applyBorder="1" applyAlignment="1" applyProtection="1">
      <alignment horizontal="left" vertical="center" wrapText="1"/>
    </xf>
    <xf numFmtId="0" fontId="62" fillId="0" borderId="0" xfId="0" applyFont="1" applyBorder="1" applyAlignment="1" applyProtection="1">
      <alignment horizontal="center" wrapText="1"/>
    </xf>
    <xf numFmtId="0" fontId="62" fillId="0" borderId="31" xfId="0" applyFont="1" applyBorder="1" applyAlignment="1" applyProtection="1">
      <alignment horizontal="center" wrapText="1"/>
    </xf>
    <xf numFmtId="0" fontId="63" fillId="0" borderId="28" xfId="0" applyFont="1" applyBorder="1" applyAlignment="1" applyProtection="1">
      <alignment horizontal="center" wrapText="1"/>
    </xf>
    <xf numFmtId="0" fontId="63" fillId="0" borderId="34" xfId="0" applyFont="1" applyBorder="1" applyAlignment="1" applyProtection="1">
      <alignment horizontal="center" wrapText="1"/>
    </xf>
    <xf numFmtId="0" fontId="63" fillId="0" borderId="29" xfId="0" applyFont="1" applyBorder="1" applyAlignment="1" applyProtection="1">
      <alignment horizontal="center" wrapText="1"/>
    </xf>
    <xf numFmtId="0" fontId="59" fillId="0" borderId="32" xfId="0" applyFont="1" applyBorder="1" applyAlignment="1" applyProtection="1">
      <alignment horizontal="center" vertical="top" wrapText="1"/>
    </xf>
    <xf numFmtId="0" fontId="59" fillId="0" borderId="23" xfId="0" applyFont="1" applyBorder="1" applyAlignment="1" applyProtection="1">
      <alignment horizontal="center" vertical="top" wrapText="1"/>
    </xf>
    <xf numFmtId="0" fontId="59" fillId="0" borderId="33" xfId="0" applyFont="1" applyBorder="1" applyAlignment="1" applyProtection="1">
      <alignment horizontal="center" vertical="top" wrapText="1"/>
    </xf>
    <xf numFmtId="0" fontId="65" fillId="0" borderId="0" xfId="0" applyFont="1" applyBorder="1" applyAlignment="1" applyProtection="1">
      <alignment horizontal="center" vertical="center" wrapText="1"/>
    </xf>
    <xf numFmtId="0" fontId="72" fillId="0" borderId="69" xfId="0" applyFont="1" applyBorder="1" applyAlignment="1" applyProtection="1">
      <alignment horizontal="center" vertical="center" wrapText="1"/>
    </xf>
    <xf numFmtId="0" fontId="42" fillId="0" borderId="70" xfId="0" applyFont="1" applyBorder="1" applyAlignment="1" applyProtection="1">
      <alignment horizontal="center" vertical="center" wrapText="1"/>
    </xf>
    <xf numFmtId="0" fontId="72" fillId="0" borderId="70" xfId="0" applyFont="1" applyBorder="1" applyAlignment="1">
      <alignment horizontal="center" vertical="center" wrapText="1"/>
    </xf>
    <xf numFmtId="0" fontId="72" fillId="0" borderId="70" xfId="0" applyFont="1" applyBorder="1" applyAlignment="1">
      <alignment horizontal="center" vertical="center"/>
    </xf>
    <xf numFmtId="0" fontId="72" fillId="0" borderId="70" xfId="0" applyFont="1" applyBorder="1" applyAlignment="1" applyProtection="1">
      <alignment horizontal="center" vertical="center" wrapText="1"/>
    </xf>
    <xf numFmtId="0" fontId="72" fillId="0" borderId="71" xfId="0" applyFont="1" applyBorder="1" applyAlignment="1" applyProtection="1">
      <alignment horizontal="center" vertical="center" wrapText="1"/>
    </xf>
    <xf numFmtId="0" fontId="76" fillId="0" borderId="66" xfId="0" applyFont="1" applyBorder="1" applyAlignment="1" applyProtection="1">
      <alignment horizontal="center" vertical="center" wrapText="1"/>
    </xf>
    <xf numFmtId="0" fontId="65" fillId="0" borderId="56" xfId="0" applyFont="1" applyBorder="1" applyAlignment="1" applyProtection="1">
      <alignment horizontal="center" vertical="center" wrapText="1"/>
    </xf>
    <xf numFmtId="2" fontId="47" fillId="0" borderId="0" xfId="0" applyNumberFormat="1" applyFont="1" applyAlignment="1" applyProtection="1">
      <alignment horizontal="center" vertical="center" wrapText="1"/>
      <protection locked="0"/>
    </xf>
    <xf numFmtId="170" fontId="64" fillId="0" borderId="0" xfId="0" applyNumberFormat="1" applyFont="1" applyAlignment="1" applyProtection="1">
      <alignment horizontal="left" vertical="center" wrapText="1"/>
    </xf>
    <xf numFmtId="0" fontId="0" fillId="0" borderId="64" xfId="0" applyBorder="1" applyAlignment="1">
      <alignment horizontal="center"/>
    </xf>
    <xf numFmtId="0" fontId="42" fillId="0" borderId="64" xfId="0" applyFont="1" applyBorder="1" applyAlignment="1" applyProtection="1">
      <alignment horizontal="center" vertical="center" wrapText="1"/>
    </xf>
    <xf numFmtId="0" fontId="42" fillId="0" borderId="65" xfId="0" applyFont="1" applyBorder="1" applyAlignment="1" applyProtection="1">
      <alignment horizontal="center" vertical="center" wrapText="1"/>
    </xf>
    <xf numFmtId="0" fontId="42" fillId="0" borderId="0" xfId="0" applyFont="1" applyBorder="1" applyAlignment="1" applyProtection="1">
      <alignment horizontal="center" vertical="center" wrapText="1"/>
    </xf>
    <xf numFmtId="0" fontId="0" fillId="0" borderId="0" xfId="0" applyAlignment="1">
      <alignment horizontal="center"/>
    </xf>
    <xf numFmtId="0" fontId="68" fillId="0" borderId="0" xfId="0" applyFont="1" applyAlignment="1" applyProtection="1">
      <alignment horizontal="right" vertical="top" wrapText="1"/>
    </xf>
    <xf numFmtId="2" fontId="32" fillId="0" borderId="0" xfId="0" applyNumberFormat="1" applyFont="1" applyAlignment="1" applyProtection="1">
      <alignment horizontal="center" vertical="center"/>
      <protection locked="0"/>
    </xf>
    <xf numFmtId="0" fontId="62" fillId="0" borderId="0" xfId="0" applyNumberFormat="1" applyFont="1" applyAlignment="1" applyProtection="1">
      <alignment horizontal="justify" vertical="center" wrapText="1"/>
    </xf>
    <xf numFmtId="0" fontId="11" fillId="0" borderId="13" xfId="0" applyFont="1" applyFill="1" applyBorder="1" applyAlignment="1" applyProtection="1">
      <alignment horizontal="center" vertical="center" wrapText="1"/>
      <protection locked="0"/>
    </xf>
    <xf numFmtId="0" fontId="11" fillId="0" borderId="15" xfId="0" applyFont="1" applyFill="1" applyBorder="1" applyAlignment="1" applyProtection="1">
      <alignment horizontal="center" vertical="center" wrapText="1"/>
      <protection locked="0"/>
    </xf>
    <xf numFmtId="0" fontId="62" fillId="0" borderId="1" xfId="0" applyFont="1" applyBorder="1" applyAlignment="1" applyProtection="1">
      <alignment horizontal="center" vertical="center" wrapText="1"/>
    </xf>
    <xf numFmtId="0" fontId="34" fillId="0" borderId="3" xfId="0" applyFont="1" applyBorder="1" applyAlignment="1" applyProtection="1">
      <alignment horizontal="center" wrapText="1"/>
    </xf>
    <xf numFmtId="0" fontId="38" fillId="0" borderId="0" xfId="0" applyFont="1" applyBorder="1" applyAlignment="1" applyProtection="1">
      <alignment horizontal="center" vertical="top" wrapText="1"/>
    </xf>
    <xf numFmtId="0" fontId="39" fillId="0" borderId="0" xfId="0" applyFont="1" applyBorder="1" applyAlignment="1" applyProtection="1">
      <alignment horizontal="center" vertical="top" wrapText="1"/>
    </xf>
    <xf numFmtId="0" fontId="11" fillId="2" borderId="20" xfId="0" applyFont="1" applyFill="1" applyBorder="1" applyAlignment="1" applyProtection="1">
      <alignment horizontal="center" vertical="center" wrapText="1"/>
      <protection locked="0"/>
    </xf>
    <xf numFmtId="0" fontId="11" fillId="2" borderId="21" xfId="0" applyFont="1" applyFill="1" applyBorder="1" applyAlignment="1" applyProtection="1">
      <alignment horizontal="center" vertical="center" wrapText="1"/>
      <protection locked="0"/>
    </xf>
    <xf numFmtId="0" fontId="3" fillId="0" borderId="31" xfId="0" applyFont="1" applyBorder="1" applyAlignment="1" applyProtection="1">
      <alignment horizontal="center" vertical="center" wrapText="1"/>
      <protection locked="0"/>
    </xf>
    <xf numFmtId="0" fontId="68" fillId="0" borderId="0" xfId="0" applyFont="1" applyAlignment="1" applyProtection="1">
      <alignment horizontal="left" vertical="top" wrapText="1"/>
    </xf>
    <xf numFmtId="0" fontId="44" fillId="0" borderId="0" xfId="0" applyFont="1" applyBorder="1" applyAlignment="1" applyProtection="1">
      <alignment horizontal="justify" vertical="center"/>
    </xf>
    <xf numFmtId="0" fontId="42" fillId="0" borderId="63" xfId="0" applyFont="1" applyBorder="1" applyAlignment="1" applyProtection="1">
      <alignment horizontal="center" vertical="center" wrapText="1"/>
    </xf>
    <xf numFmtId="0" fontId="62" fillId="0" borderId="0" xfId="0" applyFont="1" applyAlignment="1" applyProtection="1">
      <alignment horizontal="justify" vertical="center" wrapText="1"/>
    </xf>
    <xf numFmtId="0" fontId="67" fillId="0" borderId="0" xfId="0" applyFont="1" applyBorder="1" applyAlignment="1" applyProtection="1">
      <alignment horizontal="center" vertical="center" wrapText="1"/>
      <protection locked="0"/>
    </xf>
    <xf numFmtId="0" fontId="11" fillId="2" borderId="11" xfId="0" applyFont="1" applyFill="1" applyBorder="1" applyAlignment="1" applyProtection="1">
      <alignment horizontal="center" vertical="center" wrapText="1"/>
      <protection locked="0"/>
    </xf>
    <xf numFmtId="0" fontId="11" fillId="2" borderId="13" xfId="0" applyFont="1" applyFill="1" applyBorder="1" applyAlignment="1" applyProtection="1">
      <alignment horizontal="center" vertical="center" wrapText="1"/>
      <protection locked="0"/>
    </xf>
    <xf numFmtId="0" fontId="67" fillId="0" borderId="0" xfId="0" applyFont="1" applyBorder="1" applyAlignment="1" applyProtection="1">
      <alignment horizontal="center" vertical="center"/>
      <protection locked="0"/>
    </xf>
    <xf numFmtId="0" fontId="62" fillId="0" borderId="28" xfId="0" applyFont="1" applyBorder="1" applyAlignment="1" applyProtection="1">
      <alignment horizontal="center" wrapText="1"/>
    </xf>
    <xf numFmtId="0" fontId="62" fillId="0" borderId="34" xfId="0" applyFont="1" applyBorder="1" applyAlignment="1" applyProtection="1">
      <alignment horizontal="center" wrapText="1"/>
    </xf>
    <xf numFmtId="0" fontId="62" fillId="0" borderId="29" xfId="0" applyFont="1" applyBorder="1" applyAlignment="1" applyProtection="1">
      <alignment horizontal="center" wrapText="1"/>
    </xf>
    <xf numFmtId="168" fontId="3" fillId="0" borderId="0" xfId="0" applyNumberFormat="1" applyFont="1" applyBorder="1" applyAlignment="1" applyProtection="1">
      <alignment horizontal="center" vertical="center" wrapText="1"/>
    </xf>
    <xf numFmtId="168" fontId="3" fillId="0" borderId="23" xfId="0" applyNumberFormat="1" applyFont="1" applyBorder="1" applyAlignment="1" applyProtection="1">
      <alignment horizontal="center" vertical="center" wrapText="1"/>
    </xf>
    <xf numFmtId="0" fontId="11" fillId="0" borderId="24" xfId="0" applyFont="1" applyBorder="1" applyAlignment="1" applyProtection="1">
      <alignment horizontal="center" vertical="center"/>
    </xf>
    <xf numFmtId="0" fontId="6" fillId="0" borderId="45" xfId="0" applyFont="1" applyBorder="1" applyAlignment="1" applyProtection="1">
      <alignment vertical="center" wrapText="1"/>
    </xf>
    <xf numFmtId="0" fontId="41" fillId="0" borderId="27" xfId="0" applyFont="1" applyBorder="1" applyAlignment="1" applyProtection="1">
      <alignment horizontal="center" vertical="center" wrapText="1"/>
      <protection locked="0"/>
    </xf>
    <xf numFmtId="0" fontId="49" fillId="0" borderId="34" xfId="0" applyFont="1" applyBorder="1" applyAlignment="1" applyProtection="1">
      <alignment horizontal="center" wrapText="1"/>
    </xf>
    <xf numFmtId="0" fontId="50" fillId="0" borderId="23" xfId="0" applyFont="1" applyBorder="1" applyAlignment="1" applyProtection="1">
      <alignment horizontal="center" vertical="top" wrapText="1"/>
    </xf>
  </cellXfs>
  <cellStyles count="2">
    <cellStyle name="Normal" xfId="0" builtinId="0"/>
    <cellStyle name="Normal 2" xfId="1" xr:uid="{00000000-0005-0000-0000-000001000000}"/>
  </cellStyles>
  <dxfs count="2">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D5E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110</xdr:row>
      <xdr:rowOff>109322</xdr:rowOff>
    </xdr:from>
    <xdr:to>
      <xdr:col>13</xdr:col>
      <xdr:colOff>1564976</xdr:colOff>
      <xdr:row>111</xdr:row>
      <xdr:rowOff>653143</xdr:rowOff>
    </xdr:to>
    <xdr:sp macro="" textlink="">
      <xdr:nvSpPr>
        <xdr:cNvPr id="12" name="Text Box 276">
          <a:extLst>
            <a:ext uri="{FF2B5EF4-FFF2-40B4-BE49-F238E27FC236}">
              <a16:creationId xmlns:a16="http://schemas.microsoft.com/office/drawing/2014/main" id="{00000000-0008-0000-0000-00000C000000}"/>
            </a:ext>
          </a:extLst>
        </xdr:cNvPr>
        <xdr:cNvSpPr txBox="1">
          <a:spLocks noChangeArrowheads="1"/>
        </xdr:cNvSpPr>
      </xdr:nvSpPr>
      <xdr:spPr bwMode="auto">
        <a:xfrm>
          <a:off x="0" y="37107143"/>
          <a:ext cx="13063012" cy="12922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1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just"/>
          <a:endParaRPr lang="en-US" sz="1100" i="1">
            <a:effectLst/>
            <a:latin typeface="Times New Roman" pitchFamily="18" charset="0"/>
            <a:ea typeface="+mn-ea"/>
            <a:cs typeface="Times New Roman" pitchFamily="18" charset="0"/>
          </a:endParaRPr>
        </a:p>
        <a:p>
          <a:pPr algn="just"/>
          <a:r>
            <a:rPr lang="en-US" sz="11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just"/>
          <a:r>
            <a:rPr lang="es-MX" sz="1100">
              <a:effectLst/>
              <a:latin typeface="Times New Roman" pitchFamily="18" charset="0"/>
              <a:ea typeface="+mn-ea"/>
              <a:cs typeface="Times New Roman" pitchFamily="18" charset="0"/>
            </a:rPr>
            <a:t>F5.10 Certificado de Calibración (Versión 9)</a:t>
          </a:r>
        </a:p>
        <a:p>
          <a:pPr algn="l" rtl="0">
            <a:defRPr sz="1000"/>
          </a:pPr>
          <a:endParaRPr lang="es-MX" sz="1100" b="0" i="0" u="none" strike="noStrike" baseline="0">
            <a:solidFill>
              <a:srgbClr val="000000"/>
            </a:solidFill>
            <a:latin typeface="Times New Roman"/>
            <a:cs typeface="Times New Roman"/>
          </a:endParaRPr>
        </a:p>
        <a:p>
          <a:pPr algn="l" rtl="0">
            <a:defRPr sz="1000"/>
          </a:pPr>
          <a:endParaRPr lang="es-MX" sz="1100" b="0" i="0" u="none" strike="noStrike" baseline="0">
            <a:solidFill>
              <a:srgbClr val="000000"/>
            </a:solidFill>
            <a:latin typeface="Times New Roman"/>
            <a:cs typeface="Times New Roman"/>
          </a:endParaRPr>
        </a:p>
      </xdr:txBody>
    </xdr:sp>
    <xdr:clientData/>
  </xdr:twoCellAnchor>
  <xdr:twoCellAnchor>
    <xdr:from>
      <xdr:col>0</xdr:col>
      <xdr:colOff>0</xdr:colOff>
      <xdr:row>33</xdr:row>
      <xdr:rowOff>552444</xdr:rowOff>
    </xdr:from>
    <xdr:to>
      <xdr:col>13</xdr:col>
      <xdr:colOff>1630135</xdr:colOff>
      <xdr:row>37</xdr:row>
      <xdr:rowOff>176894</xdr:rowOff>
    </xdr:to>
    <xdr:sp macro="" textlink="">
      <xdr:nvSpPr>
        <xdr:cNvPr id="11" name="Text Box 276">
          <a:extLst>
            <a:ext uri="{FF2B5EF4-FFF2-40B4-BE49-F238E27FC236}">
              <a16:creationId xmlns:a16="http://schemas.microsoft.com/office/drawing/2014/main" id="{00000000-0008-0000-0000-00000B000000}"/>
            </a:ext>
          </a:extLst>
        </xdr:cNvPr>
        <xdr:cNvSpPr txBox="1">
          <a:spLocks noChangeArrowheads="1"/>
        </xdr:cNvSpPr>
      </xdr:nvSpPr>
      <xdr:spPr bwMode="auto">
        <a:xfrm>
          <a:off x="0" y="16146230"/>
          <a:ext cx="13128171" cy="10804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1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just"/>
          <a:endParaRPr lang="en-US" sz="1100" i="1">
            <a:effectLst/>
            <a:latin typeface="Times New Roman" pitchFamily="18" charset="0"/>
            <a:ea typeface="+mn-ea"/>
            <a:cs typeface="Times New Roman" pitchFamily="18" charset="0"/>
          </a:endParaRPr>
        </a:p>
        <a:p>
          <a:pPr algn="just"/>
          <a:r>
            <a:rPr lang="en-US" sz="11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endParaRPr lang="es-MX" sz="1100" b="0" i="0" u="none" strike="noStrike" baseline="0">
            <a:solidFill>
              <a:srgbClr val="000000"/>
            </a:solidFill>
            <a:latin typeface="Times New Roman"/>
            <a:cs typeface="Times New Roman"/>
          </a:endParaRPr>
        </a:p>
        <a:p>
          <a:pPr algn="l" rtl="0">
            <a:defRPr sz="1000"/>
          </a:pPr>
          <a:endParaRPr lang="es-MX" sz="1100" b="0" i="0" u="none" strike="noStrike" baseline="0">
            <a:solidFill>
              <a:srgbClr val="000000"/>
            </a:solidFill>
            <a:latin typeface="Times New Roman"/>
            <a:cs typeface="Times New Roman"/>
          </a:endParaRPr>
        </a:p>
      </xdr:txBody>
    </xdr:sp>
    <xdr:clientData/>
  </xdr:twoCellAnchor>
  <xdr:twoCellAnchor>
    <xdr:from>
      <xdr:col>10</xdr:col>
      <xdr:colOff>700767</xdr:colOff>
      <xdr:row>0</xdr:row>
      <xdr:rowOff>58964</xdr:rowOff>
    </xdr:from>
    <xdr:to>
      <xdr:col>13</xdr:col>
      <xdr:colOff>1592035</xdr:colOff>
      <xdr:row>2</xdr:row>
      <xdr:rowOff>454306</xdr:rowOff>
    </xdr:to>
    <xdr:pic>
      <xdr:nvPicPr>
        <xdr:cNvPr id="6" name="Picture 5" descr="LOGO KALIBRIX-TRESCAL">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08696" y="58964"/>
          <a:ext cx="3381375" cy="1347842"/>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14</xdr:col>
          <xdr:colOff>0</xdr:colOff>
          <xdr:row>0</xdr:row>
          <xdr:rowOff>123825</xdr:rowOff>
        </xdr:from>
        <xdr:to>
          <xdr:col>15</xdr:col>
          <xdr:colOff>733425</xdr:colOff>
          <xdr:row>2</xdr:row>
          <xdr:rowOff>238125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Guardar como .xls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0</xdr:row>
          <xdr:rowOff>123825</xdr:rowOff>
        </xdr:from>
        <xdr:to>
          <xdr:col>18</xdr:col>
          <xdr:colOff>495300</xdr:colOff>
          <xdr:row>2</xdr:row>
          <xdr:rowOff>238125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Guardar como .pdf</a:t>
              </a:r>
            </a:p>
          </xdr:txBody>
        </xdr:sp>
        <xdr:clientData fLocksWithSheet="0" fPrintsWithSheet="0"/>
      </xdr:twoCellAnchor>
    </mc:Choice>
    <mc:Fallback/>
  </mc:AlternateContent>
  <xdr:twoCellAnchor>
    <xdr:from>
      <xdr:col>11</xdr:col>
      <xdr:colOff>9525</xdr:colOff>
      <xdr:row>45</xdr:row>
      <xdr:rowOff>48080</xdr:rowOff>
    </xdr:from>
    <xdr:to>
      <xdr:col>13</xdr:col>
      <xdr:colOff>1621971</xdr:colOff>
      <xdr:row>47</xdr:row>
      <xdr:rowOff>443422</xdr:rowOff>
    </xdr:to>
    <xdr:pic>
      <xdr:nvPicPr>
        <xdr:cNvPr id="9" name="Picture 5" descr="LOGO KALIBRIX-TRESCAL">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38632" y="19138901"/>
          <a:ext cx="3381375" cy="1347842"/>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N154"/>
  <sheetViews>
    <sheetView showGridLines="0" tabSelected="1" topLeftCell="A91" zoomScale="55" zoomScaleNormal="55" workbookViewId="0">
      <selection activeCell="K100" sqref="K100:L100"/>
    </sheetView>
  </sheetViews>
  <sheetFormatPr baseColWidth="10" defaultColWidth="11.42578125" defaultRowHeight="15" x14ac:dyDescent="0.25"/>
  <cols>
    <col min="1" max="1" width="6.28515625" style="2" customWidth="1"/>
    <col min="2" max="2" width="23" style="2" customWidth="1"/>
    <col min="3" max="3" width="13.85546875" style="2" customWidth="1"/>
    <col min="4" max="4" width="10.5703125" style="2" customWidth="1"/>
    <col min="5" max="5" width="19.28515625" style="2" customWidth="1"/>
    <col min="6" max="6" width="6.85546875" style="2" customWidth="1"/>
    <col min="7" max="7" width="8.85546875" style="2" customWidth="1"/>
    <col min="8" max="8" width="13.85546875" style="2" customWidth="1"/>
    <col min="9" max="9" width="14.42578125" style="2" customWidth="1"/>
    <col min="10" max="10" width="17.7109375" style="2" customWidth="1"/>
    <col min="11" max="11" width="10.85546875" style="2" customWidth="1"/>
    <col min="12" max="12" width="17.140625" style="2" customWidth="1"/>
    <col min="13" max="13" width="9.28515625" style="2" customWidth="1"/>
    <col min="14" max="14" width="24.7109375" style="2" customWidth="1"/>
    <col min="15" max="16384" width="11.42578125" style="2"/>
  </cols>
  <sheetData>
    <row r="1" spans="1:14" ht="30.75" customHeight="1" x14ac:dyDescent="0.25">
      <c r="A1" s="125" t="s">
        <v>21</v>
      </c>
      <c r="B1" s="125"/>
      <c r="C1" s="125"/>
      <c r="D1" s="125"/>
      <c r="E1" s="125"/>
      <c r="F1" s="125"/>
      <c r="G1" s="125"/>
      <c r="H1" s="125"/>
      <c r="I1" s="125"/>
      <c r="J1" s="125"/>
      <c r="K1" s="40"/>
      <c r="L1" s="40"/>
      <c r="M1" s="41"/>
      <c r="N1" s="41"/>
    </row>
    <row r="2" spans="1:14" ht="43.5" customHeight="1" thickBot="1" x14ac:dyDescent="0.3">
      <c r="A2" s="126"/>
      <c r="B2" s="126"/>
      <c r="C2" s="126"/>
      <c r="D2" s="126"/>
      <c r="E2" s="126"/>
      <c r="F2" s="126"/>
      <c r="G2" s="126"/>
      <c r="H2" s="126"/>
      <c r="I2" s="126"/>
      <c r="J2" s="126"/>
      <c r="K2" s="40"/>
      <c r="L2" s="40"/>
      <c r="M2" s="41"/>
      <c r="N2" s="41"/>
    </row>
    <row r="3" spans="1:14" ht="38.25" customHeight="1" thickTop="1" thickBot="1" x14ac:dyDescent="0.3">
      <c r="A3" s="178" t="s">
        <v>35</v>
      </c>
      <c r="B3" s="178"/>
      <c r="C3" s="178"/>
      <c r="D3" s="178"/>
      <c r="E3" s="178"/>
      <c r="F3" s="178"/>
      <c r="G3" s="178"/>
      <c r="H3" s="178"/>
      <c r="I3" s="178"/>
      <c r="J3" s="178"/>
      <c r="K3" s="43"/>
      <c r="L3" s="44"/>
      <c r="M3" s="45"/>
      <c r="N3" s="45"/>
    </row>
    <row r="4" spans="1:14" ht="39" customHeight="1" thickBot="1" x14ac:dyDescent="0.3">
      <c r="A4" s="178"/>
      <c r="B4" s="178"/>
      <c r="C4" s="178"/>
      <c r="D4" s="178"/>
      <c r="E4" s="178"/>
      <c r="F4" s="178"/>
      <c r="G4" s="178"/>
      <c r="H4" s="178"/>
      <c r="I4" s="178"/>
      <c r="J4" s="178"/>
      <c r="K4" s="112" t="s">
        <v>79</v>
      </c>
      <c r="L4" s="169"/>
      <c r="M4" s="170" t="s">
        <v>94</v>
      </c>
      <c r="N4" s="171"/>
    </row>
    <row r="5" spans="1:14" ht="37.5" customHeight="1" thickBot="1" x14ac:dyDescent="0.3">
      <c r="A5" s="179" t="s">
        <v>36</v>
      </c>
      <c r="B5" s="179"/>
      <c r="C5" s="179"/>
      <c r="D5" s="179"/>
      <c r="E5" s="179"/>
      <c r="F5" s="179"/>
      <c r="G5" s="179"/>
      <c r="H5" s="179"/>
      <c r="I5" s="179"/>
      <c r="J5" s="179"/>
      <c r="K5" s="41"/>
      <c r="L5" s="41"/>
      <c r="M5" s="172" t="s">
        <v>45</v>
      </c>
      <c r="N5" s="173"/>
    </row>
    <row r="6" spans="1:14" ht="27" customHeight="1" thickBot="1" x14ac:dyDescent="0.3">
      <c r="A6" s="63"/>
      <c r="B6" s="63"/>
      <c r="C6" s="64"/>
      <c r="D6" s="63"/>
      <c r="E6" s="63"/>
      <c r="F6" s="63"/>
      <c r="G6" s="63"/>
      <c r="H6" s="63"/>
      <c r="I6" s="63"/>
      <c r="J6" s="63"/>
      <c r="K6" s="63"/>
      <c r="L6" s="63"/>
      <c r="M6" s="65"/>
      <c r="N6" s="90"/>
    </row>
    <row r="7" spans="1:14" ht="75.95" customHeight="1" thickTop="1" thickBot="1" x14ac:dyDescent="0.3">
      <c r="A7" s="154" t="s">
        <v>67</v>
      </c>
      <c r="B7" s="154"/>
      <c r="C7" s="154"/>
      <c r="D7" s="154"/>
      <c r="E7" s="154"/>
      <c r="F7" s="154"/>
      <c r="G7" s="154"/>
      <c r="H7" s="154"/>
      <c r="I7" s="154"/>
      <c r="J7" s="154"/>
      <c r="K7" s="154"/>
      <c r="L7" s="154"/>
      <c r="M7" s="154"/>
      <c r="N7" s="154"/>
    </row>
    <row r="8" spans="1:14" s="4" customFormat="1" ht="42.75" customHeight="1" thickBot="1" x14ac:dyDescent="0.3">
      <c r="A8" s="176" t="s">
        <v>65</v>
      </c>
      <c r="B8" s="176"/>
      <c r="C8" s="176"/>
      <c r="D8" s="174" t="s">
        <v>100</v>
      </c>
      <c r="E8" s="174"/>
      <c r="F8" s="174"/>
      <c r="G8" s="174"/>
      <c r="H8" s="174"/>
      <c r="I8" s="174"/>
      <c r="J8" s="174"/>
      <c r="K8" s="174"/>
      <c r="L8" s="174"/>
      <c r="M8" s="174"/>
      <c r="N8" s="174"/>
    </row>
    <row r="9" spans="1:14" ht="57" customHeight="1" thickBot="1" x14ac:dyDescent="0.3">
      <c r="A9" s="177" t="s">
        <v>66</v>
      </c>
      <c r="B9" s="177"/>
      <c r="C9" s="177"/>
      <c r="D9" s="175" t="s">
        <v>101</v>
      </c>
      <c r="E9" s="175"/>
      <c r="F9" s="175"/>
      <c r="G9" s="175"/>
      <c r="H9" s="175"/>
      <c r="I9" s="175"/>
      <c r="J9" s="175"/>
      <c r="K9" s="175"/>
      <c r="L9" s="175"/>
      <c r="M9" s="175"/>
      <c r="N9" s="175"/>
    </row>
    <row r="10" spans="1:14" ht="60" customHeight="1" thickBot="1" x14ac:dyDescent="0.3">
      <c r="A10" s="66"/>
      <c r="B10" s="66"/>
      <c r="C10" s="67"/>
      <c r="D10" s="67"/>
      <c r="E10" s="67"/>
      <c r="F10" s="67"/>
      <c r="G10" s="67"/>
      <c r="H10" s="67"/>
      <c r="I10" s="67"/>
      <c r="J10" s="67"/>
      <c r="K10" s="67"/>
      <c r="L10" s="67"/>
      <c r="M10" s="67"/>
      <c r="N10" s="67"/>
    </row>
    <row r="11" spans="1:14" ht="75.95" customHeight="1" thickTop="1" thickBot="1" x14ac:dyDescent="0.3">
      <c r="A11" s="135" t="s">
        <v>68</v>
      </c>
      <c r="B11" s="135"/>
      <c r="C11" s="135"/>
      <c r="D11" s="135"/>
      <c r="E11" s="135"/>
      <c r="F11" s="135"/>
      <c r="G11" s="135"/>
      <c r="H11" s="135"/>
      <c r="I11" s="135"/>
      <c r="J11" s="135"/>
      <c r="K11" s="135"/>
      <c r="L11" s="135"/>
      <c r="M11" s="135"/>
      <c r="N11" s="135"/>
    </row>
    <row r="12" spans="1:14" ht="20.100000000000001" customHeight="1" thickBot="1" x14ac:dyDescent="0.3">
      <c r="A12" s="180" t="s">
        <v>0</v>
      </c>
      <c r="B12" s="181"/>
      <c r="C12" s="175" t="s">
        <v>53</v>
      </c>
      <c r="D12" s="175"/>
      <c r="E12" s="175"/>
      <c r="F12" s="175"/>
      <c r="G12" s="175"/>
      <c r="H12" s="261"/>
      <c r="I12" s="180" t="s">
        <v>43</v>
      </c>
      <c r="J12" s="262"/>
      <c r="K12" s="181"/>
      <c r="L12" s="136" t="s">
        <v>103</v>
      </c>
      <c r="M12" s="137"/>
      <c r="N12" s="138"/>
    </row>
    <row r="13" spans="1:14" ht="20.100000000000001" customHeight="1" thickBot="1" x14ac:dyDescent="0.3">
      <c r="A13" s="182" t="s">
        <v>1</v>
      </c>
      <c r="B13" s="183"/>
      <c r="C13" s="175"/>
      <c r="D13" s="175"/>
      <c r="E13" s="175"/>
      <c r="F13" s="175"/>
      <c r="G13" s="175"/>
      <c r="H13" s="261"/>
      <c r="I13" s="182" t="s">
        <v>44</v>
      </c>
      <c r="J13" s="263"/>
      <c r="K13" s="183"/>
      <c r="L13" s="139"/>
      <c r="M13" s="140"/>
      <c r="N13" s="141"/>
    </row>
    <row r="14" spans="1:14" ht="20.100000000000001" customHeight="1" thickBot="1" x14ac:dyDescent="0.3">
      <c r="A14" s="180" t="s">
        <v>33</v>
      </c>
      <c r="B14" s="181"/>
      <c r="C14" s="175" t="s">
        <v>52</v>
      </c>
      <c r="D14" s="175"/>
      <c r="E14" s="175"/>
      <c r="F14" s="175"/>
      <c r="G14" s="175"/>
      <c r="H14" s="261"/>
      <c r="I14" s="180" t="s">
        <v>2</v>
      </c>
      <c r="J14" s="262"/>
      <c r="K14" s="181"/>
      <c r="L14" s="142" t="s">
        <v>104</v>
      </c>
      <c r="M14" s="143"/>
      <c r="N14" s="144"/>
    </row>
    <row r="15" spans="1:14" ht="20.100000000000001" customHeight="1" thickBot="1" x14ac:dyDescent="0.3">
      <c r="A15" s="182" t="s">
        <v>34</v>
      </c>
      <c r="B15" s="183"/>
      <c r="C15" s="175"/>
      <c r="D15" s="175"/>
      <c r="E15" s="175"/>
      <c r="F15" s="175"/>
      <c r="G15" s="175"/>
      <c r="H15" s="261"/>
      <c r="I15" s="182" t="s">
        <v>3</v>
      </c>
      <c r="J15" s="263"/>
      <c r="K15" s="183"/>
      <c r="L15" s="145"/>
      <c r="M15" s="146"/>
      <c r="N15" s="147"/>
    </row>
    <row r="16" spans="1:14" ht="20.100000000000001" customHeight="1" thickBot="1" x14ac:dyDescent="0.3">
      <c r="A16" s="180" t="s">
        <v>6</v>
      </c>
      <c r="B16" s="181"/>
      <c r="C16" s="175">
        <v>2536</v>
      </c>
      <c r="D16" s="175"/>
      <c r="E16" s="175"/>
      <c r="F16" s="175"/>
      <c r="G16" s="175"/>
      <c r="H16" s="261"/>
      <c r="I16" s="180" t="s">
        <v>4</v>
      </c>
      <c r="J16" s="262"/>
      <c r="K16" s="181"/>
      <c r="L16" s="148" t="s">
        <v>105</v>
      </c>
      <c r="M16" s="149"/>
      <c r="N16" s="150"/>
    </row>
    <row r="17" spans="1:14" ht="20.100000000000001" customHeight="1" thickBot="1" x14ac:dyDescent="0.3">
      <c r="A17" s="182" t="s">
        <v>7</v>
      </c>
      <c r="B17" s="183"/>
      <c r="C17" s="175"/>
      <c r="D17" s="175"/>
      <c r="E17" s="175"/>
      <c r="F17" s="175"/>
      <c r="G17" s="175"/>
      <c r="H17" s="261"/>
      <c r="I17" s="182" t="s">
        <v>5</v>
      </c>
      <c r="J17" s="263"/>
      <c r="K17" s="183"/>
      <c r="L17" s="151"/>
      <c r="M17" s="152"/>
      <c r="N17" s="153"/>
    </row>
    <row r="18" spans="1:14" ht="20.100000000000001" customHeight="1" thickBot="1" x14ac:dyDescent="0.3">
      <c r="A18" s="180" t="s">
        <v>41</v>
      </c>
      <c r="B18" s="181"/>
      <c r="C18" s="175" t="s">
        <v>102</v>
      </c>
      <c r="D18" s="175"/>
      <c r="E18" s="175"/>
      <c r="F18" s="175"/>
      <c r="G18" s="175"/>
      <c r="H18" s="261"/>
      <c r="I18" s="180" t="s">
        <v>8</v>
      </c>
      <c r="J18" s="262"/>
      <c r="K18" s="181"/>
      <c r="L18" s="148" t="s">
        <v>106</v>
      </c>
      <c r="M18" s="149"/>
      <c r="N18" s="150"/>
    </row>
    <row r="19" spans="1:14" ht="20.100000000000001" customHeight="1" thickBot="1" x14ac:dyDescent="0.3">
      <c r="A19" s="182" t="s">
        <v>42</v>
      </c>
      <c r="B19" s="183"/>
      <c r="C19" s="175"/>
      <c r="D19" s="175"/>
      <c r="E19" s="175"/>
      <c r="F19" s="175"/>
      <c r="G19" s="175"/>
      <c r="H19" s="261"/>
      <c r="I19" s="182" t="s">
        <v>9</v>
      </c>
      <c r="J19" s="263"/>
      <c r="K19" s="183"/>
      <c r="L19" s="151"/>
      <c r="M19" s="152"/>
      <c r="N19" s="153"/>
    </row>
    <row r="20" spans="1:14" ht="60" customHeight="1" thickBot="1" x14ac:dyDescent="0.3">
      <c r="A20" s="87"/>
      <c r="B20" s="87"/>
      <c r="C20" s="63"/>
      <c r="D20" s="63"/>
      <c r="E20" s="63"/>
      <c r="F20" s="63"/>
      <c r="G20" s="63"/>
      <c r="H20" s="63"/>
      <c r="I20" s="63"/>
      <c r="J20" s="63"/>
      <c r="K20" s="63"/>
      <c r="L20" s="63"/>
      <c r="M20" s="63"/>
      <c r="N20" s="63"/>
    </row>
    <row r="21" spans="1:14" ht="75.95" customHeight="1" thickTop="1" thickBot="1" x14ac:dyDescent="0.3">
      <c r="A21" s="184" t="s">
        <v>77</v>
      </c>
      <c r="B21" s="184"/>
      <c r="C21" s="184"/>
      <c r="D21" s="184"/>
      <c r="E21" s="184"/>
      <c r="F21" s="184"/>
      <c r="G21" s="184"/>
      <c r="H21" s="184"/>
      <c r="I21" s="184"/>
      <c r="J21" s="184"/>
      <c r="K21" s="184"/>
      <c r="L21" s="184"/>
      <c r="M21" s="184"/>
      <c r="N21" s="184"/>
    </row>
    <row r="22" spans="1:14" ht="21.75" customHeight="1" x14ac:dyDescent="0.25">
      <c r="A22" s="155" t="s">
        <v>10</v>
      </c>
      <c r="B22" s="156"/>
      <c r="C22" s="156"/>
      <c r="D22" s="159" t="s">
        <v>50</v>
      </c>
      <c r="E22" s="160"/>
      <c r="F22" s="156" t="s">
        <v>12</v>
      </c>
      <c r="G22" s="156"/>
      <c r="H22" s="156"/>
      <c r="I22" s="185" t="s">
        <v>72</v>
      </c>
      <c r="J22" s="186"/>
      <c r="K22" s="190" t="s">
        <v>70</v>
      </c>
      <c r="L22" s="190"/>
      <c r="M22" s="190"/>
      <c r="N22" s="192" t="s">
        <v>71</v>
      </c>
    </row>
    <row r="23" spans="1:14" ht="18" customHeight="1" thickBot="1" x14ac:dyDescent="0.3">
      <c r="A23" s="157" t="s">
        <v>11</v>
      </c>
      <c r="B23" s="158"/>
      <c r="C23" s="158"/>
      <c r="D23" s="161"/>
      <c r="E23" s="162"/>
      <c r="F23" s="158" t="s">
        <v>22</v>
      </c>
      <c r="G23" s="158"/>
      <c r="H23" s="158"/>
      <c r="I23" s="187"/>
      <c r="J23" s="188"/>
      <c r="K23" s="191" t="s">
        <v>69</v>
      </c>
      <c r="L23" s="191"/>
      <c r="M23" s="191"/>
      <c r="N23" s="193"/>
    </row>
    <row r="24" spans="1:14" ht="60" customHeight="1" thickBot="1" x14ac:dyDescent="0.3">
      <c r="A24" s="92"/>
      <c r="B24" s="92"/>
      <c r="C24" s="260"/>
      <c r="D24" s="260"/>
      <c r="E24" s="260"/>
      <c r="F24" s="260"/>
      <c r="G24" s="260"/>
      <c r="H24" s="195"/>
      <c r="I24" s="195"/>
      <c r="J24" s="88"/>
      <c r="K24" s="89"/>
      <c r="L24" s="89"/>
      <c r="M24" s="89"/>
      <c r="N24" s="89"/>
    </row>
    <row r="25" spans="1:14" ht="75.95" customHeight="1" thickTop="1" thickBot="1" x14ac:dyDescent="0.3">
      <c r="A25" s="196" t="s">
        <v>78</v>
      </c>
      <c r="B25" s="196"/>
      <c r="C25" s="196"/>
      <c r="D25" s="196"/>
      <c r="E25" s="196"/>
      <c r="F25" s="196"/>
      <c r="G25" s="196"/>
      <c r="H25" s="196"/>
      <c r="I25" s="196"/>
      <c r="J25" s="196"/>
      <c r="K25" s="196"/>
      <c r="L25" s="196"/>
      <c r="M25" s="196"/>
      <c r="N25" s="196"/>
    </row>
    <row r="26" spans="1:14" ht="24" customHeight="1" x14ac:dyDescent="0.25">
      <c r="A26" s="198" t="s">
        <v>13</v>
      </c>
      <c r="B26" s="131"/>
      <c r="C26" s="131"/>
      <c r="D26" s="132"/>
      <c r="E26" s="130" t="s">
        <v>39</v>
      </c>
      <c r="F26" s="131"/>
      <c r="G26" s="131"/>
      <c r="H26" s="131"/>
      <c r="I26" s="132"/>
      <c r="J26" s="130" t="s">
        <v>73</v>
      </c>
      <c r="K26" s="131"/>
      <c r="L26" s="132"/>
      <c r="M26" s="131" t="s">
        <v>15</v>
      </c>
      <c r="N26" s="197"/>
    </row>
    <row r="27" spans="1:14" ht="24" customHeight="1" x14ac:dyDescent="0.25">
      <c r="A27" s="127" t="s">
        <v>14</v>
      </c>
      <c r="B27" s="128"/>
      <c r="C27" s="128"/>
      <c r="D27" s="129"/>
      <c r="E27" s="134" t="s">
        <v>40</v>
      </c>
      <c r="F27" s="134"/>
      <c r="G27" s="134"/>
      <c r="H27" s="134"/>
      <c r="I27" s="134"/>
      <c r="J27" s="133" t="s">
        <v>74</v>
      </c>
      <c r="K27" s="128"/>
      <c r="L27" s="129"/>
      <c r="M27" s="134" t="s">
        <v>16</v>
      </c>
      <c r="N27" s="199"/>
    </row>
    <row r="28" spans="1:14" ht="45" customHeight="1" x14ac:dyDescent="0.25">
      <c r="A28" s="206" t="s">
        <v>54</v>
      </c>
      <c r="B28" s="207"/>
      <c r="C28" s="207"/>
      <c r="D28" s="208"/>
      <c r="E28" s="163" t="s">
        <v>76</v>
      </c>
      <c r="F28" s="207"/>
      <c r="G28" s="207"/>
      <c r="H28" s="207"/>
      <c r="I28" s="208"/>
      <c r="J28" s="163" t="s">
        <v>75</v>
      </c>
      <c r="K28" s="207"/>
      <c r="L28" s="208"/>
      <c r="M28" s="207" t="s">
        <v>55</v>
      </c>
      <c r="N28" s="164"/>
    </row>
    <row r="29" spans="1:14" ht="45" customHeight="1" x14ac:dyDescent="0.25">
      <c r="A29" s="206" t="s">
        <v>54</v>
      </c>
      <c r="B29" s="207"/>
      <c r="C29" s="207"/>
      <c r="D29" s="208"/>
      <c r="E29" s="163" t="s">
        <v>76</v>
      </c>
      <c r="F29" s="207"/>
      <c r="G29" s="207"/>
      <c r="H29" s="207"/>
      <c r="I29" s="208"/>
      <c r="J29" s="207" t="s">
        <v>75</v>
      </c>
      <c r="K29" s="207"/>
      <c r="L29" s="207"/>
      <c r="M29" s="163" t="s">
        <v>55</v>
      </c>
      <c r="N29" s="164"/>
    </row>
    <row r="30" spans="1:14" ht="45" customHeight="1" thickBot="1" x14ac:dyDescent="0.3">
      <c r="A30" s="165" t="s">
        <v>54</v>
      </c>
      <c r="B30" s="166"/>
      <c r="C30" s="166"/>
      <c r="D30" s="166"/>
      <c r="E30" s="167" t="s">
        <v>76</v>
      </c>
      <c r="F30" s="166"/>
      <c r="G30" s="166"/>
      <c r="H30" s="166"/>
      <c r="I30" s="166"/>
      <c r="J30" s="167" t="s">
        <v>75</v>
      </c>
      <c r="K30" s="166"/>
      <c r="L30" s="166"/>
      <c r="M30" s="167" t="s">
        <v>55</v>
      </c>
      <c r="N30" s="168"/>
    </row>
    <row r="31" spans="1:14" ht="17.25" x14ac:dyDescent="0.3">
      <c r="A31" s="200"/>
      <c r="B31" s="200"/>
      <c r="C31" s="200"/>
      <c r="D31" s="5"/>
      <c r="E31" s="6"/>
      <c r="F31" s="62"/>
      <c r="G31" s="6"/>
      <c r="H31" s="5"/>
      <c r="I31" s="200"/>
      <c r="J31" s="200"/>
      <c r="K31" s="200"/>
      <c r="L31" s="5"/>
      <c r="M31" s="6"/>
      <c r="N31" s="91"/>
    </row>
    <row r="32" spans="1:14" ht="54" hidden="1" customHeight="1" x14ac:dyDescent="0.25">
      <c r="A32" s="201" t="s">
        <v>47</v>
      </c>
      <c r="B32" s="201"/>
      <c r="C32" s="201"/>
      <c r="D32" s="201"/>
      <c r="E32" s="201" t="s">
        <v>49</v>
      </c>
      <c r="F32" s="201"/>
      <c r="G32" s="201"/>
      <c r="H32" s="201"/>
      <c r="I32" s="201" t="s">
        <v>48</v>
      </c>
      <c r="J32" s="201"/>
      <c r="K32" s="201"/>
      <c r="L32" s="201"/>
      <c r="M32" s="202">
        <v>43252</v>
      </c>
      <c r="N32" s="202"/>
    </row>
    <row r="33" spans="1:14" ht="15" customHeight="1" x14ac:dyDescent="0.25">
      <c r="A33" s="201"/>
      <c r="B33" s="201"/>
      <c r="C33" s="201"/>
      <c r="D33" s="201"/>
      <c r="E33" s="201"/>
      <c r="F33" s="201"/>
      <c r="G33" s="201"/>
      <c r="H33" s="201"/>
      <c r="I33" s="201"/>
      <c r="J33" s="201"/>
      <c r="K33" s="201"/>
      <c r="L33" s="201"/>
      <c r="M33" s="202"/>
      <c r="N33" s="202"/>
    </row>
    <row r="34" spans="1:14" ht="49.5" customHeight="1" x14ac:dyDescent="0.25"/>
    <row r="38" spans="1:14" ht="15.75" thickBot="1" x14ac:dyDescent="0.3"/>
    <row r="39" spans="1:14" s="7" customFormat="1" ht="27" customHeight="1" thickBot="1" x14ac:dyDescent="0.3">
      <c r="A39" s="254" t="s">
        <v>59</v>
      </c>
      <c r="B39" s="255"/>
      <c r="C39" s="256"/>
      <c r="D39" s="209">
        <v>43617</v>
      </c>
      <c r="E39" s="209"/>
      <c r="F39" s="77"/>
      <c r="G39" s="255" t="s">
        <v>63</v>
      </c>
      <c r="H39" s="255"/>
      <c r="I39" s="255"/>
      <c r="J39" s="71"/>
      <c r="K39" s="73"/>
      <c r="L39" s="68"/>
      <c r="M39" s="73"/>
      <c r="N39" s="74"/>
    </row>
    <row r="40" spans="1:14" s="7" customFormat="1" ht="27" customHeight="1" thickBot="1" x14ac:dyDescent="0.3">
      <c r="A40" s="215" t="s">
        <v>60</v>
      </c>
      <c r="B40" s="216"/>
      <c r="C40" s="217"/>
      <c r="D40" s="209"/>
      <c r="E40" s="209"/>
      <c r="F40" s="78"/>
      <c r="G40" s="134" t="s">
        <v>64</v>
      </c>
      <c r="H40" s="134"/>
      <c r="I40" s="134"/>
      <c r="J40" s="210" t="s">
        <v>57</v>
      </c>
      <c r="K40" s="210"/>
      <c r="L40" s="210"/>
      <c r="M40" s="210" t="s">
        <v>19</v>
      </c>
      <c r="N40" s="211"/>
    </row>
    <row r="41" spans="1:14" s="7" customFormat="1" ht="27" customHeight="1" thickBot="1" x14ac:dyDescent="0.35">
      <c r="A41" s="212" t="s">
        <v>61</v>
      </c>
      <c r="B41" s="213"/>
      <c r="C41" s="214"/>
      <c r="D41" s="209">
        <v>43618</v>
      </c>
      <c r="E41" s="209"/>
      <c r="F41" s="78"/>
      <c r="G41" s="257"/>
      <c r="H41" s="257"/>
      <c r="J41" s="134" t="s">
        <v>58</v>
      </c>
      <c r="K41" s="134"/>
      <c r="L41" s="134"/>
      <c r="M41" s="134" t="s">
        <v>20</v>
      </c>
      <c r="N41" s="199"/>
    </row>
    <row r="42" spans="1:14" s="7" customFormat="1" ht="27" customHeight="1" thickBot="1" x14ac:dyDescent="0.25">
      <c r="A42" s="215" t="s">
        <v>62</v>
      </c>
      <c r="B42" s="216"/>
      <c r="C42" s="217"/>
      <c r="D42" s="209"/>
      <c r="E42" s="209"/>
      <c r="F42" s="78"/>
      <c r="G42" s="257"/>
      <c r="H42" s="257"/>
      <c r="J42" s="194" t="s">
        <v>37</v>
      </c>
      <c r="K42" s="194"/>
      <c r="L42" s="194"/>
      <c r="M42" s="194" t="s">
        <v>38</v>
      </c>
      <c r="N42" s="245"/>
    </row>
    <row r="43" spans="1:14" s="7" customFormat="1" ht="27" customHeight="1" thickBot="1" x14ac:dyDescent="0.35">
      <c r="A43" s="254" t="s">
        <v>17</v>
      </c>
      <c r="B43" s="255"/>
      <c r="C43" s="256"/>
      <c r="D43" s="209">
        <v>43619</v>
      </c>
      <c r="E43" s="209"/>
      <c r="F43" s="78"/>
      <c r="G43" s="257"/>
      <c r="H43" s="257"/>
      <c r="I43" s="72"/>
      <c r="J43" s="72"/>
      <c r="K43" s="72"/>
      <c r="L43" s="1"/>
      <c r="M43" s="8"/>
      <c r="N43" s="69"/>
    </row>
    <row r="44" spans="1:14" s="7" customFormat="1" ht="27" customHeight="1" thickBot="1" x14ac:dyDescent="0.25">
      <c r="A44" s="215" t="s">
        <v>18</v>
      </c>
      <c r="B44" s="216"/>
      <c r="C44" s="217"/>
      <c r="D44" s="209"/>
      <c r="E44" s="209"/>
      <c r="F44" s="79"/>
      <c r="G44" s="258"/>
      <c r="H44" s="258"/>
      <c r="I44" s="70"/>
      <c r="J44" s="70"/>
      <c r="K44" s="70"/>
      <c r="L44" s="70"/>
      <c r="M44" s="70"/>
      <c r="N44" s="75"/>
    </row>
    <row r="45" spans="1:14" ht="16.5" x14ac:dyDescent="0.25">
      <c r="A45" s="247" t="s">
        <v>56</v>
      </c>
      <c r="B45" s="247"/>
      <c r="C45" s="247"/>
      <c r="D45" s="247"/>
      <c r="E45" s="41"/>
      <c r="F45" s="41"/>
      <c r="G45" s="42"/>
      <c r="H45" s="41"/>
      <c r="I45" s="41"/>
      <c r="J45" s="41"/>
      <c r="K45" s="41"/>
      <c r="L45" s="41"/>
      <c r="M45" s="41"/>
      <c r="N45" s="41"/>
    </row>
    <row r="46" spans="1:14" ht="30.75" customHeight="1" x14ac:dyDescent="0.25">
      <c r="A46" s="125" t="s">
        <v>21</v>
      </c>
      <c r="B46" s="125"/>
      <c r="C46" s="125"/>
      <c r="D46" s="125"/>
      <c r="E46" s="125"/>
      <c r="F46" s="125"/>
      <c r="G46" s="125"/>
      <c r="H46" s="125"/>
      <c r="I46" s="125"/>
      <c r="J46" s="59"/>
      <c r="K46" s="40"/>
      <c r="L46" s="41"/>
      <c r="M46" s="41"/>
      <c r="N46" s="41"/>
    </row>
    <row r="47" spans="1:14" ht="43.5" customHeight="1" thickBot="1" x14ac:dyDescent="0.3">
      <c r="A47" s="239"/>
      <c r="B47" s="239"/>
      <c r="C47" s="239"/>
      <c r="D47" s="239"/>
      <c r="E47" s="239"/>
      <c r="F47" s="239"/>
      <c r="G47" s="239"/>
      <c r="H47" s="239"/>
      <c r="I47" s="239"/>
      <c r="J47" s="59"/>
      <c r="K47" s="40"/>
      <c r="L47" s="41"/>
      <c r="M47" s="41"/>
      <c r="N47" s="41"/>
    </row>
    <row r="48" spans="1:14" ht="39" customHeight="1" thickBot="1" x14ac:dyDescent="0.55000000000000004">
      <c r="A48" s="240" t="s">
        <v>35</v>
      </c>
      <c r="B48" s="240"/>
      <c r="C48" s="240"/>
      <c r="D48" s="240"/>
      <c r="E48" s="240"/>
      <c r="F48" s="240"/>
      <c r="G48" s="240"/>
      <c r="H48" s="240"/>
      <c r="I48" s="240"/>
      <c r="J48" s="60"/>
      <c r="K48" s="43"/>
      <c r="L48" s="41"/>
      <c r="M48" s="41"/>
      <c r="N48" s="41"/>
    </row>
    <row r="49" spans="1:14" ht="39" customHeight="1" thickBot="1" x14ac:dyDescent="0.55000000000000004">
      <c r="A49" s="178"/>
      <c r="B49" s="178"/>
      <c r="C49" s="178"/>
      <c r="D49" s="178"/>
      <c r="E49" s="178"/>
      <c r="F49" s="178"/>
      <c r="G49" s="178"/>
      <c r="H49" s="178"/>
      <c r="I49" s="178"/>
      <c r="J49" s="60"/>
      <c r="K49" s="112" t="s">
        <v>23</v>
      </c>
      <c r="L49" s="113"/>
      <c r="M49" s="114" t="str">
        <f>M4</f>
        <v>KBX1906-0001</v>
      </c>
      <c r="N49" s="115"/>
    </row>
    <row r="50" spans="1:14" ht="37.5" customHeight="1" thickBot="1" x14ac:dyDescent="0.3">
      <c r="A50" s="241" t="s">
        <v>36</v>
      </c>
      <c r="B50" s="241"/>
      <c r="C50" s="242"/>
      <c r="D50" s="242"/>
      <c r="E50" s="242"/>
      <c r="F50" s="242"/>
      <c r="G50" s="242"/>
      <c r="H50" s="242"/>
      <c r="I50" s="242"/>
      <c r="J50" s="61"/>
      <c r="K50" s="43"/>
      <c r="L50" s="42"/>
      <c r="M50" s="116" t="s">
        <v>46</v>
      </c>
      <c r="N50" s="117"/>
    </row>
    <row r="51" spans="1:14" ht="13.5" customHeight="1" x14ac:dyDescent="0.25">
      <c r="A51" s="46"/>
      <c r="B51" s="46"/>
      <c r="C51" s="47"/>
      <c r="D51" s="41"/>
      <c r="E51" s="41"/>
      <c r="F51" s="41"/>
      <c r="G51" s="41"/>
      <c r="H51" s="41"/>
      <c r="I51" s="41"/>
      <c r="J51" s="41"/>
      <c r="K51" s="41"/>
      <c r="L51" s="48"/>
      <c r="M51" s="42"/>
      <c r="N51" s="49"/>
    </row>
    <row r="52" spans="1:14" ht="36.75" customHeight="1" thickBot="1" x14ac:dyDescent="0.3">
      <c r="A52" s="99"/>
      <c r="B52" s="99"/>
      <c r="C52" s="63"/>
      <c r="D52" s="63"/>
      <c r="E52" s="63"/>
      <c r="F52" s="63"/>
      <c r="G52" s="63"/>
      <c r="H52" s="63"/>
      <c r="I52" s="63"/>
      <c r="J52" s="63"/>
      <c r="K52" s="63"/>
      <c r="L52" s="63"/>
      <c r="M52" s="63"/>
      <c r="N52" s="63"/>
    </row>
    <row r="53" spans="1:14" ht="24" customHeight="1" thickTop="1" x14ac:dyDescent="0.25">
      <c r="A53" s="226" t="s">
        <v>80</v>
      </c>
      <c r="B53" s="226"/>
      <c r="C53" s="226"/>
      <c r="D53" s="226"/>
      <c r="E53" s="226"/>
      <c r="F53" s="226"/>
      <c r="G53" s="226"/>
      <c r="H53" s="226"/>
      <c r="I53" s="226"/>
      <c r="J53" s="226"/>
      <c r="K53" s="226"/>
      <c r="L53" s="226"/>
      <c r="M53" s="226"/>
      <c r="N53" s="226"/>
    </row>
    <row r="54" spans="1:14" ht="24" customHeight="1" x14ac:dyDescent="0.25">
      <c r="A54" s="253" t="s">
        <v>24</v>
      </c>
      <c r="B54" s="253"/>
      <c r="C54" s="253"/>
      <c r="D54" s="253"/>
      <c r="E54" s="253"/>
      <c r="F54" s="253"/>
      <c r="G54" s="253"/>
      <c r="H54" s="253"/>
      <c r="I54" s="253"/>
      <c r="J54" s="253"/>
      <c r="K54" s="253"/>
      <c r="L54" s="253"/>
      <c r="M54" s="253"/>
      <c r="N54" s="253"/>
    </row>
    <row r="55" spans="1:14" ht="21" customHeight="1" x14ac:dyDescent="0.25">
      <c r="A55" s="250" t="s">
        <v>25</v>
      </c>
      <c r="B55" s="250"/>
      <c r="C55" s="250"/>
      <c r="D55" s="250"/>
      <c r="E55" s="250"/>
      <c r="F55" s="250"/>
      <c r="G55" s="250"/>
      <c r="H55" s="250"/>
      <c r="I55" s="250"/>
      <c r="J55" s="250"/>
      <c r="K55" s="250"/>
      <c r="L55" s="250"/>
      <c r="M55" s="250"/>
      <c r="N55" s="250"/>
    </row>
    <row r="56" spans="1:14" ht="24" hidden="1" customHeight="1" x14ac:dyDescent="0.25">
      <c r="A56" s="9"/>
      <c r="B56" s="9"/>
      <c r="C56" s="9"/>
      <c r="D56" s="9"/>
      <c r="E56" s="9"/>
      <c r="F56" s="9"/>
      <c r="G56" s="9"/>
      <c r="H56" s="9"/>
      <c r="I56" s="9"/>
      <c r="J56" s="9"/>
      <c r="K56" s="9"/>
      <c r="L56" s="9"/>
      <c r="M56" s="9"/>
      <c r="N56" s="9"/>
    </row>
    <row r="57" spans="1:14" ht="24" hidden="1" customHeight="1" x14ac:dyDescent="0.25">
      <c r="A57" s="9"/>
      <c r="B57" s="9"/>
      <c r="C57" s="243" t="s">
        <v>31</v>
      </c>
      <c r="D57" s="10" t="e">
        <f xml:space="preserve"> IF(#REF!=1,#REF!* 25.4,#REF!)</f>
        <v>#REF!</v>
      </c>
      <c r="E57" s="10" t="e">
        <f xml:space="preserve"> IF(#REF!=1,#REF!* 25.4,#REF!)</f>
        <v>#REF!</v>
      </c>
      <c r="F57" s="10"/>
      <c r="G57" s="10" t="e">
        <f xml:space="preserve"> IF(#REF!=1,#REF!* 25.4,#REF!)</f>
        <v>#REF!</v>
      </c>
      <c r="H57" s="10" t="e">
        <f xml:space="preserve"> IF(#REF!=1,#REF!* 25.4,#REF!)</f>
        <v>#REF!</v>
      </c>
      <c r="I57" s="10" t="e">
        <f xml:space="preserve"> IF(#REF!=1,#REF!* 25.4,#REF!)</f>
        <v>#REF!</v>
      </c>
      <c r="J57" s="81"/>
      <c r="K57" s="11" t="e">
        <f xml:space="preserve"> IF(#REF!=1,#REF!* 25.4,#REF!)</f>
        <v>#REF!</v>
      </c>
      <c r="L57" s="12"/>
      <c r="M57" s="9"/>
      <c r="N57" s="9"/>
    </row>
    <row r="58" spans="1:14" ht="24" hidden="1" customHeight="1" x14ac:dyDescent="0.25">
      <c r="A58" s="9"/>
      <c r="B58" s="9"/>
      <c r="C58" s="244"/>
      <c r="D58" s="13" t="e">
        <f>IF(#REF!=1,#REF!,#REF!/ 25.4)</f>
        <v>#REF!</v>
      </c>
      <c r="E58" s="14" t="e">
        <f>IF(#REF!=1,#REF!,#REF!/ 25.4)</f>
        <v>#REF!</v>
      </c>
      <c r="F58" s="14"/>
      <c r="G58" s="14" t="e">
        <f>IF(#REF!=1,#REF!,#REF!/ 25.4)</f>
        <v>#REF!</v>
      </c>
      <c r="H58" s="14" t="e">
        <f>IF(#REF!=1,#REF!,#REF!/ 25.4)</f>
        <v>#REF!</v>
      </c>
      <c r="I58" s="14" t="e">
        <f>IF(#REF!=1,#REF!,#REF!/ 25.4)</f>
        <v>#REF!</v>
      </c>
      <c r="J58" s="28"/>
      <c r="K58" s="15" t="e">
        <f>IF(#REF!=1,#REF!,#REF!/ 25.4)</f>
        <v>#REF!</v>
      </c>
      <c r="L58" s="16"/>
      <c r="M58" s="9"/>
      <c r="N58" s="9"/>
    </row>
    <row r="59" spans="1:14" s="21" customFormat="1" ht="24" hidden="1" customHeight="1" x14ac:dyDescent="0.25">
      <c r="A59" s="123"/>
      <c r="B59" s="76"/>
      <c r="C59" s="237" t="s">
        <v>32</v>
      </c>
      <c r="D59" s="17" t="e">
        <f xml:space="preserve"> IF(#REF!=1,#REF!* 25.4,#REF!)</f>
        <v>#REF!</v>
      </c>
      <c r="E59" s="17" t="e">
        <f xml:space="preserve"> IF(#REF!=1,#REF!* 25.4,#REF!)</f>
        <v>#REF!</v>
      </c>
      <c r="F59" s="17"/>
      <c r="G59" s="17" t="e">
        <f xml:space="preserve"> IF(#REF!=1,#REF!* 25.4,#REF!)</f>
        <v>#REF!</v>
      </c>
      <c r="H59" s="17" t="e">
        <f xml:space="preserve"> IF(#REF!=1,#REF!* 25.4,#REF!)</f>
        <v>#REF!</v>
      </c>
      <c r="I59" s="17" t="e">
        <f xml:space="preserve"> IF(#REF!=1,#REF!* 25.4,#REF!)</f>
        <v>#REF!</v>
      </c>
      <c r="J59" s="82"/>
      <c r="K59" s="18" t="e">
        <f xml:space="preserve"> IF(#REF!=1,#REF!* 25.4,#REF!)</f>
        <v>#REF!</v>
      </c>
      <c r="L59" s="19"/>
      <c r="M59" s="20"/>
      <c r="N59" s="20"/>
    </row>
    <row r="60" spans="1:14" s="21" customFormat="1" ht="24" hidden="1" customHeight="1" thickBot="1" x14ac:dyDescent="0.3">
      <c r="A60" s="123"/>
      <c r="B60" s="76"/>
      <c r="C60" s="238"/>
      <c r="D60" s="22" t="e">
        <f>IF(#REF!=1,#REF!,#REF!/ 25.4)</f>
        <v>#REF!</v>
      </c>
      <c r="E60" s="22" t="e">
        <f>IF(#REF!=1,#REF!,#REF!/ 25.4)</f>
        <v>#REF!</v>
      </c>
      <c r="F60" s="22"/>
      <c r="G60" s="22" t="e">
        <f>IF(#REF!=1,#REF!,#REF!/ 25.4)</f>
        <v>#REF!</v>
      </c>
      <c r="H60" s="22" t="e">
        <f>IF(#REF!=1,#REF!,#REF!/ 25.4)</f>
        <v>#REF!</v>
      </c>
      <c r="I60" s="22" t="e">
        <f>IF(#REF!=1,#REF!,#REF!/ 25.4)</f>
        <v>#REF!</v>
      </c>
      <c r="J60" s="23"/>
      <c r="K60" s="23" t="e">
        <f>IF(#REF!=1,#REF!,#REF!/ 25.4)</f>
        <v>#REF!</v>
      </c>
      <c r="L60" s="24"/>
      <c r="M60" s="25"/>
      <c r="N60" s="25"/>
    </row>
    <row r="61" spans="1:14" s="21" customFormat="1" ht="24" hidden="1" customHeight="1" thickBot="1" x14ac:dyDescent="0.3">
      <c r="A61" s="123"/>
      <c r="B61" s="76"/>
      <c r="C61" s="26"/>
      <c r="D61" s="19"/>
      <c r="E61" s="19"/>
      <c r="F61" s="19"/>
      <c r="G61" s="19"/>
      <c r="H61" s="19"/>
      <c r="I61" s="19"/>
      <c r="J61" s="19"/>
      <c r="K61" s="19"/>
      <c r="L61" s="19"/>
      <c r="M61" s="19"/>
      <c r="N61" s="19"/>
    </row>
    <row r="62" spans="1:14" s="21" customFormat="1" ht="24" hidden="1" customHeight="1" x14ac:dyDescent="0.25">
      <c r="A62" s="123"/>
      <c r="B62" s="76"/>
      <c r="C62" s="251" t="s">
        <v>31</v>
      </c>
      <c r="D62" s="10" t="e">
        <f xml:space="preserve"> IF(#REF!=1,#REF!* 25.4,#REF!)</f>
        <v>#REF!</v>
      </c>
      <c r="E62" s="10" t="e">
        <f xml:space="preserve"> IF(#REF!=1,#REF!* 25.4,#REF!)</f>
        <v>#REF!</v>
      </c>
      <c r="F62" s="10"/>
      <c r="G62" s="10" t="e">
        <f xml:space="preserve"> IF(#REF!=1,#REF!* 25.4,#REF!)</f>
        <v>#REF!</v>
      </c>
      <c r="H62" s="11" t="e">
        <f xml:space="preserve"> IF(#REF!=1,#REF!* 25.4,#REF!)</f>
        <v>#REF!</v>
      </c>
      <c r="I62" s="27" t="e">
        <f xml:space="preserve"> IF(#REF!=1,#REF!* 25.4,#REF!)</f>
        <v>#REF!</v>
      </c>
      <c r="J62" s="83"/>
      <c r="K62" s="19"/>
      <c r="L62" s="19"/>
      <c r="M62" s="19"/>
      <c r="N62" s="19"/>
    </row>
    <row r="63" spans="1:14" s="21" customFormat="1" ht="24" hidden="1" customHeight="1" x14ac:dyDescent="0.25">
      <c r="A63" s="123"/>
      <c r="B63" s="76"/>
      <c r="C63" s="252"/>
      <c r="D63" s="14" t="e">
        <f>IF(#REF!=1,#REF!,#REF!/ 25.4)</f>
        <v>#REF!</v>
      </c>
      <c r="E63" s="14" t="e">
        <f>IF(#REF!=1,#REF!,#REF!/ 25.4)</f>
        <v>#REF!</v>
      </c>
      <c r="F63" s="14"/>
      <c r="G63" s="14" t="e">
        <f>IF(#REF!=1,#REF!,#REF!/ 25.4)</f>
        <v>#REF!</v>
      </c>
      <c r="H63" s="28" t="e">
        <f>IF(#REF!=1,#REF!,#REF!/ 25.4)</f>
        <v>#REF!</v>
      </c>
      <c r="I63" s="15" t="e">
        <f>IF(#REF!=1,#REF!,#REF!/ 25.4)</f>
        <v>#REF!</v>
      </c>
      <c r="J63" s="84"/>
      <c r="K63" s="19"/>
      <c r="L63" s="19"/>
      <c r="M63" s="19"/>
      <c r="N63" s="19"/>
    </row>
    <row r="64" spans="1:14" s="21" customFormat="1" ht="24" hidden="1" customHeight="1" x14ac:dyDescent="0.25">
      <c r="A64" s="123"/>
      <c r="B64" s="76"/>
      <c r="C64" s="237" t="s">
        <v>32</v>
      </c>
      <c r="D64" s="17" t="e">
        <f xml:space="preserve"> IF(#REF!=1,#REF!* 25.4,#REF!)</f>
        <v>#REF!</v>
      </c>
      <c r="E64" s="17" t="e">
        <f xml:space="preserve"> IF(#REF!=1,#REF!* 25.4,#REF!)</f>
        <v>#REF!</v>
      </c>
      <c r="F64" s="17"/>
      <c r="G64" s="17" t="e">
        <f xml:space="preserve"> IF(#REF!=1,#REF!* 25.4,#REF!)</f>
        <v>#REF!</v>
      </c>
      <c r="H64" s="17" t="e">
        <f xml:space="preserve"> IF(#REF!=1,#REF!* 25.4,#REF!)</f>
        <v>#REF!</v>
      </c>
      <c r="I64" s="18" t="e">
        <f xml:space="preserve"> IF(#REF!=1,#REF!* 25.4,#REF!)</f>
        <v>#REF!</v>
      </c>
      <c r="J64" s="85"/>
      <c r="K64" s="19"/>
      <c r="L64" s="19"/>
      <c r="M64" s="19"/>
      <c r="N64" s="19"/>
    </row>
    <row r="65" spans="1:14" s="21" customFormat="1" ht="24" hidden="1" customHeight="1" thickBot="1" x14ac:dyDescent="0.3">
      <c r="A65" s="123"/>
      <c r="B65" s="76"/>
      <c r="C65" s="238"/>
      <c r="D65" s="22" t="e">
        <f>IF(#REF!=1,#REF!,#REF!/ 25.4)</f>
        <v>#REF!</v>
      </c>
      <c r="E65" s="22" t="e">
        <f>IF(#REF!=1,#REF!,#REF!/ 25.4)</f>
        <v>#REF!</v>
      </c>
      <c r="F65" s="22"/>
      <c r="G65" s="22" t="e">
        <f>IF(#REF!=1,#REF!,#REF!/ 25.4)</f>
        <v>#REF!</v>
      </c>
      <c r="H65" s="23" t="e">
        <f>IF(#REF!=1,#REF!,#REF!/ 25.4)</f>
        <v>#REF!</v>
      </c>
      <c r="I65" s="29" t="e">
        <f>IF(#REF!=1,#REF!,#REF!/ 25.4)</f>
        <v>#REF!</v>
      </c>
      <c r="J65" s="86"/>
      <c r="K65" s="19"/>
      <c r="L65" s="19"/>
      <c r="M65" s="19"/>
      <c r="N65" s="19"/>
    </row>
    <row r="66" spans="1:14" s="21" customFormat="1" ht="24" hidden="1" customHeight="1" x14ac:dyDescent="0.25">
      <c r="A66" s="123"/>
      <c r="B66" s="76"/>
      <c r="C66" s="25"/>
      <c r="D66" s="25"/>
      <c r="E66" s="25"/>
      <c r="F66" s="25"/>
      <c r="G66" s="25"/>
      <c r="H66" s="25"/>
      <c r="I66" s="25"/>
      <c r="J66" s="25"/>
      <c r="K66" s="25"/>
      <c r="L66" s="25"/>
      <c r="M66" s="25"/>
      <c r="N66" s="25"/>
    </row>
    <row r="67" spans="1:14" ht="24" hidden="1" customHeight="1" x14ac:dyDescent="0.25">
      <c r="A67" s="9"/>
      <c r="B67" s="9"/>
      <c r="C67" s="9"/>
      <c r="D67" s="16"/>
      <c r="E67" s="30"/>
      <c r="F67" s="30"/>
      <c r="G67" s="30"/>
      <c r="H67" s="30"/>
      <c r="I67" s="30"/>
      <c r="J67" s="30"/>
      <c r="K67" s="30"/>
      <c r="L67" s="30"/>
      <c r="M67" s="9"/>
      <c r="N67" s="9"/>
    </row>
    <row r="68" spans="1:14" ht="24" hidden="1" customHeight="1" thickBot="1" x14ac:dyDescent="0.3">
      <c r="A68" s="124"/>
      <c r="B68" s="124"/>
      <c r="C68" s="124"/>
      <c r="D68" s="124"/>
      <c r="E68" s="31" t="s">
        <v>29</v>
      </c>
      <c r="F68" s="31"/>
      <c r="G68" s="31" t="s">
        <v>28</v>
      </c>
      <c r="H68" s="30"/>
      <c r="I68" s="30"/>
      <c r="J68" s="30"/>
      <c r="K68" s="30"/>
      <c r="L68" s="30"/>
      <c r="M68" s="9"/>
      <c r="N68" s="9"/>
    </row>
    <row r="69" spans="1:14" ht="24" hidden="1" customHeight="1" thickTop="1" thickBot="1" x14ac:dyDescent="0.3">
      <c r="A69" s="122" t="s">
        <v>27</v>
      </c>
      <c r="B69" s="122"/>
      <c r="C69" s="122"/>
      <c r="D69" s="122"/>
      <c r="E69" s="32" t="e">
        <f>MAX(#REF!)</f>
        <v>#REF!</v>
      </c>
      <c r="F69" s="80"/>
      <c r="G69" s="33" t="e">
        <f>E69/25400</f>
        <v>#REF!</v>
      </c>
      <c r="H69" s="3"/>
      <c r="I69" s="203" t="s">
        <v>30</v>
      </c>
      <c r="J69" s="204"/>
      <c r="K69" s="205"/>
      <c r="L69" s="34" t="e">
        <f>#REF!*9.81/1000</f>
        <v>#REF!</v>
      </c>
    </row>
    <row r="70" spans="1:14" ht="24" hidden="1" customHeight="1" thickTop="1" thickBot="1" x14ac:dyDescent="0.3">
      <c r="A70" s="122" t="s">
        <v>26</v>
      </c>
      <c r="B70" s="122"/>
      <c r="C70" s="122"/>
      <c r="D70" s="122"/>
      <c r="E70" s="32" t="e">
        <f>MAX(#REF!,#REF!)</f>
        <v>#REF!</v>
      </c>
      <c r="F70" s="80"/>
      <c r="G70" s="33" t="e">
        <f>E70/25400</f>
        <v>#REF!</v>
      </c>
      <c r="H70" s="3"/>
      <c r="I70" s="3"/>
      <c r="J70" s="3"/>
      <c r="K70" s="3"/>
      <c r="L70" s="3"/>
    </row>
    <row r="71" spans="1:14" ht="24" hidden="1" customHeight="1" thickTop="1" x14ac:dyDescent="0.25">
      <c r="A71" s="9"/>
      <c r="B71" s="9"/>
      <c r="C71" s="9"/>
      <c r="D71" s="9"/>
      <c r="E71" s="9"/>
      <c r="F71" s="9"/>
      <c r="G71" s="9"/>
      <c r="H71" s="9"/>
      <c r="I71" s="9"/>
      <c r="J71" s="9"/>
      <c r="K71" s="9"/>
      <c r="L71" s="9"/>
      <c r="M71" s="9"/>
      <c r="N71" s="9"/>
    </row>
    <row r="72" spans="1:14" s="41" customFormat="1" ht="12" customHeight="1" thickBot="1" x14ac:dyDescent="0.3">
      <c r="A72" s="259"/>
      <c r="B72" s="259"/>
      <c r="C72" s="259"/>
      <c r="D72" s="259"/>
      <c r="E72" s="259"/>
      <c r="F72" s="259"/>
      <c r="G72" s="259"/>
      <c r="H72" s="259"/>
      <c r="I72" s="259"/>
      <c r="J72" s="259"/>
      <c r="K72" s="259"/>
      <c r="L72" s="259"/>
      <c r="M72" s="259"/>
      <c r="N72" s="259"/>
    </row>
    <row r="73" spans="1:14" ht="24" customHeight="1" thickTop="1" x14ac:dyDescent="0.25">
      <c r="A73" s="226" t="s">
        <v>81</v>
      </c>
      <c r="B73" s="226"/>
      <c r="C73" s="226"/>
      <c r="D73" s="226"/>
      <c r="E73" s="226"/>
      <c r="F73" s="226"/>
      <c r="G73" s="226"/>
      <c r="H73" s="226"/>
      <c r="I73" s="226"/>
      <c r="J73" s="226"/>
      <c r="K73" s="226"/>
      <c r="L73" s="226"/>
      <c r="M73" s="226"/>
      <c r="N73" s="226"/>
    </row>
    <row r="74" spans="1:14" ht="24" customHeight="1" x14ac:dyDescent="0.25">
      <c r="A74" s="55"/>
      <c r="B74" s="55"/>
      <c r="C74" s="55"/>
      <c r="D74" s="55"/>
      <c r="E74" s="55"/>
      <c r="F74" s="55"/>
      <c r="G74" s="55"/>
      <c r="H74" s="55"/>
      <c r="I74" s="55"/>
      <c r="J74" s="55"/>
      <c r="K74" s="55"/>
      <c r="L74" s="55"/>
      <c r="M74" s="55"/>
      <c r="N74" s="55"/>
    </row>
    <row r="75" spans="1:14" ht="24" customHeight="1" x14ac:dyDescent="0.25">
      <c r="A75" s="56"/>
      <c r="B75" s="56"/>
      <c r="C75" s="56"/>
      <c r="D75" s="108"/>
      <c r="E75" s="108"/>
      <c r="F75" s="108"/>
      <c r="G75" s="108"/>
      <c r="H75" s="108"/>
      <c r="I75" s="108"/>
      <c r="J75" s="108"/>
      <c r="K75" s="108"/>
      <c r="L75" s="56"/>
      <c r="M75" s="56"/>
      <c r="N75" s="56"/>
    </row>
    <row r="76" spans="1:14" ht="24" customHeight="1" x14ac:dyDescent="0.25">
      <c r="A76" s="56"/>
      <c r="B76" s="56"/>
      <c r="C76" s="56"/>
      <c r="D76" s="108"/>
      <c r="E76" s="108"/>
      <c r="F76" s="108"/>
      <c r="G76" s="108"/>
      <c r="H76" s="108"/>
      <c r="I76" s="108"/>
      <c r="J76" s="108"/>
      <c r="K76" s="108"/>
      <c r="L76" s="56"/>
      <c r="M76" s="56"/>
      <c r="N76" s="56"/>
    </row>
    <row r="77" spans="1:14" ht="25.5" customHeight="1" thickBot="1" x14ac:dyDescent="0.3">
      <c r="A77" s="56"/>
      <c r="B77" s="218" t="s">
        <v>95</v>
      </c>
      <c r="C77" s="218"/>
      <c r="D77" s="218"/>
      <c r="E77" s="218"/>
      <c r="F77" s="218"/>
      <c r="G77" s="218"/>
      <c r="H77" s="218"/>
      <c r="I77" s="218"/>
      <c r="J77" s="218"/>
      <c r="K77" s="218"/>
      <c r="L77" s="218"/>
      <c r="M77" s="218"/>
      <c r="N77" s="56"/>
    </row>
    <row r="78" spans="1:14" ht="85.5" customHeight="1" thickBot="1" x14ac:dyDescent="0.3">
      <c r="A78" s="56"/>
      <c r="B78" s="219" t="s">
        <v>109</v>
      </c>
      <c r="C78" s="220"/>
      <c r="D78" s="221" t="s">
        <v>96</v>
      </c>
      <c r="E78" s="222"/>
      <c r="F78" s="222"/>
      <c r="G78" s="221" t="s">
        <v>97</v>
      </c>
      <c r="H78" s="222"/>
      <c r="I78" s="222"/>
      <c r="J78" s="221" t="s">
        <v>98</v>
      </c>
      <c r="K78" s="222"/>
      <c r="L78" s="223" t="s">
        <v>99</v>
      </c>
      <c r="M78" s="224"/>
      <c r="N78" s="56"/>
    </row>
    <row r="79" spans="1:14" ht="43.5" customHeight="1" thickTop="1" x14ac:dyDescent="0.25">
      <c r="A79" s="56"/>
      <c r="B79" s="225">
        <v>86.25</v>
      </c>
      <c r="C79" s="119"/>
      <c r="D79" s="118">
        <v>91.62</v>
      </c>
      <c r="E79" s="118"/>
      <c r="F79" s="118"/>
      <c r="G79" s="118">
        <v>5.37</v>
      </c>
      <c r="H79" s="118"/>
      <c r="I79" s="118"/>
      <c r="J79" s="118">
        <v>0.89</v>
      </c>
      <c r="K79" s="118"/>
      <c r="L79" s="119">
        <v>8.6</v>
      </c>
      <c r="M79" s="120"/>
      <c r="N79" s="56"/>
    </row>
    <row r="80" spans="1:14" ht="25.5" hidden="1" customHeight="1" x14ac:dyDescent="0.25">
      <c r="A80" s="56"/>
      <c r="B80" s="121"/>
      <c r="C80" s="110"/>
      <c r="D80" s="109"/>
      <c r="E80" s="109"/>
      <c r="F80" s="109"/>
      <c r="G80" s="109"/>
      <c r="H80" s="109"/>
      <c r="I80" s="109"/>
      <c r="J80" s="109"/>
      <c r="K80" s="109"/>
      <c r="L80" s="110"/>
      <c r="M80" s="111"/>
      <c r="N80" s="56"/>
    </row>
    <row r="81" spans="1:14" ht="25.5" hidden="1" customHeight="1" x14ac:dyDescent="0.25">
      <c r="A81" s="56"/>
      <c r="B81" s="121"/>
      <c r="C81" s="110"/>
      <c r="D81" s="109"/>
      <c r="E81" s="109"/>
      <c r="F81" s="109"/>
      <c r="G81" s="109"/>
      <c r="H81" s="109"/>
      <c r="I81" s="109"/>
      <c r="J81" s="109"/>
      <c r="K81" s="109"/>
      <c r="L81" s="110"/>
      <c r="M81" s="111"/>
      <c r="N81" s="56"/>
    </row>
    <row r="82" spans="1:14" ht="31.5" hidden="1" customHeight="1" x14ac:dyDescent="0.25">
      <c r="A82" s="56"/>
      <c r="B82" s="121"/>
      <c r="C82" s="110"/>
      <c r="D82" s="109"/>
      <c r="E82" s="109"/>
      <c r="F82" s="109"/>
      <c r="G82" s="109"/>
      <c r="H82" s="109"/>
      <c r="I82" s="109"/>
      <c r="J82" s="109"/>
      <c r="K82" s="109"/>
      <c r="L82" s="110"/>
      <c r="M82" s="111"/>
      <c r="N82" s="56"/>
    </row>
    <row r="83" spans="1:14" ht="20.25" hidden="1" x14ac:dyDescent="0.25">
      <c r="A83" s="56"/>
      <c r="B83" s="121"/>
      <c r="C83" s="110"/>
      <c r="D83" s="109"/>
      <c r="E83" s="109"/>
      <c r="F83" s="109"/>
      <c r="G83" s="109"/>
      <c r="H83" s="109"/>
      <c r="I83" s="109"/>
      <c r="J83" s="109"/>
      <c r="K83" s="109"/>
      <c r="L83" s="110"/>
      <c r="M83" s="111"/>
      <c r="N83" s="56"/>
    </row>
    <row r="84" spans="1:14" ht="20.25" hidden="1" customHeight="1" x14ac:dyDescent="0.25">
      <c r="A84" s="56"/>
      <c r="B84" s="121"/>
      <c r="C84" s="110"/>
      <c r="D84" s="109"/>
      <c r="E84" s="109"/>
      <c r="F84" s="109"/>
      <c r="G84" s="109"/>
      <c r="H84" s="109"/>
      <c r="I84" s="109"/>
      <c r="J84" s="109"/>
      <c r="K84" s="109"/>
      <c r="L84" s="110"/>
      <c r="M84" s="111"/>
      <c r="N84" s="56"/>
    </row>
    <row r="85" spans="1:14" ht="20.25" hidden="1" customHeight="1" x14ac:dyDescent="0.25">
      <c r="A85" s="56"/>
      <c r="B85" s="121"/>
      <c r="C85" s="110"/>
      <c r="D85" s="109"/>
      <c r="E85" s="109"/>
      <c r="F85" s="109"/>
      <c r="G85" s="109"/>
      <c r="H85" s="109"/>
      <c r="I85" s="109"/>
      <c r="J85" s="109"/>
      <c r="K85" s="109"/>
      <c r="L85" s="110"/>
      <c r="M85" s="111"/>
      <c r="N85" s="56"/>
    </row>
    <row r="86" spans="1:14" ht="20.25" hidden="1" customHeight="1" x14ac:dyDescent="0.25">
      <c r="A86" s="56"/>
      <c r="B86" s="121"/>
      <c r="C86" s="110"/>
      <c r="D86" s="109"/>
      <c r="E86" s="109"/>
      <c r="F86" s="109"/>
      <c r="G86" s="109"/>
      <c r="H86" s="109"/>
      <c r="I86" s="109"/>
      <c r="J86" s="109"/>
      <c r="K86" s="109"/>
      <c r="L86" s="110"/>
      <c r="M86" s="111"/>
      <c r="N86" s="56"/>
    </row>
    <row r="87" spans="1:14" ht="20.100000000000001" hidden="1" customHeight="1" thickBot="1" x14ac:dyDescent="0.3">
      <c r="A87" s="56"/>
      <c r="B87" s="248"/>
      <c r="C87" s="230"/>
      <c r="D87" s="229"/>
      <c r="E87" s="229"/>
      <c r="F87" s="229"/>
      <c r="G87" s="229"/>
      <c r="H87" s="229"/>
      <c r="I87" s="229"/>
      <c r="J87" s="229"/>
      <c r="K87" s="229"/>
      <c r="L87" s="230"/>
      <c r="M87" s="231"/>
      <c r="N87" s="56"/>
    </row>
    <row r="88" spans="1:14" ht="19.5" customHeight="1" x14ac:dyDescent="0.25">
      <c r="A88" s="56"/>
      <c r="B88" s="232"/>
      <c r="C88" s="232"/>
      <c r="D88" s="233"/>
      <c r="E88" s="233"/>
      <c r="F88" s="233"/>
      <c r="G88" s="233"/>
      <c r="H88" s="233"/>
      <c r="I88" s="233"/>
      <c r="J88" s="233"/>
      <c r="K88" s="233"/>
      <c r="L88" s="232"/>
      <c r="M88" s="232"/>
      <c r="N88" s="56"/>
    </row>
    <row r="89" spans="1:14" ht="20.100000000000001" customHeight="1" x14ac:dyDescent="0.25">
      <c r="A89" s="56"/>
      <c r="B89" s="56"/>
      <c r="C89" s="56"/>
      <c r="D89"/>
      <c r="E89"/>
      <c r="F89"/>
      <c r="G89"/>
      <c r="H89"/>
      <c r="I89"/>
      <c r="J89"/>
      <c r="K89"/>
      <c r="L89" s="56"/>
      <c r="M89" s="56"/>
      <c r="N89" s="56"/>
    </row>
    <row r="90" spans="1:14" ht="102" customHeight="1" x14ac:dyDescent="0.25">
      <c r="A90" s="56"/>
      <c r="B90" s="56"/>
      <c r="C90" s="56"/>
      <c r="D90"/>
      <c r="E90"/>
      <c r="F90"/>
      <c r="G90"/>
      <c r="H90"/>
      <c r="I90"/>
      <c r="J90"/>
      <c r="K90"/>
      <c r="L90" s="56"/>
      <c r="M90" s="56"/>
      <c r="N90" s="56"/>
    </row>
    <row r="91" spans="1:14" ht="20.100000000000001" customHeight="1" x14ac:dyDescent="0.25">
      <c r="A91" s="56"/>
      <c r="B91" s="56"/>
      <c r="C91" s="56"/>
      <c r="D91"/>
      <c r="E91"/>
      <c r="F91"/>
      <c r="G91"/>
      <c r="H91"/>
      <c r="I91"/>
      <c r="J91"/>
      <c r="K91"/>
      <c r="L91" s="56"/>
      <c r="M91" s="56"/>
      <c r="N91" s="56"/>
    </row>
    <row r="92" spans="1:14" ht="19.5" customHeight="1" x14ac:dyDescent="0.25">
      <c r="A92" s="56"/>
      <c r="B92" s="56"/>
      <c r="C92" s="56"/>
      <c r="D92"/>
      <c r="E92"/>
      <c r="F92"/>
      <c r="G92"/>
      <c r="H92"/>
      <c r="I92"/>
      <c r="J92"/>
      <c r="K92"/>
      <c r="L92" s="56"/>
      <c r="M92" s="56"/>
      <c r="N92" s="56"/>
    </row>
    <row r="93" spans="1:14" ht="20.100000000000001" customHeight="1" x14ac:dyDescent="0.25">
      <c r="A93" s="56"/>
      <c r="B93" s="56"/>
      <c r="C93" s="56"/>
      <c r="D93"/>
      <c r="E93"/>
      <c r="F93"/>
      <c r="G93"/>
      <c r="H93"/>
      <c r="I93"/>
      <c r="J93"/>
      <c r="K93"/>
      <c r="L93" s="56"/>
      <c r="M93" s="56"/>
      <c r="N93" s="56"/>
    </row>
    <row r="94" spans="1:14" ht="30" customHeight="1" x14ac:dyDescent="0.25">
      <c r="A94" s="56"/>
      <c r="B94" s="56"/>
      <c r="C94" s="56"/>
      <c r="D94" s="56"/>
      <c r="E94" s="56"/>
      <c r="F94" s="56"/>
      <c r="G94" s="56"/>
      <c r="H94" s="56"/>
      <c r="I94" s="56"/>
      <c r="J94" s="56"/>
      <c r="K94" s="56"/>
      <c r="L94" s="56"/>
      <c r="M94" s="56"/>
      <c r="N94" s="56"/>
    </row>
    <row r="95" spans="1:14" ht="20.100000000000001" customHeight="1" x14ac:dyDescent="0.25">
      <c r="A95" s="56"/>
      <c r="B95" s="56"/>
      <c r="C95" s="56"/>
      <c r="D95" s="56"/>
      <c r="E95" s="56"/>
      <c r="F95" s="56"/>
      <c r="G95" s="56"/>
      <c r="H95" s="56"/>
      <c r="I95" s="56"/>
      <c r="J95" s="56"/>
      <c r="K95" s="56"/>
      <c r="L95" s="56"/>
      <c r="M95" s="56"/>
      <c r="N95" s="56"/>
    </row>
    <row r="96" spans="1:14" ht="24" customHeight="1" x14ac:dyDescent="0.25">
      <c r="A96" s="56"/>
      <c r="B96" s="56"/>
      <c r="C96" s="56"/>
      <c r="D96" s="56"/>
      <c r="E96" s="56"/>
      <c r="F96" s="56"/>
      <c r="G96" s="56"/>
      <c r="H96" s="56"/>
      <c r="I96" s="56"/>
      <c r="J96" s="56"/>
      <c r="K96" s="56"/>
      <c r="L96" s="56"/>
      <c r="M96" s="56"/>
      <c r="N96" s="56"/>
    </row>
    <row r="97" spans="1:14" ht="21.75" customHeight="1" thickBot="1" x14ac:dyDescent="0.35">
      <c r="A97" s="100"/>
      <c r="B97" s="100"/>
      <c r="C97" s="101"/>
      <c r="D97" s="101"/>
      <c r="E97" s="101"/>
      <c r="F97" s="101"/>
      <c r="G97" s="101"/>
      <c r="H97" s="101"/>
      <c r="I97" s="101"/>
      <c r="J97" s="101"/>
      <c r="K97" s="101"/>
      <c r="L97" s="101"/>
      <c r="M97" s="101"/>
      <c r="N97" s="101"/>
    </row>
    <row r="98" spans="1:14" ht="44.25" customHeight="1" thickTop="1" x14ac:dyDescent="0.25">
      <c r="A98" s="226" t="s">
        <v>93</v>
      </c>
      <c r="B98" s="226"/>
      <c r="C98" s="226"/>
      <c r="D98" s="226"/>
      <c r="E98" s="226"/>
      <c r="F98" s="226"/>
      <c r="G98" s="226"/>
      <c r="H98" s="226"/>
      <c r="I98" s="226"/>
      <c r="J98" s="226"/>
      <c r="K98" s="226"/>
      <c r="L98" s="226"/>
      <c r="M98" s="226"/>
      <c r="N98" s="226"/>
    </row>
    <row r="99" spans="1:14" ht="15.75" customHeight="1" x14ac:dyDescent="0.35">
      <c r="A99" s="246"/>
      <c r="B99" s="246"/>
      <c r="C99" s="246"/>
      <c r="D99" s="246"/>
      <c r="E99" s="36"/>
      <c r="F99" s="36"/>
      <c r="G99" s="57"/>
      <c r="H99" s="38"/>
      <c r="I99" s="37"/>
      <c r="J99" s="37"/>
      <c r="K99" s="39"/>
      <c r="L99" s="36"/>
      <c r="M99" s="36"/>
      <c r="N99" s="36"/>
    </row>
    <row r="100" spans="1:14" ht="45" customHeight="1" x14ac:dyDescent="0.35">
      <c r="A100" s="234" t="s">
        <v>83</v>
      </c>
      <c r="B100" s="234"/>
      <c r="C100" s="234"/>
      <c r="D100" s="234"/>
      <c r="E100" s="97" t="s">
        <v>107</v>
      </c>
      <c r="F100" s="227"/>
      <c r="G100" s="227"/>
      <c r="H100" s="234" t="s">
        <v>84</v>
      </c>
      <c r="I100" s="234"/>
      <c r="J100" s="234"/>
      <c r="K100" s="235" t="s">
        <v>108</v>
      </c>
      <c r="L100" s="235"/>
      <c r="M100" s="36"/>
      <c r="N100" s="36"/>
    </row>
    <row r="101" spans="1:14" ht="21.75" customHeight="1" thickBot="1" x14ac:dyDescent="0.3">
      <c r="A101" s="102"/>
      <c r="B101" s="102"/>
      <c r="C101" s="63"/>
      <c r="D101" s="63"/>
      <c r="E101" s="63"/>
      <c r="F101" s="63"/>
      <c r="G101" s="63"/>
      <c r="H101" s="63"/>
      <c r="I101" s="63"/>
      <c r="J101" s="63"/>
      <c r="K101" s="63"/>
      <c r="L101" s="63"/>
      <c r="M101" s="63"/>
      <c r="N101" s="63"/>
    </row>
    <row r="102" spans="1:14" customFormat="1" ht="21" customHeight="1" thickTop="1" x14ac:dyDescent="0.25">
      <c r="A102" s="226" t="s">
        <v>82</v>
      </c>
      <c r="B102" s="226"/>
      <c r="C102" s="226"/>
      <c r="D102" s="226"/>
      <c r="E102" s="226"/>
      <c r="F102" s="226"/>
      <c r="G102" s="226"/>
      <c r="H102" s="226"/>
      <c r="I102" s="226"/>
      <c r="J102" s="226"/>
      <c r="K102" s="226"/>
      <c r="L102" s="226"/>
      <c r="M102" s="226"/>
      <c r="N102" s="226"/>
    </row>
    <row r="103" spans="1:14" customFormat="1" x14ac:dyDescent="0.25">
      <c r="A103" s="54"/>
      <c r="B103" s="54"/>
      <c r="C103" s="54"/>
      <c r="D103" s="41"/>
      <c r="E103" s="41"/>
      <c r="F103" s="41"/>
      <c r="G103" s="41"/>
      <c r="H103" s="2"/>
      <c r="I103" s="2"/>
      <c r="J103" s="2"/>
      <c r="K103" s="2"/>
      <c r="L103" s="2"/>
      <c r="M103" s="2"/>
      <c r="N103" s="2"/>
    </row>
    <row r="104" spans="1:14" customFormat="1" ht="96.75" customHeight="1" x14ac:dyDescent="0.25">
      <c r="A104" s="58" t="s">
        <v>51</v>
      </c>
      <c r="B104" s="236" t="s">
        <v>85</v>
      </c>
      <c r="C104" s="236"/>
      <c r="D104" s="236"/>
      <c r="E104" s="236"/>
      <c r="F104" s="236"/>
      <c r="G104" s="236"/>
      <c r="H104" s="236"/>
      <c r="I104" s="236"/>
      <c r="J104" s="236"/>
      <c r="K104" s="236"/>
      <c r="L104" s="236"/>
      <c r="M104" s="236"/>
      <c r="N104" s="236"/>
    </row>
    <row r="105" spans="1:14" customFormat="1" ht="78.75" customHeight="1" x14ac:dyDescent="0.25">
      <c r="A105" s="58" t="s">
        <v>51</v>
      </c>
      <c r="B105" s="249" t="s">
        <v>86</v>
      </c>
      <c r="C105" s="249"/>
      <c r="D105" s="249"/>
      <c r="E105" s="249"/>
      <c r="F105" s="249"/>
      <c r="G105" s="249"/>
      <c r="H105" s="249"/>
      <c r="I105" s="249"/>
      <c r="J105" s="249"/>
      <c r="K105" s="249"/>
      <c r="L105" s="249"/>
      <c r="M105" s="249"/>
      <c r="N105" s="249"/>
    </row>
    <row r="106" spans="1:14" customFormat="1" ht="39.75" customHeight="1" x14ac:dyDescent="0.25">
      <c r="A106" s="58" t="s">
        <v>51</v>
      </c>
      <c r="B106" s="189" t="s">
        <v>87</v>
      </c>
      <c r="C106" s="189"/>
      <c r="D106" s="189"/>
      <c r="E106" s="189"/>
      <c r="F106" s="228">
        <v>43749</v>
      </c>
      <c r="G106" s="228"/>
      <c r="H106" s="228"/>
      <c r="I106" s="228"/>
      <c r="J106" s="98"/>
      <c r="K106" s="98"/>
      <c r="L106" s="93"/>
      <c r="M106" s="94"/>
      <c r="N106" s="95"/>
    </row>
    <row r="107" spans="1:14" customFormat="1" ht="48.75" customHeight="1" x14ac:dyDescent="0.25">
      <c r="A107" s="58" t="s">
        <v>51</v>
      </c>
      <c r="B107" s="189" t="s">
        <v>88</v>
      </c>
      <c r="C107" s="189"/>
      <c r="D107" s="189"/>
      <c r="E107" s="189"/>
      <c r="F107" s="189" t="s">
        <v>89</v>
      </c>
      <c r="G107" s="189"/>
      <c r="H107" s="189"/>
      <c r="I107" s="189"/>
      <c r="J107" s="189"/>
      <c r="K107" s="189"/>
      <c r="L107" s="189"/>
      <c r="M107" s="189"/>
      <c r="N107" s="189"/>
    </row>
    <row r="108" spans="1:14" customFormat="1" ht="43.5" customHeight="1" x14ac:dyDescent="0.25">
      <c r="A108" s="58" t="s">
        <v>51</v>
      </c>
      <c r="B108" s="189" t="s">
        <v>90</v>
      </c>
      <c r="C108" s="189"/>
      <c r="D108" s="189"/>
      <c r="E108" s="189"/>
      <c r="F108" s="189" t="s">
        <v>91</v>
      </c>
      <c r="G108" s="189"/>
      <c r="H108" s="96"/>
      <c r="I108" s="96"/>
      <c r="J108" s="96"/>
      <c r="K108" s="96"/>
      <c r="L108" s="96"/>
      <c r="M108" s="93"/>
      <c r="N108" s="96"/>
    </row>
    <row r="109" spans="1:14" customFormat="1" ht="49.5" customHeight="1" x14ac:dyDescent="0.25">
      <c r="A109" s="58" t="s">
        <v>51</v>
      </c>
      <c r="B109" s="189" t="s">
        <v>92</v>
      </c>
      <c r="C109" s="189"/>
      <c r="D109" s="189"/>
      <c r="E109" s="189"/>
      <c r="F109" s="189"/>
      <c r="G109" s="189"/>
      <c r="H109" s="189"/>
      <c r="I109" s="189"/>
      <c r="J109" s="189"/>
      <c r="K109" s="189"/>
      <c r="L109" s="189"/>
      <c r="M109" s="189"/>
      <c r="N109" s="189"/>
    </row>
    <row r="110" spans="1:14" ht="15" customHeight="1" x14ac:dyDescent="0.3">
      <c r="A110" s="103"/>
      <c r="B110" s="103"/>
      <c r="C110" s="104"/>
      <c r="D110" s="104"/>
      <c r="E110" s="104"/>
      <c r="F110" s="104"/>
      <c r="G110" s="105"/>
      <c r="H110" s="105"/>
      <c r="I110" s="105"/>
      <c r="J110" s="105"/>
      <c r="K110" s="105"/>
      <c r="L110" s="105"/>
      <c r="M110" s="106"/>
      <c r="N110" s="107"/>
    </row>
    <row r="111" spans="1:14" ht="59.25" customHeight="1" x14ac:dyDescent="0.3">
      <c r="A111" s="50"/>
      <c r="B111" s="50"/>
      <c r="C111" s="50"/>
      <c r="D111" s="50"/>
      <c r="E111" s="51"/>
      <c r="F111" s="51"/>
      <c r="G111" s="52"/>
      <c r="H111" s="53"/>
      <c r="I111" s="51"/>
      <c r="J111" s="51"/>
      <c r="K111" s="51"/>
      <c r="L111" s="51"/>
      <c r="M111" s="51"/>
      <c r="N111" s="51"/>
    </row>
    <row r="112" spans="1:14" ht="59.25" customHeight="1" x14ac:dyDescent="0.3">
      <c r="A112" s="50"/>
      <c r="B112" s="50"/>
      <c r="C112" s="50"/>
      <c r="D112" s="50"/>
      <c r="E112" s="51"/>
      <c r="F112" s="51"/>
      <c r="G112" s="52"/>
      <c r="H112" s="53"/>
      <c r="I112" s="51"/>
      <c r="J112" s="51"/>
      <c r="K112" s="51"/>
      <c r="L112" s="51"/>
      <c r="M112" s="51"/>
      <c r="N112" s="51"/>
    </row>
    <row r="113" spans="1:14" s="35" customFormat="1" ht="30.75" customHeight="1" x14ac:dyDescent="0.3">
      <c r="A113"/>
      <c r="B113"/>
      <c r="C113"/>
      <c r="D113"/>
      <c r="E113"/>
      <c r="F113"/>
      <c r="G113"/>
      <c r="H113"/>
      <c r="I113"/>
      <c r="J113"/>
      <c r="K113"/>
      <c r="L113"/>
      <c r="M113"/>
      <c r="N113"/>
    </row>
    <row r="114" spans="1:14" s="35" customFormat="1" ht="43.5" customHeight="1" x14ac:dyDescent="0.3">
      <c r="A114"/>
      <c r="B114"/>
      <c r="C114"/>
      <c r="D114"/>
      <c r="E114"/>
      <c r="F114"/>
      <c r="G114"/>
      <c r="H114"/>
      <c r="I114"/>
      <c r="J114"/>
      <c r="K114"/>
      <c r="L114"/>
      <c r="M114"/>
      <c r="N114"/>
    </row>
    <row r="115" spans="1:14" ht="39" customHeight="1" x14ac:dyDescent="0.25">
      <c r="A115"/>
      <c r="B115"/>
      <c r="C115"/>
      <c r="D115"/>
      <c r="E115"/>
      <c r="F115"/>
      <c r="G115"/>
      <c r="H115"/>
      <c r="I115"/>
      <c r="J115"/>
      <c r="K115"/>
      <c r="L115"/>
      <c r="M115"/>
      <c r="N115"/>
    </row>
    <row r="116" spans="1:14" ht="39" customHeight="1" x14ac:dyDescent="0.25">
      <c r="A116"/>
      <c r="B116"/>
      <c r="C116"/>
      <c r="D116"/>
      <c r="E116"/>
      <c r="F116"/>
      <c r="G116"/>
      <c r="H116"/>
      <c r="I116"/>
      <c r="J116"/>
      <c r="K116"/>
      <c r="L116"/>
      <c r="M116"/>
      <c r="N116"/>
    </row>
    <row r="117" spans="1:14" ht="37.5" customHeight="1" x14ac:dyDescent="0.25">
      <c r="A117"/>
      <c r="B117"/>
      <c r="C117"/>
      <c r="D117"/>
      <c r="E117"/>
      <c r="F117"/>
      <c r="G117"/>
      <c r="H117"/>
      <c r="I117"/>
      <c r="J117"/>
      <c r="K117"/>
      <c r="L117"/>
      <c r="M117"/>
      <c r="N117"/>
    </row>
    <row r="118" spans="1:14" x14ac:dyDescent="0.25">
      <c r="A118"/>
      <c r="B118"/>
      <c r="C118"/>
      <c r="D118"/>
      <c r="E118"/>
      <c r="F118"/>
      <c r="G118"/>
      <c r="H118"/>
      <c r="I118"/>
      <c r="J118"/>
      <c r="K118"/>
      <c r="L118"/>
      <c r="M118"/>
      <c r="N118"/>
    </row>
    <row r="119" spans="1:14" ht="15" customHeight="1" x14ac:dyDescent="0.25">
      <c r="A119"/>
      <c r="B119"/>
      <c r="C119"/>
      <c r="D119"/>
      <c r="E119"/>
      <c r="F119"/>
      <c r="G119"/>
      <c r="H119"/>
      <c r="I119"/>
      <c r="J119"/>
      <c r="K119"/>
      <c r="L119"/>
      <c r="M119"/>
      <c r="N119"/>
    </row>
    <row r="120" spans="1:14" ht="24" customHeight="1" x14ac:dyDescent="0.25">
      <c r="A120"/>
      <c r="B120"/>
      <c r="C120"/>
      <c r="D120"/>
      <c r="E120"/>
      <c r="F120"/>
      <c r="G120"/>
      <c r="H120"/>
      <c r="I120"/>
      <c r="J120"/>
      <c r="K120"/>
      <c r="L120"/>
      <c r="M120"/>
      <c r="N120"/>
    </row>
    <row r="121" spans="1:14" ht="15" customHeight="1" x14ac:dyDescent="0.25">
      <c r="A121"/>
      <c r="B121"/>
      <c r="C121"/>
      <c r="D121"/>
      <c r="E121"/>
      <c r="F121"/>
      <c r="G121"/>
      <c r="H121"/>
      <c r="I121"/>
      <c r="J121"/>
      <c r="K121"/>
      <c r="L121"/>
      <c r="M121"/>
      <c r="N121"/>
    </row>
    <row r="122" spans="1:14" ht="24.75" customHeight="1" x14ac:dyDescent="0.25">
      <c r="A122"/>
      <c r="B122"/>
      <c r="C122"/>
      <c r="D122"/>
      <c r="E122"/>
      <c r="F122"/>
      <c r="G122"/>
      <c r="H122"/>
      <c r="I122"/>
      <c r="J122"/>
      <c r="K122"/>
      <c r="L122"/>
      <c r="M122"/>
      <c r="N122"/>
    </row>
    <row r="123" spans="1:14" ht="15" customHeight="1" x14ac:dyDescent="0.25">
      <c r="A123"/>
      <c r="B123"/>
      <c r="C123"/>
      <c r="D123"/>
      <c r="E123"/>
      <c r="F123"/>
      <c r="G123"/>
      <c r="H123"/>
      <c r="I123"/>
      <c r="J123"/>
      <c r="K123"/>
      <c r="L123"/>
      <c r="M123"/>
      <c r="N123"/>
    </row>
    <row r="124" spans="1:14" ht="38.25" customHeight="1" x14ac:dyDescent="0.25">
      <c r="A124"/>
      <c r="B124"/>
      <c r="C124"/>
      <c r="D124"/>
      <c r="E124"/>
      <c r="F124"/>
      <c r="G124"/>
      <c r="H124"/>
      <c r="I124"/>
      <c r="J124"/>
      <c r="K124"/>
      <c r="L124"/>
      <c r="M124"/>
      <c r="N124"/>
    </row>
    <row r="125" spans="1:14" ht="38.25" customHeight="1" x14ac:dyDescent="0.25">
      <c r="A125"/>
      <c r="B125"/>
      <c r="C125"/>
      <c r="D125"/>
      <c r="E125"/>
      <c r="F125"/>
      <c r="G125"/>
      <c r="H125"/>
      <c r="I125"/>
      <c r="J125"/>
      <c r="K125"/>
      <c r="L125"/>
      <c r="M125"/>
      <c r="N125"/>
    </row>
    <row r="126" spans="1:14" ht="38.25" customHeight="1" x14ac:dyDescent="0.25">
      <c r="A126"/>
      <c r="B126"/>
      <c r="C126"/>
      <c r="D126"/>
      <c r="E126"/>
      <c r="F126"/>
      <c r="G126"/>
      <c r="H126"/>
      <c r="I126"/>
      <c r="J126"/>
      <c r="K126"/>
      <c r="L126"/>
      <c r="M126"/>
      <c r="N126"/>
    </row>
    <row r="127" spans="1:14" ht="38.25" customHeight="1" x14ac:dyDescent="0.25">
      <c r="A127"/>
      <c r="B127"/>
      <c r="C127"/>
      <c r="D127"/>
      <c r="E127"/>
      <c r="F127"/>
      <c r="G127"/>
      <c r="H127"/>
      <c r="I127"/>
      <c r="J127"/>
      <c r="K127"/>
      <c r="L127"/>
      <c r="M127"/>
      <c r="N127"/>
    </row>
    <row r="128" spans="1:14" ht="38.25" customHeight="1" x14ac:dyDescent="0.25">
      <c r="A128"/>
      <c r="B128"/>
      <c r="C128"/>
      <c r="D128"/>
      <c r="E128"/>
      <c r="F128"/>
      <c r="G128"/>
      <c r="H128"/>
      <c r="I128"/>
      <c r="J128"/>
      <c r="K128"/>
      <c r="L128"/>
      <c r="M128"/>
      <c r="N128"/>
    </row>
    <row r="129" spans="1:14" ht="38.25" customHeight="1" x14ac:dyDescent="0.25">
      <c r="A129"/>
      <c r="B129"/>
      <c r="C129"/>
      <c r="D129"/>
      <c r="E129"/>
      <c r="F129"/>
      <c r="G129"/>
      <c r="H129"/>
      <c r="I129"/>
      <c r="J129"/>
      <c r="K129"/>
      <c r="L129"/>
      <c r="M129"/>
      <c r="N129"/>
    </row>
    <row r="130" spans="1:14" ht="15" customHeight="1" x14ac:dyDescent="0.25">
      <c r="A130"/>
      <c r="B130"/>
      <c r="C130"/>
      <c r="D130"/>
      <c r="E130"/>
      <c r="F130"/>
      <c r="G130"/>
      <c r="H130"/>
      <c r="I130"/>
      <c r="J130"/>
      <c r="K130"/>
      <c r="L130"/>
      <c r="M130"/>
      <c r="N130"/>
    </row>
    <row r="131" spans="1:14" ht="15" customHeight="1" x14ac:dyDescent="0.25">
      <c r="A131"/>
      <c r="B131"/>
      <c r="C131"/>
      <c r="D131"/>
      <c r="E131"/>
      <c r="F131"/>
      <c r="G131"/>
      <c r="H131"/>
      <c r="I131"/>
      <c r="J131"/>
      <c r="K131"/>
      <c r="L131"/>
      <c r="M131"/>
      <c r="N131"/>
    </row>
    <row r="132" spans="1:14" ht="15" customHeight="1" x14ac:dyDescent="0.25">
      <c r="A132"/>
      <c r="B132"/>
      <c r="C132"/>
      <c r="D132"/>
      <c r="E132"/>
      <c r="F132"/>
      <c r="G132"/>
      <c r="H132"/>
      <c r="I132"/>
      <c r="J132"/>
      <c r="K132"/>
      <c r="L132"/>
      <c r="M132"/>
      <c r="N132"/>
    </row>
    <row r="133" spans="1:14" ht="74.25" customHeight="1" x14ac:dyDescent="0.25">
      <c r="A133"/>
      <c r="B133"/>
      <c r="C133"/>
      <c r="D133"/>
      <c r="E133"/>
      <c r="F133"/>
      <c r="G133"/>
      <c r="H133"/>
      <c r="I133"/>
      <c r="J133"/>
      <c r="K133"/>
      <c r="L133"/>
      <c r="M133"/>
      <c r="N133"/>
    </row>
    <row r="134" spans="1:14" ht="74.25" customHeight="1" x14ac:dyDescent="0.25">
      <c r="A134"/>
      <c r="B134"/>
      <c r="C134"/>
      <c r="D134"/>
      <c r="E134"/>
      <c r="F134"/>
      <c r="G134"/>
      <c r="H134"/>
      <c r="I134"/>
      <c r="J134"/>
      <c r="K134"/>
      <c r="L134"/>
      <c r="M134"/>
      <c r="N134"/>
    </row>
    <row r="135" spans="1:14" ht="74.25" customHeight="1" x14ac:dyDescent="0.25">
      <c r="A135"/>
      <c r="B135"/>
      <c r="C135"/>
      <c r="D135"/>
      <c r="E135"/>
      <c r="F135"/>
      <c r="G135"/>
      <c r="H135"/>
      <c r="I135"/>
      <c r="J135"/>
      <c r="K135"/>
      <c r="L135"/>
      <c r="M135"/>
      <c r="N135"/>
    </row>
    <row r="136" spans="1:14" ht="74.25" customHeight="1" x14ac:dyDescent="0.25">
      <c r="A136"/>
      <c r="B136"/>
      <c r="C136"/>
      <c r="D136"/>
      <c r="E136"/>
      <c r="F136"/>
      <c r="G136"/>
      <c r="H136"/>
      <c r="I136"/>
      <c r="J136"/>
      <c r="K136"/>
      <c r="L136"/>
      <c r="M136"/>
      <c r="N136"/>
    </row>
    <row r="137" spans="1:14" ht="74.25" customHeight="1" x14ac:dyDescent="0.25">
      <c r="A137"/>
      <c r="B137"/>
      <c r="C137"/>
      <c r="D137"/>
      <c r="E137"/>
      <c r="F137"/>
      <c r="G137"/>
      <c r="H137"/>
      <c r="I137"/>
      <c r="J137"/>
      <c r="K137"/>
      <c r="L137"/>
      <c r="M137"/>
      <c r="N137"/>
    </row>
    <row r="138" spans="1:14" ht="74.25" customHeight="1" x14ac:dyDescent="0.25">
      <c r="A138"/>
      <c r="B138"/>
      <c r="C138"/>
      <c r="D138"/>
      <c r="E138"/>
      <c r="F138"/>
      <c r="G138"/>
      <c r="H138"/>
      <c r="I138"/>
      <c r="J138"/>
      <c r="K138"/>
      <c r="L138"/>
      <c r="M138"/>
      <c r="N138"/>
    </row>
    <row r="139" spans="1:14" x14ac:dyDescent="0.25">
      <c r="A139"/>
      <c r="B139"/>
      <c r="C139"/>
      <c r="D139"/>
      <c r="E139"/>
      <c r="F139"/>
      <c r="G139"/>
      <c r="H139"/>
      <c r="I139"/>
      <c r="J139"/>
      <c r="K139"/>
      <c r="L139"/>
      <c r="M139"/>
      <c r="N139"/>
    </row>
    <row r="140" spans="1:14" x14ac:dyDescent="0.25">
      <c r="A140"/>
      <c r="B140"/>
      <c r="C140"/>
      <c r="D140"/>
      <c r="E140"/>
      <c r="F140"/>
      <c r="G140"/>
      <c r="H140"/>
      <c r="I140"/>
      <c r="J140"/>
      <c r="K140"/>
      <c r="L140"/>
      <c r="M140"/>
      <c r="N140"/>
    </row>
    <row r="141" spans="1:14" hidden="1" x14ac:dyDescent="0.25">
      <c r="A141"/>
      <c r="B141"/>
      <c r="C141"/>
      <c r="D141"/>
      <c r="E141"/>
      <c r="F141"/>
      <c r="G141"/>
      <c r="H141"/>
      <c r="I141"/>
      <c r="J141"/>
      <c r="K141"/>
      <c r="L141"/>
      <c r="M141"/>
      <c r="N141"/>
    </row>
    <row r="142" spans="1:14" hidden="1" x14ac:dyDescent="0.25">
      <c r="A142"/>
      <c r="B142"/>
      <c r="C142"/>
      <c r="D142"/>
      <c r="E142"/>
      <c r="F142"/>
      <c r="G142"/>
      <c r="H142"/>
      <c r="I142"/>
      <c r="J142"/>
      <c r="K142"/>
      <c r="L142"/>
      <c r="M142"/>
      <c r="N142"/>
    </row>
    <row r="143" spans="1:14" hidden="1" x14ac:dyDescent="0.25">
      <c r="A143"/>
      <c r="B143"/>
      <c r="C143"/>
      <c r="D143"/>
      <c r="E143"/>
      <c r="F143"/>
      <c r="G143"/>
      <c r="H143"/>
      <c r="I143"/>
      <c r="J143"/>
      <c r="K143"/>
      <c r="L143"/>
      <c r="M143"/>
      <c r="N143"/>
    </row>
    <row r="144" spans="1:14" ht="24.75" customHeight="1" x14ac:dyDescent="0.25">
      <c r="A144"/>
      <c r="B144"/>
      <c r="C144"/>
      <c r="D144"/>
      <c r="E144"/>
      <c r="F144"/>
      <c r="G144"/>
      <c r="H144"/>
      <c r="I144"/>
      <c r="J144"/>
      <c r="K144"/>
      <c r="L144"/>
      <c r="M144"/>
      <c r="N144"/>
    </row>
    <row r="145" spans="1:14" ht="232.5" customHeight="1" x14ac:dyDescent="0.25">
      <c r="A145"/>
      <c r="B145"/>
      <c r="C145"/>
      <c r="D145"/>
      <c r="E145"/>
      <c r="F145"/>
      <c r="G145"/>
      <c r="H145"/>
      <c r="I145"/>
      <c r="J145"/>
      <c r="K145"/>
      <c r="L145"/>
      <c r="M145"/>
      <c r="N145"/>
    </row>
    <row r="146" spans="1:14" x14ac:dyDescent="0.25">
      <c r="A146"/>
      <c r="B146"/>
      <c r="C146"/>
      <c r="D146"/>
      <c r="E146"/>
      <c r="F146"/>
      <c r="G146"/>
      <c r="H146"/>
      <c r="I146"/>
      <c r="J146"/>
      <c r="K146"/>
      <c r="L146"/>
      <c r="M146"/>
      <c r="N146"/>
    </row>
    <row r="147" spans="1:14" x14ac:dyDescent="0.25">
      <c r="A147"/>
      <c r="B147"/>
      <c r="C147"/>
      <c r="D147"/>
      <c r="E147"/>
      <c r="F147"/>
      <c r="G147"/>
      <c r="H147"/>
      <c r="I147"/>
      <c r="J147"/>
      <c r="K147"/>
      <c r="L147"/>
      <c r="M147"/>
      <c r="N147"/>
    </row>
    <row r="148" spans="1:14" x14ac:dyDescent="0.25">
      <c r="A148"/>
      <c r="B148"/>
      <c r="C148"/>
      <c r="D148"/>
      <c r="E148"/>
      <c r="F148"/>
      <c r="G148"/>
      <c r="H148"/>
      <c r="I148"/>
      <c r="J148"/>
      <c r="K148"/>
      <c r="L148"/>
      <c r="M148"/>
      <c r="N148"/>
    </row>
    <row r="149" spans="1:14" x14ac:dyDescent="0.25">
      <c r="A149"/>
      <c r="B149"/>
      <c r="C149"/>
      <c r="D149"/>
      <c r="E149"/>
      <c r="F149"/>
      <c r="G149"/>
      <c r="H149"/>
      <c r="I149"/>
      <c r="J149"/>
      <c r="K149"/>
      <c r="L149"/>
      <c r="M149"/>
      <c r="N149"/>
    </row>
    <row r="150" spans="1:14" x14ac:dyDescent="0.25">
      <c r="A150"/>
      <c r="B150"/>
      <c r="C150"/>
      <c r="D150"/>
      <c r="E150"/>
      <c r="F150"/>
      <c r="G150"/>
      <c r="H150"/>
      <c r="I150"/>
      <c r="J150"/>
      <c r="K150"/>
      <c r="L150"/>
      <c r="M150"/>
      <c r="N150"/>
    </row>
    <row r="151" spans="1:14" x14ac:dyDescent="0.25">
      <c r="A151"/>
      <c r="B151"/>
      <c r="C151"/>
      <c r="D151"/>
      <c r="E151"/>
      <c r="F151"/>
      <c r="G151"/>
      <c r="H151"/>
      <c r="I151"/>
      <c r="J151"/>
      <c r="K151"/>
      <c r="L151"/>
      <c r="M151"/>
      <c r="N151"/>
    </row>
    <row r="152" spans="1:14" x14ac:dyDescent="0.25">
      <c r="A152"/>
      <c r="B152"/>
      <c r="C152"/>
      <c r="D152"/>
      <c r="E152"/>
      <c r="F152"/>
      <c r="G152"/>
      <c r="H152"/>
      <c r="I152"/>
      <c r="J152"/>
      <c r="K152"/>
      <c r="L152"/>
      <c r="M152"/>
      <c r="N152"/>
    </row>
    <row r="153" spans="1:14" s="7" customFormat="1" x14ac:dyDescent="0.25">
      <c r="A153"/>
      <c r="B153"/>
      <c r="C153"/>
      <c r="D153"/>
      <c r="E153"/>
      <c r="F153"/>
      <c r="G153"/>
      <c r="H153"/>
      <c r="I153"/>
      <c r="J153"/>
      <c r="K153"/>
      <c r="L153"/>
      <c r="M153"/>
      <c r="N153"/>
    </row>
    <row r="154" spans="1:14" x14ac:dyDescent="0.25">
      <c r="A154"/>
      <c r="B154"/>
      <c r="C154"/>
      <c r="D154"/>
      <c r="E154"/>
      <c r="F154"/>
      <c r="G154"/>
      <c r="H154"/>
      <c r="I154"/>
      <c r="J154"/>
      <c r="K154"/>
      <c r="L154"/>
      <c r="M154"/>
      <c r="N154"/>
    </row>
  </sheetData>
  <protectedRanges>
    <protectedRange sqref="M4 C12 K22 M49 A54:N72 M19 F100 K100 N116 E96:F96 H96:N96 M17 C89:C94 H95 A130:N145 A97:N97 E94:F94 C95:D96 A89:B96 G94:G95 I94:K95 L89:N95 A110:N110 A33:N34 M42:N42 G44 J42 D44 D8:J9 M8:N9 C14:D19 L12 H14:H19 N12:N19 L14 M13 L16 M15 L18" name="Datos"/>
    <protectedRange sqref="I107:L108 N108 I104:N104 H106:H107 M106:N106 K106 I109:N109 A104:B104 D104:F104 A106:F107 A108:E108 A109:B109 D109:F109" name="Datos_1"/>
    <protectedRange sqref="I105:N105 A105:B105 D105:F105" name="Datos_1_1"/>
  </protectedRanges>
  <mergeCells count="193">
    <mergeCell ref="J84:K84"/>
    <mergeCell ref="L84:M84"/>
    <mergeCell ref="D87:F87"/>
    <mergeCell ref="D41:E42"/>
    <mergeCell ref="A98:N98"/>
    <mergeCell ref="A72:N72"/>
    <mergeCell ref="B83:C83"/>
    <mergeCell ref="A14:B14"/>
    <mergeCell ref="A15:B15"/>
    <mergeCell ref="A16:B16"/>
    <mergeCell ref="A17:B17"/>
    <mergeCell ref="C24:D24"/>
    <mergeCell ref="E24:G24"/>
    <mergeCell ref="L18:N19"/>
    <mergeCell ref="C18:G19"/>
    <mergeCell ref="H12:H19"/>
    <mergeCell ref="I12:K12"/>
    <mergeCell ref="I13:K13"/>
    <mergeCell ref="I14:K14"/>
    <mergeCell ref="I15:K15"/>
    <mergeCell ref="I16:K16"/>
    <mergeCell ref="I17:K17"/>
    <mergeCell ref="I18:K18"/>
    <mergeCell ref="I19:K19"/>
    <mergeCell ref="A32:D32"/>
    <mergeCell ref="E32:H32"/>
    <mergeCell ref="I32:L32"/>
    <mergeCell ref="M32:N32"/>
    <mergeCell ref="A43:C43"/>
    <mergeCell ref="A44:C44"/>
    <mergeCell ref="G41:H44"/>
    <mergeCell ref="G39:I39"/>
    <mergeCell ref="G40:I40"/>
    <mergeCell ref="A40:C40"/>
    <mergeCell ref="A39:C39"/>
    <mergeCell ref="D39:E40"/>
    <mergeCell ref="B107:E107"/>
    <mergeCell ref="F107:N107"/>
    <mergeCell ref="B108:E108"/>
    <mergeCell ref="F108:G108"/>
    <mergeCell ref="M42:N42"/>
    <mergeCell ref="A99:D99"/>
    <mergeCell ref="A73:N73"/>
    <mergeCell ref="A61:A66"/>
    <mergeCell ref="A53:N53"/>
    <mergeCell ref="A45:D45"/>
    <mergeCell ref="G85:I85"/>
    <mergeCell ref="J85:K85"/>
    <mergeCell ref="L85:M85"/>
    <mergeCell ref="B86:C86"/>
    <mergeCell ref="D86:F86"/>
    <mergeCell ref="G86:I86"/>
    <mergeCell ref="J86:K86"/>
    <mergeCell ref="L86:M86"/>
    <mergeCell ref="B87:C87"/>
    <mergeCell ref="B105:N105"/>
    <mergeCell ref="A55:N55"/>
    <mergeCell ref="C59:C60"/>
    <mergeCell ref="C62:C63"/>
    <mergeCell ref="A54:N54"/>
    <mergeCell ref="B85:C85"/>
    <mergeCell ref="D85:F85"/>
    <mergeCell ref="C64:C65"/>
    <mergeCell ref="A46:I47"/>
    <mergeCell ref="A48:I49"/>
    <mergeCell ref="A50:I50"/>
    <mergeCell ref="A100:D100"/>
    <mergeCell ref="D83:F83"/>
    <mergeCell ref="G83:I83"/>
    <mergeCell ref="D79:F79"/>
    <mergeCell ref="G79:I79"/>
    <mergeCell ref="G82:I82"/>
    <mergeCell ref="C57:C58"/>
    <mergeCell ref="A69:D69"/>
    <mergeCell ref="D84:F84"/>
    <mergeCell ref="G84:I84"/>
    <mergeCell ref="A102:N102"/>
    <mergeCell ref="F100:G100"/>
    <mergeCell ref="B106:E106"/>
    <mergeCell ref="F106:I106"/>
    <mergeCell ref="G87:I87"/>
    <mergeCell ref="J87:K87"/>
    <mergeCell ref="L87:M87"/>
    <mergeCell ref="B88:C88"/>
    <mergeCell ref="D88:F88"/>
    <mergeCell ref="H100:J100"/>
    <mergeCell ref="K100:L100"/>
    <mergeCell ref="G88:I88"/>
    <mergeCell ref="J88:K88"/>
    <mergeCell ref="L88:M88"/>
    <mergeCell ref="B104:N104"/>
    <mergeCell ref="J83:K83"/>
    <mergeCell ref="L83:M83"/>
    <mergeCell ref="B84:C84"/>
    <mergeCell ref="D43:E44"/>
    <mergeCell ref="M40:N40"/>
    <mergeCell ref="M41:N41"/>
    <mergeCell ref="J40:L40"/>
    <mergeCell ref="J41:L41"/>
    <mergeCell ref="A41:C41"/>
    <mergeCell ref="A42:C42"/>
    <mergeCell ref="J80:K80"/>
    <mergeCell ref="L80:M80"/>
    <mergeCell ref="B81:C81"/>
    <mergeCell ref="D81:F81"/>
    <mergeCell ref="G81:I81"/>
    <mergeCell ref="J81:K81"/>
    <mergeCell ref="L81:M81"/>
    <mergeCell ref="B77:M77"/>
    <mergeCell ref="B78:C78"/>
    <mergeCell ref="D78:F78"/>
    <mergeCell ref="G78:I78"/>
    <mergeCell ref="J78:K78"/>
    <mergeCell ref="L78:M78"/>
    <mergeCell ref="B79:C79"/>
    <mergeCell ref="B109:N109"/>
    <mergeCell ref="K22:M22"/>
    <mergeCell ref="K23:M23"/>
    <mergeCell ref="N22:N23"/>
    <mergeCell ref="J42:L42"/>
    <mergeCell ref="H24:I24"/>
    <mergeCell ref="A25:N25"/>
    <mergeCell ref="M26:N26"/>
    <mergeCell ref="A26:D26"/>
    <mergeCell ref="M27:N27"/>
    <mergeCell ref="A31:C31"/>
    <mergeCell ref="I31:K31"/>
    <mergeCell ref="A33:D33"/>
    <mergeCell ref="E33:H33"/>
    <mergeCell ref="I33:L33"/>
    <mergeCell ref="M33:N33"/>
    <mergeCell ref="I69:K69"/>
    <mergeCell ref="A28:D28"/>
    <mergeCell ref="E28:I28"/>
    <mergeCell ref="J28:L28"/>
    <mergeCell ref="M28:N28"/>
    <mergeCell ref="A29:D29"/>
    <mergeCell ref="E29:I29"/>
    <mergeCell ref="J29:L29"/>
    <mergeCell ref="M29:N29"/>
    <mergeCell ref="A30:D30"/>
    <mergeCell ref="E30:I30"/>
    <mergeCell ref="J30:L30"/>
    <mergeCell ref="M30:N30"/>
    <mergeCell ref="K4:L4"/>
    <mergeCell ref="M4:N4"/>
    <mergeCell ref="M5:N5"/>
    <mergeCell ref="D8:N8"/>
    <mergeCell ref="D9:N9"/>
    <mergeCell ref="A8:C8"/>
    <mergeCell ref="A9:C9"/>
    <mergeCell ref="A3:J4"/>
    <mergeCell ref="A5:J5"/>
    <mergeCell ref="A18:B18"/>
    <mergeCell ref="A19:B19"/>
    <mergeCell ref="C14:G15"/>
    <mergeCell ref="C16:G17"/>
    <mergeCell ref="A21:N21"/>
    <mergeCell ref="A12:B12"/>
    <mergeCell ref="A13:B13"/>
    <mergeCell ref="I22:J23"/>
    <mergeCell ref="C12:G13"/>
    <mergeCell ref="A1:J2"/>
    <mergeCell ref="A27:D27"/>
    <mergeCell ref="J26:L26"/>
    <mergeCell ref="J27:L27"/>
    <mergeCell ref="E26:I26"/>
    <mergeCell ref="E27:I27"/>
    <mergeCell ref="A11:N11"/>
    <mergeCell ref="L12:N13"/>
    <mergeCell ref="L14:N15"/>
    <mergeCell ref="L16:N17"/>
    <mergeCell ref="A7:N7"/>
    <mergeCell ref="A22:C22"/>
    <mergeCell ref="A23:C23"/>
    <mergeCell ref="D22:E23"/>
    <mergeCell ref="F22:H22"/>
    <mergeCell ref="F23:H23"/>
    <mergeCell ref="J82:K82"/>
    <mergeCell ref="L82:M82"/>
    <mergeCell ref="K49:L49"/>
    <mergeCell ref="M49:N49"/>
    <mergeCell ref="M50:N50"/>
    <mergeCell ref="J79:K79"/>
    <mergeCell ref="L79:M79"/>
    <mergeCell ref="B80:C80"/>
    <mergeCell ref="D80:F80"/>
    <mergeCell ref="G80:I80"/>
    <mergeCell ref="A70:D70"/>
    <mergeCell ref="B82:C82"/>
    <mergeCell ref="D82:F82"/>
    <mergeCell ref="A59:A60"/>
    <mergeCell ref="A68:D68"/>
  </mergeCells>
  <conditionalFormatting sqref="A32:N32">
    <cfRule type="notContainsBlanks" dxfId="1" priority="4">
      <formula>LEN(TRIM(A32))&gt;0</formula>
    </cfRule>
  </conditionalFormatting>
  <conditionalFormatting sqref="A33:N33">
    <cfRule type="notContainsBlanks" dxfId="0" priority="2">
      <formula>LEN(TRIM(A33))&gt;0</formula>
    </cfRule>
  </conditionalFormatting>
  <printOptions horizontalCentered="1" verticalCentered="1"/>
  <pageMargins left="0.70866141732283472" right="0.70866141732283472" top="0.74803149606299213" bottom="0.74803149606299213" header="0.31496062992125984" footer="0.31496062992125984"/>
  <pageSetup scale="46" fitToHeight="0" orientation="portrait" r:id="rId1"/>
  <rowBreaks count="2" manualBreakCount="2">
    <brk id="45" max="16383" man="1"/>
    <brk id="11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locked="0" defaultSize="0" print="0" autoFill="0" autoPict="0" macro="[0]!ThisWorkbook.GuardarCmoXLS">
                <anchor moveWithCells="1" sizeWithCells="1">
                  <from>
                    <xdr:col>14</xdr:col>
                    <xdr:colOff>0</xdr:colOff>
                    <xdr:row>0</xdr:row>
                    <xdr:rowOff>123825</xdr:rowOff>
                  </from>
                  <to>
                    <xdr:col>15</xdr:col>
                    <xdr:colOff>733425</xdr:colOff>
                    <xdr:row>2</xdr:row>
                    <xdr:rowOff>238125</xdr:rowOff>
                  </to>
                </anchor>
              </controlPr>
            </control>
          </mc:Choice>
        </mc:AlternateContent>
        <mc:AlternateContent xmlns:mc="http://schemas.openxmlformats.org/markup-compatibility/2006">
          <mc:Choice Requires="x14">
            <control shapeId="3074" r:id="rId5" name="Button 2">
              <controlPr locked="0" defaultSize="0" print="0" autoFill="0" autoPict="0" macro="[0]!ThisWorkbook.GuardarCmoPDF">
                <anchor moveWithCells="1" sizeWithCells="1">
                  <from>
                    <xdr:col>16</xdr:col>
                    <xdr:colOff>95250</xdr:colOff>
                    <xdr:row>0</xdr:row>
                    <xdr:rowOff>123825</xdr:rowOff>
                  </from>
                  <to>
                    <xdr:col>18</xdr:col>
                    <xdr:colOff>495300</xdr:colOff>
                    <xdr:row>2</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Certificado</vt:lpstr>
      <vt:lpstr>Certificado!Área_de_impresión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KALIBRIX</dc:creator>
  <cp:lastModifiedBy>rodrigo estilla</cp:lastModifiedBy>
  <cp:lastPrinted>2019-06-12T15:54:02Z</cp:lastPrinted>
  <dcterms:created xsi:type="dcterms:W3CDTF">2014-12-10T19:54:34Z</dcterms:created>
  <dcterms:modified xsi:type="dcterms:W3CDTF">2019-10-08T19:21:30Z</dcterms:modified>
</cp:coreProperties>
</file>