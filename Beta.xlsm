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CF4F8E37-90FE-4857-BBA1-9C5124C797A0}" xr6:coauthVersionLast="47" xr6:coauthVersionMax="47" xr10:uidLastSave="{00000000-0000-0000-0000-000000000000}"/>
  <bookViews>
    <workbookView xWindow="-20610" yWindow="-120" windowWidth="20730" windowHeight="1176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<sst xmlns="http://schemas.openxmlformats.org/spreadsheetml/2006/main" count="290" uniqueCount="227">
  <si>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</si>
  <si>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</si>
  <si>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</si>
  <si>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</si>
  <si>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</si>
  <si>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</si>
  <si>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</si>
  <si>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</si>
  <si>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</si>
  <si>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</si>
  <si>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</si>
  <si>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</si>
  <si>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</si>
  <si>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</si>
  <si>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</si>
  <si>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</si>
  <si>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</si>
  <si>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</si>
  <si>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</si>
  <si>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</si>
  <si>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</si>
  <si>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</si>
  <si>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</si>
  <si>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</si>
  <si>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</si>
  <si>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</si>
  <si>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</si>
  <si>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</si>
  <si>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</si>
  <si>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</si>
  <si>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</si>
  <si>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</si>
  <si>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</si>
  <si>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</si>
  <si>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</si>
  <si>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</si>
  <si>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</si>
  <si>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</si>
  <si>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</si>
  <si>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</si>
  <si>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</si>
  <si>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</si>
  <si>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</si>
  <si>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</si>
  <si>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</si>
  <si>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</si>
  <si>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</si>
  <si>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</si>
  <si>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</si>
  <si>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</si>
  <si>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</si>
  <si>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</si>
  <si>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</si>
  <si>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</si>
  <si>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</si>
  <si>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</si>
  <si>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</si>
  <si>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</si>
  <si>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</si>
  <si>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</si>
  <si>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</si>
  <si>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</si>
  <si>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</si>
  <si>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</si>
  <si>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</si>
  <si>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</si>
  <si>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</si>
  <si>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</si>
  <si>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</si>
  <si>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</si>
  <si>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</si>
  <si>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</si>
  <si>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</si>
  <si>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</si>
  <si>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</si>
  <si>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</si>
  <si>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</si>
  <si>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</si>
  <si>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</si>
  <si>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</si>
  <si>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</si>
  <si>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</si>
  <si>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</si>
  <si>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</si>
  <si>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</si>
  <si>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</si>
  <si>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</si>
  <si>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</si>
  <si>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</si>
  <si>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</si>
  <si>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</si>
  <si>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</si>
  <si>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</si>
  <si>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</si>
  <si>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</si>
  <si>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</si>
  <si>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</si>
  <si>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</si>
  <si>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</si>
  <si>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</si>
  <si>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MICROMETRO DE EXTERIORES  TOPE PLANO</t>
  </si>
  <si>
    <t>MITUTOYO</t>
  </si>
  <si>
    <t>Hyrsa Aerospace Maquinados CNC de Precisión, S. de R.L. de C.V.</t>
  </si>
  <si>
    <t>0193 pulgadas</t>
  </si>
  <si>
    <t>25.400 (1.00)</t>
  </si>
  <si>
    <t>P7.2.1.5</t>
  </si>
  <si>
    <t>Comparacion directa</t>
  </si>
  <si>
    <t>NMX-CH-099-IMNC-2005</t>
  </si>
  <si>
    <t>KAL026</t>
  </si>
  <si>
    <t>Ing. Paloma Ortiz</t>
  </si>
  <si>
    <t>Ing. Francisco Vaez</t>
  </si>
  <si>
    <t>A2LA, Certificado No: 4872.01</t>
  </si>
  <si>
    <t xml:space="preserve">Los Rosales  6 Felipe Carrillo Puerto 76138 Querétaro Querétaro México </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</si>
  <si>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</si>
  <si>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</si>
  <si>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</si>
  <si>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</si>
  <si>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</si>
  <si>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</si>
  <si>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</si>
  <si>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</si>
  <si>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</si>
  <si>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</si>
  <si>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</si>
  <si>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</si>
  <si>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</si>
  <si>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</si>
  <si>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</si>
  <si>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</si>
  <si>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</si>
  <si>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</si>
  <si>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</si>
  <si>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</si>
  <si>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</si>
  <si>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</si>
  <si>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</si>
  <si>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</si>
  <si>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</si>
  <si>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</si>
  <si>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</si>
  <si>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</si>
  <si>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</si>
  <si>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</si>
  <si>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</si>
  <si>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</si>
  <si>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</si>
  <si>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</si>
  <si>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</si>
  <si>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</si>
  <si>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</si>
  <si>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</si>
  <si>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</si>
  <si>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</si>
  <si>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</si>
  <si>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</si>
  <si>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</si>
  <si>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</si>
  <si>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</si>
  <si>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</si>
  <si>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</si>
  <si>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</si>
  <si>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</si>
  <si>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</si>
  <si>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</si>
  <si>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</si>
  <si>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</si>
  <si>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</si>
  <si>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</si>
  <si>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</si>
  <si>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</si>
  <si>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</si>
  <si>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</si>
  <si>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</si>
  <si>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</si>
  <si>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</si>
  <si>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</si>
  <si>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</si>
  <si>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</si>
  <si>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</si>
  <si>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</si>
  <si>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</si>
  <si>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</si>
  <si>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</si>
  <si>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</si>
  <si>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</si>
  <si>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</si>
  <si>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</si>
  <si>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</si>
  <si>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</si>
  <si>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</si>
  <si>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</si>
  <si>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</si>
  <si>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</si>
  <si>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</si>
  <si>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</si>
  <si>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</si>
  <si>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</si>
  <si>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</si>
  <si>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</si>
  <si>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</si>
  <si>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</si>
  <si>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</si>
  <si>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</si>
  <si>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</si>
  <si>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</si>
  <si>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</si>
  <si>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</si>
  <si>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</si>
  <si>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</si>
  <si>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</si>
  <si>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</si>
  <si>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</si>
  <si>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</si>
  <si>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</si>
  <si>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t>Bloques Largos acero</t>
  </si>
  <si>
    <t>CNM-CC-740-264/2021</t>
  </si>
  <si>
    <t>TCM2303-0082</t>
  </si>
  <si>
    <t>293-821-30</t>
  </si>
  <si>
    <t>M022</t>
  </si>
  <si>
    <t>0.001 mm</t>
  </si>
  <si>
    <t>0-25 mm</t>
  </si>
  <si>
    <r>
      <t>Valores Nominales mm_x000D_</t>
    </r>
    <r>
      <rPr>
        <sz val="11"/>
        <color rgb="FF002060"/>
        <rFont val="Arial"/>
        <family val="2"/>
      </rPr>
      <t xml:space="preserve">
Nominal Values m</t>
    </r>
    <r>
      <rPr>
        <b/>
        <sz val="11"/>
        <color rgb="FF002060"/>
        <rFont val="Arial"/>
        <family val="2"/>
      </rPr>
      <t>m</t>
    </r>
  </si>
  <si>
    <r>
      <t>Error de medida mm_x000D_</t>
    </r>
    <r>
      <rPr>
        <sz val="11"/>
        <color rgb="FF002060"/>
        <rFont val="Arial"/>
        <family val="2"/>
      </rPr>
      <t xml:space="preserve">
Error m</t>
    </r>
    <r>
      <rPr>
        <b/>
        <sz val="11"/>
        <color rgb="FF002060"/>
        <rFont val="Arial"/>
        <family val="2"/>
      </rPr>
      <t>m</t>
    </r>
  </si>
  <si>
    <t>0 - 25 mm</t>
  </si>
  <si>
    <t xml:space="preserve">± (1.4+0.005 L) µm, L en mm </t>
  </si>
  <si>
    <t>± 2 °C</t>
  </si>
  <si>
    <t>± 4 % 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</si>
</sst>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8"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sz val="11"/>
      <color rgb="FF002060"/>
      <name val="Arial"/>
      <family val="2"/>
    </font>
    <font>
      <b/>
      <u/>
      <sz val="16"/>
      <color rgb="FFFF0000"/>
      <name val="Arial"/>
      <family val="2"/>
    </font>
    <font>
      <b/>
      <sz val="12"/>
      <color theme="8" tint="-0.499984740745262"/>
      <name val="Arial"/>
      <family val="2"/>
    </font>
    <font>
      <u/>
      <sz val="16"/>
      <color theme="1"/>
      <name val="Arial"/>
      <family val="2"/>
    </font>
    <font>
      <b/>
      <sz val="9"/>
      <color theme="8" tint="-0.499984740745262"/>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s>
  <fills count="14">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s>
  <borders count="110">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1" fillId="0" borderId="69" applyNumberFormat="0" applyFill="0" applyAlignment="0" applyProtection="0"/>
    <xf numFmtId="0" fontId="77" fillId="0" borderId="0"/>
  </cellStyleXfs>
  <cellXfs count="439">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79" fillId="5" borderId="70" xfId="0" applyNumberFormat="1" applyFont="1" applyFill="1" applyBorder="1" applyAlignment="1" applyProtection="1">
      <alignment horizontal="center" vertical="center"/>
      <protection locked="0"/>
    </xf>
    <xf numFmtId="0" fontId="80" fillId="0" borderId="0" xfId="0" applyFont="1" applyAlignment="1">
      <alignment horizontal="center"/>
    </xf>
    <xf numFmtId="0" fontId="82" fillId="0" borderId="0" xfId="0" applyFont="1" applyAlignment="1" applyProtection="1">
      <alignment vertical="center"/>
      <protection locked="0"/>
    </xf>
    <xf numFmtId="0" fontId="83" fillId="4" borderId="75" xfId="0" applyFont="1" applyFill="1" applyBorder="1" applyAlignment="1">
      <alignment horizontal="center" vertical="center" wrapText="1"/>
    </xf>
    <xf numFmtId="0" fontId="83" fillId="4" borderId="81" xfId="0" applyFont="1" applyFill="1" applyBorder="1" applyAlignment="1">
      <alignment horizontal="center" vertical="center" wrapText="1"/>
    </xf>
    <xf numFmtId="0" fontId="83" fillId="4" borderId="87" xfId="0" applyFont="1" applyFill="1" applyBorder="1" applyAlignment="1">
      <alignment horizontal="center" vertical="center" wrapText="1"/>
    </xf>
    <xf numFmtId="0" fontId="84"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2" fontId="85" fillId="0" borderId="76" xfId="0" applyNumberFormat="1" applyFont="1" applyBorder="1" applyAlignment="1">
      <alignment horizontal="center" vertical="center" wrapText="1"/>
    </xf>
    <xf numFmtId="2" fontId="85" fillId="0" borderId="83" xfId="0" applyNumberFormat="1" applyFont="1" applyBorder="1" applyAlignment="1">
      <alignment horizontal="center" vertical="center" wrapText="1"/>
    </xf>
    <xf numFmtId="2" fontId="85" fillId="0" borderId="88" xfId="0" applyNumberFormat="1" applyFont="1" applyBorder="1" applyAlignment="1">
      <alignment horizontal="center" vertical="center" wrapText="1"/>
    </xf>
    <xf numFmtId="0" fontId="86" fillId="0" borderId="0" xfId="2" applyFont="1" applyAlignment="1">
      <alignment vertical="center"/>
    </xf>
    <xf numFmtId="0" fontId="86" fillId="0" borderId="0" xfId="2" applyFont="1" applyAlignment="1">
      <alignment horizontal="center" vertical="center"/>
    </xf>
    <xf numFmtId="168" fontId="86" fillId="0" borderId="0" xfId="2" applyNumberFormat="1" applyFont="1" applyAlignment="1">
      <alignment horizontal="center" vertical="center"/>
    </xf>
    <xf numFmtId="0" fontId="87" fillId="6" borderId="70" xfId="2" applyFont="1" applyFill="1" applyBorder="1" applyAlignment="1">
      <alignment horizontal="center"/>
    </xf>
    <xf numFmtId="0" fontId="87" fillId="0" borderId="0" xfId="2" applyFont="1" applyAlignment="1">
      <alignment horizontal="center"/>
    </xf>
    <xf numFmtId="2" fontId="86" fillId="0" borderId="0" xfId="2" applyNumberFormat="1" applyFont="1" applyAlignment="1">
      <alignment vertical="center"/>
    </xf>
    <xf numFmtId="2" fontId="88" fillId="0" borderId="0" xfId="2" applyNumberFormat="1" applyFont="1" applyAlignment="1">
      <alignment vertical="center"/>
    </xf>
    <xf numFmtId="2" fontId="86" fillId="0" borderId="0" xfId="2" applyNumberFormat="1" applyFont="1" applyAlignment="1">
      <alignment horizontal="center" vertical="center"/>
    </xf>
    <xf numFmtId="2" fontId="86" fillId="0" borderId="0" xfId="2" applyNumberFormat="1" applyFont="1" applyAlignment="1">
      <alignment horizontal="justify" vertical="center"/>
    </xf>
    <xf numFmtId="2" fontId="88" fillId="0" borderId="0" xfId="2" applyNumberFormat="1" applyFont="1" applyAlignment="1">
      <alignment horizontal="justify" vertical="center"/>
    </xf>
    <xf numFmtId="0" fontId="89" fillId="6" borderId="70" xfId="2" applyFont="1" applyFill="1" applyBorder="1" applyAlignment="1" applyProtection="1">
      <alignment horizontal="center"/>
      <protection locked="0"/>
    </xf>
    <xf numFmtId="168" fontId="89" fillId="6" borderId="70" xfId="2" applyNumberFormat="1" applyFont="1" applyFill="1" applyBorder="1" applyAlignment="1" applyProtection="1">
      <alignment horizontal="center"/>
      <protection locked="0"/>
    </xf>
    <xf numFmtId="168" fontId="89" fillId="0" borderId="0" xfId="2" applyNumberFormat="1" applyFont="1" applyAlignment="1" applyProtection="1">
      <alignment horizontal="center"/>
      <protection locked="0"/>
    </xf>
    <xf numFmtId="169" fontId="89" fillId="0" borderId="0" xfId="2" applyNumberFormat="1" applyFont="1" applyAlignment="1" applyProtection="1">
      <alignment horizontal="center"/>
      <protection locked="0"/>
    </xf>
    <xf numFmtId="2" fontId="86" fillId="0" borderId="70" xfId="2" applyNumberFormat="1" applyFont="1" applyBorder="1" applyAlignment="1">
      <alignment horizontal="right" vertical="center"/>
    </xf>
    <xf numFmtId="2" fontId="86" fillId="0" borderId="70" xfId="2" applyNumberFormat="1" applyFont="1" applyBorder="1" applyAlignment="1">
      <alignment horizontal="center" vertical="center"/>
    </xf>
    <xf numFmtId="2" fontId="86" fillId="9" borderId="70" xfId="2" applyNumberFormat="1" applyFont="1" applyFill="1" applyBorder="1" applyAlignment="1">
      <alignment horizontal="right" vertical="center"/>
    </xf>
    <xf numFmtId="2" fontId="86" fillId="9" borderId="70" xfId="2" applyNumberFormat="1" applyFont="1" applyFill="1" applyBorder="1" applyAlignment="1">
      <alignment horizontal="center" vertical="center"/>
    </xf>
    <xf numFmtId="2" fontId="86" fillId="0" borderId="0" xfId="2" applyNumberFormat="1" applyFont="1" applyAlignment="1">
      <alignment horizontal="right" vertical="center"/>
    </xf>
    <xf numFmtId="2" fontId="86" fillId="0" borderId="0" xfId="2" applyNumberFormat="1" applyFont="1" applyAlignment="1" applyProtection="1">
      <alignment horizontal="center" vertical="center"/>
      <protection locked="0"/>
    </xf>
    <xf numFmtId="170" fontId="86" fillId="0" borderId="0" xfId="2" applyNumberFormat="1" applyFont="1" applyAlignment="1">
      <alignment vertical="center"/>
    </xf>
    <xf numFmtId="2" fontId="86" fillId="6" borderId="84" xfId="2" applyNumberFormat="1" applyFont="1" applyFill="1" applyBorder="1" applyAlignment="1">
      <alignment horizontal="right" vertical="center"/>
    </xf>
    <xf numFmtId="2" fontId="86" fillId="6" borderId="42" xfId="2" applyNumberFormat="1" applyFont="1" applyFill="1" applyBorder="1" applyAlignment="1" applyProtection="1">
      <alignment horizontal="center" vertical="center"/>
      <protection locked="0"/>
    </xf>
    <xf numFmtId="0" fontId="90" fillId="0" borderId="0" xfId="2" applyFont="1" applyAlignment="1" applyProtection="1">
      <alignment horizontal="center"/>
      <protection locked="0"/>
    </xf>
    <xf numFmtId="168" fontId="90" fillId="0" borderId="0" xfId="2" applyNumberFormat="1" applyFont="1" applyAlignment="1" applyProtection="1">
      <alignment horizontal="center"/>
      <protection locked="0"/>
    </xf>
    <xf numFmtId="169" fontId="86" fillId="0" borderId="0" xfId="2" applyNumberFormat="1" applyFont="1" applyAlignment="1">
      <alignment horizontal="center" vertical="center"/>
    </xf>
    <xf numFmtId="168" fontId="89" fillId="0" borderId="70" xfId="2" applyNumberFormat="1" applyFont="1" applyBorder="1" applyAlignment="1" applyProtection="1">
      <alignment horizontal="center"/>
      <protection locked="0"/>
    </xf>
    <xf numFmtId="2" fontId="86" fillId="10" borderId="0" xfId="2" applyNumberFormat="1" applyFont="1" applyFill="1" applyAlignment="1">
      <alignment horizontal="left" vertical="center"/>
    </xf>
    <xf numFmtId="2" fontId="86" fillId="10" borderId="0" xfId="2" applyNumberFormat="1" applyFont="1" applyFill="1" applyAlignment="1">
      <alignment vertical="center"/>
    </xf>
    <xf numFmtId="2" fontId="88" fillId="0" borderId="70" xfId="2" applyNumberFormat="1" applyFont="1" applyBorder="1" applyAlignment="1">
      <alignment horizontal="center" vertical="center"/>
    </xf>
    <xf numFmtId="2" fontId="86" fillId="0" borderId="70" xfId="2" applyNumberFormat="1" applyFont="1" applyBorder="1" applyAlignment="1" applyProtection="1">
      <alignment horizontal="center"/>
      <protection locked="0"/>
    </xf>
    <xf numFmtId="2" fontId="86" fillId="10" borderId="89" xfId="2" applyNumberFormat="1" applyFont="1" applyFill="1" applyBorder="1" applyAlignment="1">
      <alignment vertical="center"/>
    </xf>
    <xf numFmtId="2" fontId="86" fillId="10" borderId="90" xfId="2" applyNumberFormat="1" applyFont="1" applyFill="1" applyBorder="1" applyAlignment="1">
      <alignment horizontal="center" vertical="center"/>
    </xf>
    <xf numFmtId="2" fontId="86" fillId="11" borderId="70" xfId="2" applyNumberFormat="1" applyFont="1" applyFill="1" applyBorder="1" applyAlignment="1" applyProtection="1">
      <alignment horizontal="center"/>
      <protection locked="0"/>
    </xf>
    <xf numFmtId="2" fontId="86" fillId="9" borderId="91" xfId="2" applyNumberFormat="1" applyFont="1" applyFill="1" applyBorder="1" applyAlignment="1">
      <alignment vertical="center"/>
    </xf>
    <xf numFmtId="2" fontId="86" fillId="9" borderId="92" xfId="2" applyNumberFormat="1" applyFont="1" applyFill="1" applyBorder="1" applyAlignment="1">
      <alignment horizontal="center" vertical="center"/>
    </xf>
    <xf numFmtId="2" fontId="86" fillId="11" borderId="70" xfId="2" applyNumberFormat="1" applyFont="1" applyFill="1" applyBorder="1" applyAlignment="1">
      <alignment horizontal="center" vertical="center"/>
    </xf>
    <xf numFmtId="2" fontId="88" fillId="0" borderId="0" xfId="2" applyNumberFormat="1" applyFont="1" applyAlignment="1">
      <alignment horizontal="center" vertical="center"/>
    </xf>
    <xf numFmtId="2" fontId="88" fillId="5" borderId="0" xfId="2" applyNumberFormat="1" applyFont="1" applyFill="1" applyAlignment="1">
      <alignment horizontal="right" vertical="center"/>
    </xf>
    <xf numFmtId="0" fontId="77" fillId="0" borderId="0" xfId="2"/>
    <xf numFmtId="2" fontId="86" fillId="9" borderId="93" xfId="2" applyNumberFormat="1" applyFont="1" applyFill="1" applyBorder="1" applyAlignment="1">
      <alignment vertical="center"/>
    </xf>
    <xf numFmtId="2" fontId="86" fillId="9" borderId="93" xfId="2" applyNumberFormat="1" applyFont="1" applyFill="1" applyBorder="1" applyAlignment="1">
      <alignment horizontal="center" vertical="center"/>
    </xf>
    <xf numFmtId="2" fontId="86" fillId="9" borderId="93" xfId="2" applyNumberFormat="1" applyFont="1" applyFill="1" applyBorder="1" applyAlignment="1">
      <alignment horizontal="left" vertical="center"/>
    </xf>
    <xf numFmtId="2" fontId="86" fillId="0" borderId="70" xfId="2" applyNumberFormat="1" applyFont="1" applyBorder="1" applyAlignment="1">
      <alignment vertical="center"/>
    </xf>
    <xf numFmtId="169" fontId="86" fillId="0" borderId="70" xfId="2" applyNumberFormat="1" applyFont="1" applyBorder="1" applyAlignment="1" applyProtection="1">
      <alignment horizontal="center" vertical="center"/>
      <protection locked="0"/>
    </xf>
    <xf numFmtId="169" fontId="86" fillId="0" borderId="70" xfId="2" applyNumberFormat="1" applyFont="1" applyBorder="1" applyAlignment="1">
      <alignment horizontal="center" vertical="center"/>
    </xf>
    <xf numFmtId="169" fontId="86" fillId="0" borderId="0" xfId="2" applyNumberFormat="1" applyFont="1" applyAlignment="1">
      <alignment vertical="center"/>
    </xf>
    <xf numFmtId="169" fontId="88"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3" xfId="2" applyFont="1" applyBorder="1" applyAlignment="1">
      <alignment horizontal="center"/>
    </xf>
    <xf numFmtId="0" fontId="77" fillId="0" borderId="0" xfId="2" applyAlignment="1" applyProtection="1">
      <alignment vertical="center"/>
      <protection locked="0"/>
    </xf>
    <xf numFmtId="0" fontId="77" fillId="0" borderId="74" xfId="2" applyBorder="1" applyAlignment="1">
      <alignment vertical="center"/>
    </xf>
    <xf numFmtId="0" fontId="77" fillId="5" borderId="74" xfId="2" applyFill="1" applyBorder="1" applyAlignment="1" applyProtection="1">
      <alignment horizontal="center" vertical="center"/>
      <protection locked="0"/>
    </xf>
    <xf numFmtId="0" fontId="77" fillId="6" borderId="0" xfId="2" applyFill="1" applyAlignment="1">
      <alignment horizontal="center" vertical="center"/>
    </xf>
    <xf numFmtId="2" fontId="91" fillId="0" borderId="0" xfId="2" applyNumberFormat="1" applyFont="1" applyAlignment="1">
      <alignment vertical="center"/>
    </xf>
    <xf numFmtId="169" fontId="86" fillId="0" borderId="84" xfId="2" applyNumberFormat="1" applyFont="1" applyBorder="1" applyAlignment="1">
      <alignment horizontal="center" vertical="center"/>
    </xf>
    <xf numFmtId="169" fontId="92" fillId="0" borderId="70" xfId="2" applyNumberFormat="1" applyFont="1" applyBorder="1" applyAlignment="1">
      <alignment horizontal="center" vertical="center"/>
    </xf>
    <xf numFmtId="2" fontId="92" fillId="0" borderId="0" xfId="2" applyNumberFormat="1" applyFont="1" applyAlignment="1">
      <alignment vertical="center"/>
    </xf>
    <xf numFmtId="2" fontId="86" fillId="0" borderId="91" xfId="2" applyNumberFormat="1" applyFont="1" applyBorder="1" applyAlignment="1">
      <alignment vertical="center"/>
    </xf>
    <xf numFmtId="169" fontId="86" fillId="0" borderId="94" xfId="2" applyNumberFormat="1" applyFont="1" applyBorder="1" applyAlignment="1">
      <alignment horizontal="center" vertical="center"/>
    </xf>
    <xf numFmtId="0" fontId="93" fillId="0" borderId="0" xfId="2" applyFont="1" applyAlignment="1">
      <alignment horizontal="center" wrapText="1"/>
    </xf>
    <xf numFmtId="0" fontId="94" fillId="0" borderId="0" xfId="2" applyFont="1" applyAlignment="1">
      <alignment horizontal="center"/>
    </xf>
    <xf numFmtId="0" fontId="90" fillId="0" borderId="0" xfId="2" applyFont="1" applyAlignment="1">
      <alignment horizontal="center"/>
    </xf>
    <xf numFmtId="2" fontId="86" fillId="0" borderId="34" xfId="2" applyNumberFormat="1" applyFont="1" applyBorder="1" applyAlignment="1">
      <alignment vertical="center"/>
    </xf>
    <xf numFmtId="169" fontId="86" fillId="0" borderId="95" xfId="2" applyNumberFormat="1" applyFont="1" applyBorder="1" applyAlignment="1">
      <alignment horizontal="center" vertical="center"/>
    </xf>
    <xf numFmtId="0" fontId="95" fillId="0" borderId="0" xfId="2" applyFont="1" applyAlignment="1">
      <alignment horizontal="center"/>
    </xf>
    <xf numFmtId="2" fontId="86" fillId="9" borderId="91" xfId="2" applyNumberFormat="1" applyFont="1" applyFill="1" applyBorder="1" applyAlignment="1">
      <alignment horizontal="center" vertical="center"/>
    </xf>
    <xf numFmtId="2" fontId="92" fillId="0" borderId="0" xfId="2" applyNumberFormat="1" applyFont="1" applyAlignment="1">
      <alignment horizontal="center" vertical="center"/>
    </xf>
    <xf numFmtId="2" fontId="86" fillId="12" borderId="70" xfId="2" applyNumberFormat="1" applyFont="1" applyFill="1" applyBorder="1" applyAlignment="1" applyProtection="1">
      <alignment horizontal="center" vertical="center"/>
      <protection locked="0"/>
    </xf>
    <xf numFmtId="2" fontId="16" fillId="0" borderId="73" xfId="2" applyNumberFormat="1" applyFont="1" applyBorder="1" applyAlignment="1">
      <alignment horizontal="center" vertical="center"/>
    </xf>
    <xf numFmtId="2" fontId="86" fillId="0" borderId="47" xfId="2" applyNumberFormat="1" applyFont="1" applyBorder="1" applyAlignment="1">
      <alignment horizontal="center" vertical="center"/>
    </xf>
    <xf numFmtId="0" fontId="86" fillId="5" borderId="96" xfId="2" applyFont="1" applyFill="1" applyBorder="1" applyAlignment="1">
      <alignment vertical="center"/>
    </xf>
    <xf numFmtId="0" fontId="86" fillId="5" borderId="97" xfId="2" applyFont="1" applyFill="1" applyBorder="1" applyAlignment="1">
      <alignment vertical="center"/>
    </xf>
    <xf numFmtId="0" fontId="86" fillId="5" borderId="97" xfId="2" applyFont="1" applyFill="1" applyBorder="1" applyAlignment="1">
      <alignment horizontal="center" vertical="center"/>
    </xf>
    <xf numFmtId="2" fontId="86" fillId="5" borderId="98" xfId="2" applyNumberFormat="1" applyFont="1" applyFill="1" applyBorder="1" applyAlignment="1">
      <alignment horizontal="center" vertical="center"/>
    </xf>
    <xf numFmtId="0" fontId="86" fillId="5" borderId="99" xfId="2" applyFont="1" applyFill="1" applyBorder="1" applyAlignment="1">
      <alignment vertical="center"/>
    </xf>
    <xf numFmtId="0" fontId="86" fillId="5" borderId="0" xfId="2" applyFont="1" applyFill="1" applyAlignment="1">
      <alignment vertical="center"/>
    </xf>
    <xf numFmtId="0" fontId="86" fillId="5" borderId="0" xfId="2" applyFont="1" applyFill="1" applyAlignment="1">
      <alignment horizontal="right" vertical="center"/>
    </xf>
    <xf numFmtId="2" fontId="86" fillId="5" borderId="0" xfId="2" applyNumberFormat="1" applyFont="1" applyFill="1" applyAlignment="1">
      <alignment horizontal="right" vertical="center"/>
    </xf>
    <xf numFmtId="2" fontId="86" fillId="5" borderId="100" xfId="2" applyNumberFormat="1" applyFont="1" applyFill="1" applyBorder="1" applyAlignment="1">
      <alignment horizontal="center" vertical="center"/>
    </xf>
    <xf numFmtId="2" fontId="86" fillId="5" borderId="99" xfId="2" applyNumberFormat="1" applyFont="1" applyFill="1" applyBorder="1" applyAlignment="1">
      <alignment vertical="center"/>
    </xf>
    <xf numFmtId="2" fontId="86" fillId="5" borderId="100" xfId="2" applyNumberFormat="1" applyFont="1" applyFill="1" applyBorder="1" applyAlignment="1">
      <alignment vertical="center"/>
    </xf>
    <xf numFmtId="2" fontId="86" fillId="5" borderId="0" xfId="2" applyNumberFormat="1" applyFont="1" applyFill="1" applyAlignment="1">
      <alignment horizontal="center" vertical="center"/>
    </xf>
    <xf numFmtId="2" fontId="86" fillId="5" borderId="0" xfId="2" applyNumberFormat="1" applyFont="1" applyFill="1" applyAlignment="1">
      <alignment vertical="center"/>
    </xf>
    <xf numFmtId="0" fontId="86" fillId="5" borderId="0" xfId="2" applyFont="1" applyFill="1" applyAlignment="1">
      <alignment horizontal="center" vertical="center"/>
    </xf>
    <xf numFmtId="0" fontId="86" fillId="5" borderId="0" xfId="2" applyFont="1" applyFill="1" applyAlignment="1">
      <alignment horizontal="left" vertical="center"/>
    </xf>
    <xf numFmtId="2" fontId="86" fillId="8" borderId="70" xfId="2" applyNumberFormat="1" applyFont="1" applyFill="1" applyBorder="1" applyAlignment="1">
      <alignment horizontal="center" vertical="center"/>
    </xf>
    <xf numFmtId="2" fontId="86" fillId="13" borderId="101" xfId="2" applyNumberFormat="1" applyFont="1" applyFill="1" applyBorder="1" applyAlignment="1">
      <alignment vertical="center"/>
    </xf>
    <xf numFmtId="2" fontId="86" fillId="13" borderId="90" xfId="2" applyNumberFormat="1" applyFont="1" applyFill="1" applyBorder="1" applyAlignment="1">
      <alignment horizontal="center" vertical="center"/>
    </xf>
    <xf numFmtId="0" fontId="77" fillId="5" borderId="0" xfId="2" applyFill="1" applyAlignment="1">
      <alignment vertical="center"/>
    </xf>
    <xf numFmtId="167" fontId="77" fillId="5" borderId="0" xfId="2" applyNumberFormat="1" applyFill="1" applyAlignment="1">
      <alignment horizontal="center" vertical="center"/>
    </xf>
    <xf numFmtId="0" fontId="96" fillId="5" borderId="0" xfId="2" applyFont="1" applyFill="1" applyAlignment="1">
      <alignment vertical="center"/>
    </xf>
    <xf numFmtId="0" fontId="97" fillId="5" borderId="99" xfId="2" applyFont="1" applyFill="1" applyBorder="1" applyAlignment="1">
      <alignment vertical="center"/>
    </xf>
    <xf numFmtId="0" fontId="97" fillId="5" borderId="0" xfId="2" applyFont="1" applyFill="1" applyAlignment="1">
      <alignment vertical="center"/>
    </xf>
    <xf numFmtId="0" fontId="97" fillId="5" borderId="0" xfId="2" applyFont="1" applyFill="1" applyAlignment="1">
      <alignment horizontal="center" vertical="center"/>
    </xf>
    <xf numFmtId="2" fontId="86" fillId="0" borderId="100" xfId="2" applyNumberFormat="1" applyFont="1" applyBorder="1" applyAlignment="1">
      <alignment vertical="center"/>
    </xf>
    <xf numFmtId="2" fontId="86" fillId="0" borderId="99" xfId="2" applyNumberFormat="1" applyFont="1" applyBorder="1" applyAlignment="1">
      <alignment vertical="center"/>
    </xf>
    <xf numFmtId="168" fontId="86" fillId="0" borderId="0" xfId="2" applyNumberFormat="1" applyFont="1" applyAlignment="1">
      <alignment vertical="center"/>
    </xf>
    <xf numFmtId="0" fontId="86" fillId="13" borderId="0" xfId="2" applyFont="1" applyFill="1" applyAlignment="1">
      <alignment horizontal="center" vertical="center"/>
    </xf>
    <xf numFmtId="168" fontId="86" fillId="13" borderId="0" xfId="2" applyNumberFormat="1" applyFont="1" applyFill="1" applyAlignment="1">
      <alignment horizontal="center" vertical="center"/>
    </xf>
    <xf numFmtId="0" fontId="88" fillId="0" borderId="0" xfId="2" applyFont="1" applyAlignment="1">
      <alignment horizontal="right" vertical="center"/>
    </xf>
    <xf numFmtId="170" fontId="86" fillId="0" borderId="99" xfId="2" applyNumberFormat="1" applyFont="1" applyBorder="1" applyAlignment="1">
      <alignment horizontal="center" vertical="center"/>
    </xf>
    <xf numFmtId="0" fontId="86" fillId="0" borderId="0" xfId="2" applyFont="1" applyAlignment="1">
      <alignment horizontal="right" vertical="center"/>
    </xf>
    <xf numFmtId="0" fontId="86" fillId="0" borderId="70" xfId="2" applyFont="1" applyBorder="1" applyAlignment="1">
      <alignment horizontal="center" vertical="center"/>
    </xf>
    <xf numFmtId="2" fontId="86" fillId="0" borderId="84" xfId="2" applyNumberFormat="1" applyFont="1" applyBorder="1" applyAlignment="1">
      <alignment horizontal="center" vertical="center"/>
    </xf>
    <xf numFmtId="0" fontId="86" fillId="0" borderId="99" xfId="2" applyFont="1" applyBorder="1" applyAlignment="1">
      <alignment vertical="center"/>
    </xf>
    <xf numFmtId="0" fontId="86" fillId="0" borderId="100" xfId="2" applyFont="1" applyBorder="1" applyAlignment="1">
      <alignment vertical="center"/>
    </xf>
    <xf numFmtId="0" fontId="86" fillId="5" borderId="100" xfId="2" applyFont="1" applyFill="1" applyBorder="1" applyAlignment="1">
      <alignment vertical="center"/>
    </xf>
    <xf numFmtId="168" fontId="86" fillId="5" borderId="0" xfId="2" applyNumberFormat="1" applyFont="1" applyFill="1" applyAlignment="1">
      <alignment horizontal="center" vertical="center"/>
    </xf>
    <xf numFmtId="2" fontId="86" fillId="5" borderId="99" xfId="2" applyNumberFormat="1" applyFont="1" applyFill="1" applyBorder="1" applyAlignment="1">
      <alignment horizontal="center" vertical="center"/>
    </xf>
    <xf numFmtId="2" fontId="86" fillId="5" borderId="104" xfId="2" applyNumberFormat="1" applyFont="1" applyFill="1" applyBorder="1" applyAlignment="1">
      <alignment horizontal="center" vertical="center"/>
    </xf>
    <xf numFmtId="2" fontId="86" fillId="5" borderId="105" xfId="2" applyNumberFormat="1" applyFont="1" applyFill="1" applyBorder="1" applyAlignment="1">
      <alignment horizontal="center" vertical="center"/>
    </xf>
    <xf numFmtId="0" fontId="86" fillId="5" borderId="105" xfId="2" applyFont="1" applyFill="1" applyBorder="1" applyAlignment="1">
      <alignment vertical="center"/>
    </xf>
    <xf numFmtId="0" fontId="86" fillId="5" borderId="106" xfId="2" applyFont="1" applyFill="1" applyBorder="1" applyAlignment="1">
      <alignment vertical="center"/>
    </xf>
    <xf numFmtId="0" fontId="0" fillId="0" borderId="107" xfId="0" applyBorder="1" applyAlignment="1">
      <alignment horizontal="center" vertical="center"/>
    </xf>
    <xf numFmtId="0" fontId="0" fillId="0" borderId="108" xfId="0" applyBorder="1" applyAlignment="1">
      <alignment horizontal="center" vertical="center"/>
    </xf>
    <xf numFmtId="0" fontId="0" fillId="0" borderId="109" xfId="0" applyBorder="1" applyAlignment="1">
      <alignment horizontal="center" vertical="center"/>
    </xf>
    <xf numFmtId="0" fontId="54" fillId="0" borderId="70" xfId="0" applyFont="1" applyBorder="1" applyAlignment="1">
      <alignment horizontal="center"/>
    </xf>
    <xf numFmtId="0" fontId="54" fillId="0" borderId="0" xfId="0" applyFont="1" applyAlignment="1" applyProtection="1">
      <alignment horizontal="center"/>
      <protection locked="0"/>
    </xf>
    <xf numFmtId="15" fontId="54" fillId="0" borderId="0" xfId="0" applyNumberFormat="1" applyFont="1" applyAlignment="1" applyProtection="1">
      <alignment horizontal="center"/>
      <protection locked="0"/>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1" fillId="0" borderId="86" xfId="0" applyFont="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1" xfId="0" applyFont="1" applyBorder="1" applyAlignment="1">
      <alignment horizontal="center" vertical="top" wrapText="1"/>
    </xf>
    <xf numFmtId="0" fontId="28" fillId="0" borderId="71" xfId="0" applyFont="1" applyBorder="1" applyAlignment="1" applyProtection="1">
      <alignment horizontal="center" vertical="center" wrapText="1"/>
      <protection locked="0"/>
    </xf>
    <xf numFmtId="165" fontId="28" fillId="0" borderId="71" xfId="0" applyNumberFormat="1" applyFont="1" applyBorder="1" applyAlignment="1" applyProtection="1">
      <alignment horizontal="center" vertical="center" wrapText="1"/>
      <protection locked="0"/>
    </xf>
    <xf numFmtId="166"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8" fillId="0" borderId="0" xfId="0" applyFont="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81" fillId="4" borderId="77" xfId="2" applyFont="1" applyFill="1" applyBorder="1" applyAlignment="1">
      <alignment horizontal="center" vertical="center" wrapText="1"/>
    </xf>
    <xf numFmtId="0" fontId="81" fillId="4" borderId="78" xfId="2" applyFont="1" applyFill="1" applyBorder="1" applyAlignment="1">
      <alignment horizontal="center" vertical="center" wrapText="1"/>
    </xf>
    <xf numFmtId="0" fontId="81" fillId="4" borderId="79" xfId="2" applyFont="1" applyFill="1" applyBorder="1" applyAlignment="1">
      <alignment horizontal="center" vertical="center" wrapText="1"/>
    </xf>
    <xf numFmtId="0" fontId="81" fillId="4" borderId="80" xfId="2"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2" fontId="88" fillId="0" borderId="0" xfId="2" applyNumberFormat="1" applyFont="1" applyAlignment="1">
      <alignment horizontal="left" vertical="center"/>
    </xf>
    <xf numFmtId="0" fontId="91" fillId="0" borderId="0" xfId="2" applyFont="1" applyAlignment="1">
      <alignment horizontal="left" wrapText="1"/>
    </xf>
    <xf numFmtId="0" fontId="91" fillId="0" borderId="100" xfId="2" applyFont="1" applyBorder="1" applyAlignment="1">
      <alignment horizontal="left" wrapText="1"/>
    </xf>
    <xf numFmtId="0" fontId="86" fillId="0" borderId="102" xfId="2" applyFont="1" applyBorder="1" applyAlignment="1">
      <alignment vertical="center"/>
    </xf>
    <xf numFmtId="0" fontId="86" fillId="0" borderId="103" xfId="2" applyFont="1" applyBorder="1" applyAlignment="1">
      <alignment vertical="center"/>
    </xf>
    <xf numFmtId="0" fontId="86" fillId="5" borderId="99" xfId="2" applyFont="1" applyFill="1" applyBorder="1" applyAlignment="1">
      <alignment horizontal="center" vertical="center"/>
    </xf>
    <xf numFmtId="0" fontId="86" fillId="5" borderId="0" xfId="2" applyFont="1" applyFill="1" applyAlignment="1">
      <alignment horizontal="center" vertical="center"/>
    </xf>
    <xf numFmtId="0" fontId="93" fillId="0" borderId="0" xfId="2" applyFont="1" applyAlignment="1">
      <alignment horizontal="center"/>
    </xf>
    <xf numFmtId="0" fontId="94" fillId="0" borderId="0" xfId="2" applyFont="1" applyAlignment="1">
      <alignment horizontal="center" wrapText="1"/>
    </xf>
    <xf numFmtId="0" fontId="90" fillId="0" borderId="0" xfId="2" applyFont="1" applyAlignment="1">
      <alignment horizontal="center"/>
    </xf>
    <xf numFmtId="0" fontId="88" fillId="8" borderId="70" xfId="2" applyFont="1" applyFill="1" applyBorder="1" applyAlignment="1">
      <alignment vertical="center"/>
    </xf>
    <xf numFmtId="2" fontId="86" fillId="0" borderId="0" xfId="2" applyNumberFormat="1" applyFont="1" applyAlignment="1">
      <alignment horizontal="center" vertical="center"/>
    </xf>
    <xf numFmtId="2" fontId="88" fillId="0" borderId="50" xfId="2" applyNumberFormat="1" applyFont="1" applyBorder="1" applyAlignment="1">
      <alignment vertical="center"/>
    </xf>
    <xf numFmtId="0" fontId="77" fillId="0" borderId="74" xfId="2" applyBorder="1" applyAlignment="1">
      <alignment horizontal="center" vertical="center"/>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png"/><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695317</xdr:colOff>
          <xdr:row>5</xdr:row>
          <xdr:rowOff>19050</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428617</xdr:colOff>
          <xdr:row>7</xdr:row>
          <xdr:rowOff>180983</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409583</xdr:colOff>
          <xdr:row>10</xdr:row>
          <xdr:rowOff>200017</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409583</xdr:colOff>
          <xdr:row>13</xdr:row>
          <xdr:rowOff>95250</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400050</xdr:colOff>
          <xdr:row>13</xdr:row>
          <xdr:rowOff>85717</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200017</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94818</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1038746</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1189140</xdr:colOff>
      <xdr:row>1</xdr:row>
      <xdr:rowOff>999882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1055905</xdr:colOff>
      <xdr:row>51</xdr:row>
      <xdr:rowOff>897379</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1211742</xdr:colOff>
      <xdr:row>51</xdr:row>
      <xdr:rowOff>1057206</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90" zoomScaleNormal="90" workbookViewId="0">
      <selection activeCell="H8" sqref="H8"/>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27">
        <v>10</v>
      </c>
      <c r="B1" s="264" t="s">
        <v>93</v>
      </c>
      <c r="C1" s="264"/>
    </row>
    <row r="2" spans="1:13" ht="17.149999999999999" thickBot="1" x14ac:dyDescent="0.5">
      <c r="A2" s="127" t="s">
        <v>216</v>
      </c>
      <c r="B2" s="264" t="s">
        <v>94</v>
      </c>
      <c r="C2" s="264"/>
      <c r="E2" s="124" t="s">
        <v>79</v>
      </c>
      <c r="F2" s="125"/>
      <c r="G2" s="122"/>
    </row>
    <row r="3" spans="1:13" ht="18.899999999999999" thickBot="1" x14ac:dyDescent="0.55000000000000004">
      <c r="A3" s="127" t="s">
        <v>108</v>
      </c>
      <c r="B3" s="264" t="s">
        <v>95</v>
      </c>
      <c r="C3" s="264"/>
      <c r="E3" s="123" t="s">
        <v>80</v>
      </c>
      <c r="F3" s="123"/>
      <c r="G3" s="96">
        <v>2</v>
      </c>
    </row>
    <row r="4" spans="1:13" ht="18.45" x14ac:dyDescent="0.5">
      <c r="E4" s="258" t="s">
        <v>81</v>
      </c>
      <c r="F4" s="258"/>
      <c r="G4">
        <v>2</v>
      </c>
    </row>
    <row r="5" spans="1:13" ht="18.45" x14ac:dyDescent="0.5">
      <c r="A5" s="98" t="s">
        <v>84</v>
      </c>
      <c r="B5" s="259" t="s">
        <v>110</v>
      </c>
      <c r="C5" s="259"/>
      <c r="E5" s="258" t="s">
        <v>82</v>
      </c>
      <c r="F5" s="258"/>
      <c r="G5" s="96">
        <v>4</v>
      </c>
    </row>
    <row r="6" spans="1:13" ht="18.45" x14ac:dyDescent="0.5">
      <c r="A6" s="98" t="s">
        <v>85</v>
      </c>
      <c r="B6" s="260" t="s">
        <v>109</v>
      </c>
      <c r="C6" s="260"/>
      <c r="E6" s="258" t="s">
        <v>83</v>
      </c>
      <c r="F6" s="258"/>
      <c r="G6" s="96">
        <v>2</v>
      </c>
      <c r="I6" s="115"/>
    </row>
    <row r="7" spans="1:13" ht="19.75" x14ac:dyDescent="0.4">
      <c r="C7" s="118"/>
      <c r="D7" s="118"/>
      <c r="E7" s="94"/>
      <c r="I7" s="95"/>
    </row>
    <row r="8" spans="1:13" ht="18.45" customHeight="1" x14ac:dyDescent="0.4">
      <c r="A8" t="s">
        <v>103</v>
      </c>
      <c r="C8" s="132"/>
      <c r="D8" s="136"/>
      <c r="E8" s="94"/>
      <c r="I8" s="95"/>
    </row>
    <row r="9" spans="1:13" ht="18.45" customHeight="1" x14ac:dyDescent="0.4">
      <c r="A9" t="s">
        <v>99</v>
      </c>
      <c r="B9" s="129"/>
      <c r="C9" s="116"/>
      <c r="D9" s="117"/>
      <c r="E9" s="94"/>
      <c r="H9" s="129"/>
      <c r="I9" s="95"/>
    </row>
    <row r="10" spans="1:13" x14ac:dyDescent="0.4">
      <c r="E10" s="97"/>
      <c r="I10" s="128"/>
    </row>
    <row r="11" spans="1:13" ht="19.75" x14ac:dyDescent="0.5">
      <c r="B11" s="263"/>
      <c r="C11" s="263"/>
      <c r="D11" s="99"/>
      <c r="G11" s="99"/>
      <c r="H11" s="99"/>
      <c r="I11" s="99"/>
      <c r="J11" s="88"/>
      <c r="K11" s="88"/>
    </row>
    <row r="12" spans="1:13" ht="18.45" x14ac:dyDescent="0.5">
      <c r="B12" s="261"/>
      <c r="C12" s="262"/>
      <c r="D12" s="100"/>
      <c r="E12" s="100"/>
      <c r="F12" s="100"/>
      <c r="G12" s="99"/>
      <c r="H12" s="99"/>
      <c r="I12" s="99"/>
      <c r="K12" s="88"/>
      <c r="M12" s="97"/>
    </row>
    <row r="13" spans="1:13" ht="20.6" x14ac:dyDescent="0.5">
      <c r="B13" s="101"/>
      <c r="C13" s="101">
        <v>1</v>
      </c>
      <c r="D13" s="101">
        <v>2</v>
      </c>
      <c r="E13" s="101">
        <v>3</v>
      </c>
      <c r="F13" s="102" t="s">
        <v>86</v>
      </c>
      <c r="G13" s="103" t="s">
        <v>96</v>
      </c>
      <c r="H13" s="119" t="s">
        <v>223</v>
      </c>
      <c r="I13" s="99"/>
      <c r="K13" s="121"/>
    </row>
    <row r="14" spans="1:13" ht="18.45" x14ac:dyDescent="0.5">
      <c r="B14" s="104">
        <v>0</v>
      </c>
      <c r="C14" s="105">
        <v>1</v>
      </c>
      <c r="D14" s="105">
        <v>1</v>
      </c>
      <c r="E14" s="105">
        <v>1</v>
      </c>
      <c r="F14" s="106">
        <v>1</v>
      </c>
      <c r="G14" s="99"/>
      <c r="H14" s="99"/>
      <c r="I14" s="99"/>
      <c r="M14" s="88"/>
    </row>
    <row r="15" spans="1:13" ht="18.45" x14ac:dyDescent="0.5">
      <c r="B15" s="104">
        <v>2.5</v>
      </c>
      <c r="C15" s="105">
        <v>1</v>
      </c>
      <c r="D15" s="105">
        <v>1</v>
      </c>
      <c r="E15" s="105">
        <v>1</v>
      </c>
      <c r="F15" s="106">
        <v>1</v>
      </c>
      <c r="G15" s="99"/>
      <c r="H15" s="99"/>
      <c r="I15" s="99"/>
      <c r="M15" s="88"/>
    </row>
    <row r="16" spans="1:13" ht="18.45" x14ac:dyDescent="0.5">
      <c r="B16" s="104">
        <v>5.0999999999999996</v>
      </c>
      <c r="C16" s="105">
        <v>1</v>
      </c>
      <c r="D16" s="105">
        <v>1</v>
      </c>
      <c r="E16" s="105">
        <v>1</v>
      </c>
      <c r="F16" s="106">
        <v>1</v>
      </c>
      <c r="K16" s="98"/>
      <c r="M16" s="88"/>
    </row>
    <row r="17" spans="2:13" ht="18.45" x14ac:dyDescent="0.5">
      <c r="B17" s="104">
        <v>7.7</v>
      </c>
      <c r="C17" s="105">
        <v>1</v>
      </c>
      <c r="D17" s="105">
        <v>1</v>
      </c>
      <c r="E17" s="105">
        <v>1</v>
      </c>
      <c r="F17" s="106">
        <v>1</v>
      </c>
      <c r="K17" s="94"/>
      <c r="M17" s="88"/>
    </row>
    <row r="18" spans="2:13" ht="18.45" x14ac:dyDescent="0.5">
      <c r="B18" s="104">
        <v>10.3</v>
      </c>
      <c r="C18" s="105">
        <v>1</v>
      </c>
      <c r="D18" s="105">
        <v>1</v>
      </c>
      <c r="E18" s="105">
        <v>1</v>
      </c>
      <c r="F18" s="106">
        <v>1</v>
      </c>
      <c r="K18" s="94"/>
      <c r="M18" s="88"/>
    </row>
    <row r="19" spans="2:13" ht="18.45" x14ac:dyDescent="0.5">
      <c r="B19" s="104">
        <v>12.9</v>
      </c>
      <c r="C19" s="105">
        <v>1</v>
      </c>
      <c r="D19" s="105">
        <v>1</v>
      </c>
      <c r="E19" s="105">
        <v>1</v>
      </c>
      <c r="F19" s="106">
        <v>1</v>
      </c>
      <c r="K19" s="88"/>
      <c r="M19" s="88"/>
    </row>
    <row r="20" spans="2:13" ht="18.45" x14ac:dyDescent="0.5">
      <c r="B20" s="104">
        <v>15</v>
      </c>
      <c r="C20" s="130">
        <v>1</v>
      </c>
      <c r="D20" s="105">
        <v>1</v>
      </c>
      <c r="E20" s="105">
        <v>1</v>
      </c>
      <c r="F20" s="106">
        <v>1</v>
      </c>
      <c r="G20" s="99"/>
      <c r="H20" s="99"/>
      <c r="I20" s="99"/>
      <c r="K20" s="88"/>
      <c r="M20" s="88"/>
    </row>
    <row r="21" spans="2:13" ht="18.45" x14ac:dyDescent="0.5">
      <c r="B21" s="104">
        <v>17.600000000000001</v>
      </c>
      <c r="C21" s="105">
        <v>1</v>
      </c>
      <c r="D21" s="105">
        <v>1</v>
      </c>
      <c r="E21" s="105">
        <v>1</v>
      </c>
      <c r="F21" s="106">
        <v>1</v>
      </c>
      <c r="G21" s="99"/>
      <c r="H21" s="99"/>
      <c r="I21" s="99"/>
    </row>
    <row r="22" spans="2:13" ht="18.45" x14ac:dyDescent="0.5">
      <c r="B22" s="104">
        <v>20.2</v>
      </c>
      <c r="C22" s="105">
        <v>1</v>
      </c>
      <c r="D22" s="105">
        <v>1</v>
      </c>
      <c r="E22" s="105">
        <v>1</v>
      </c>
      <c r="F22" s="106">
        <v>1</v>
      </c>
      <c r="G22" s="99"/>
      <c r="H22" s="99"/>
      <c r="I22" s="131"/>
      <c r="J22" s="120"/>
    </row>
    <row r="23" spans="2:13" ht="18.45" x14ac:dyDescent="0.5">
      <c r="B23" s="104">
        <v>22.8</v>
      </c>
      <c r="C23" s="105">
        <v>1</v>
      </c>
      <c r="D23" s="105">
        <v>1</v>
      </c>
      <c r="E23" s="105">
        <v>1</v>
      </c>
      <c r="F23" s="106">
        <v>1</v>
      </c>
      <c r="G23" s="99"/>
      <c r="H23" s="99"/>
      <c r="I23" s="99"/>
    </row>
    <row r="24" spans="2:13" ht="18.45" x14ac:dyDescent="0.5">
      <c r="B24" s="104">
        <v>25</v>
      </c>
      <c r="C24" s="105">
        <v>1</v>
      </c>
      <c r="D24" s="105">
        <v>1</v>
      </c>
      <c r="E24" s="105">
        <v>1</v>
      </c>
      <c r="F24" s="106">
        <v>1</v>
      </c>
      <c r="G24" s="99"/>
      <c r="H24" s="99"/>
      <c r="I24" s="99"/>
      <c r="M24" s="88"/>
    </row>
    <row r="25" spans="2:13" ht="18.45" x14ac:dyDescent="0.5">
      <c r="B25" s="99"/>
      <c r="C25" s="107"/>
      <c r="D25" s="99"/>
      <c r="G25" s="99"/>
      <c r="H25" s="99"/>
      <c r="I25" s="99"/>
    </row>
    <row r="26" spans="2:13" x14ac:dyDescent="0.4">
      <c r="B26" s="255" t="s">
        <v>87</v>
      </c>
      <c r="C26" s="256"/>
      <c r="D26" s="256"/>
      <c r="E26" s="257"/>
      <c r="F26" s="108"/>
      <c r="G26" s="255" t="s">
        <v>88</v>
      </c>
      <c r="H26" s="256"/>
      <c r="I26" s="256"/>
      <c r="J26" s="256"/>
      <c r="K26" s="257"/>
    </row>
    <row r="27" spans="2:13" x14ac:dyDescent="0.4">
      <c r="B27" s="109" t="s">
        <v>89</v>
      </c>
      <c r="C27" s="110">
        <v>0</v>
      </c>
      <c r="D27" s="109" t="s">
        <v>90</v>
      </c>
      <c r="E27" s="110">
        <v>0</v>
      </c>
      <c r="F27" s="108"/>
      <c r="G27" s="109" t="s">
        <v>91</v>
      </c>
      <c r="H27" s="110">
        <v>0</v>
      </c>
      <c r="I27" s="110">
        <v>0</v>
      </c>
      <c r="J27" s="110">
        <v>0</v>
      </c>
      <c r="K27" s="110">
        <v>0</v>
      </c>
    </row>
    <row r="29" spans="2:13" x14ac:dyDescent="0.4">
      <c r="E29" s="111">
        <v>0</v>
      </c>
      <c r="G29" s="111">
        <v>0</v>
      </c>
    </row>
    <row r="31" spans="2:13" x14ac:dyDescent="0.4">
      <c r="B31" s="126" t="s">
        <v>92</v>
      </c>
      <c r="C31" s="126"/>
      <c r="D31" s="112"/>
      <c r="J31" s="113"/>
    </row>
    <row r="33" spans="7:7" x14ac:dyDescent="0.4">
      <c r="G33" s="129"/>
    </row>
  </sheetData>
  <sheetProtection selectLockedCells="1" selectUnlockedCells="1"/>
  <dataConsolidate/>
  <mergeCells count="12">
    <mergeCell ref="E4:F4"/>
    <mergeCell ref="E5:F5"/>
    <mergeCell ref="B1:C1"/>
    <mergeCell ref="B2:C2"/>
    <mergeCell ref="B3:C3"/>
    <mergeCell ref="B26:E26"/>
    <mergeCell ref="G26:K26"/>
    <mergeCell ref="E6:F6"/>
    <mergeCell ref="B5:C5"/>
    <mergeCell ref="B6:C6"/>
    <mergeCell ref="B12:C12"/>
    <mergeCell ref="B11:C11"/>
  </mergeCells>
  <dataValidations count="3">
    <dataValidation type="list" allowBlank="1" showInputMessage="1" showErrorMessage="1" sqref="A3" xr:uid="{DBA7DB5A-4A94-48EA-A234-A6FC70554E53}">
      <formula1>"KAL021,KAL026,KAL032,KAL033,KAL037,KAL-D-014,KAL-D-037"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8" r:id="rId4" name="LlenarCampos">
          <controlPr defaultSize="0" autoLine="0" r:id="rId5">
            <anchor moveWithCells="1">
              <from>
                <xdr:col>9</xdr:col>
                <xdr:colOff>778329</xdr:colOff>
                <xdr:row>14</xdr:row>
                <xdr:rowOff>38100</xdr:rowOff>
              </from>
              <to>
                <xdr:col>11</xdr:col>
                <xdr:colOff>429986</xdr:colOff>
                <xdr:row>15</xdr:row>
                <xdr:rowOff>201386</xdr:rowOff>
              </to>
            </anchor>
          </controlPr>
        </control>
      </mc:Choice>
      <mc:Fallback>
        <control shapeId="2078" r:id="rId4" name="LlenarCampos"/>
      </mc:Fallback>
    </mc:AlternateContent>
    <mc:AlternateContent xmlns:mc="http://schemas.openxmlformats.org/markup-compatibility/2006">
      <mc:Choice Requires="x14">
        <control shapeId="2070" r:id="rId6" name="Borrarpatron">
          <controlPr defaultSize="0" autoLine="0" r:id="rId7">
            <anchor moveWithCells="1">
              <from>
                <xdr:col>11</xdr:col>
                <xdr:colOff>762000</xdr:colOff>
                <xdr:row>11</xdr:row>
                <xdr:rowOff>179614</xdr:rowOff>
              </from>
              <to>
                <xdr:col>13</xdr:col>
                <xdr:colOff>402771</xdr:colOff>
                <xdr:row>13</xdr:row>
                <xdr:rowOff>81643</xdr:rowOff>
              </to>
            </anchor>
          </controlPr>
        </control>
      </mc:Choice>
      <mc:Fallback>
        <control shapeId="2070" r:id="rId6" name="Borrarpatron"/>
      </mc:Fallback>
    </mc:AlternateContent>
    <mc:AlternateContent xmlns:mc="http://schemas.openxmlformats.org/markup-compatibility/2006">
      <mc:Choice Requires="x14">
        <control shapeId="2051" r:id="rId8" name="BuscarEquipo">
          <controlPr defaultSize="0" autoLine="0" r:id="rId9">
            <anchor moveWithCells="1">
              <from>
                <xdr:col>9</xdr:col>
                <xdr:colOff>767443</xdr:colOff>
                <xdr:row>8</xdr:row>
                <xdr:rowOff>223157</xdr:rowOff>
              </from>
              <to>
                <xdr:col>11</xdr:col>
                <xdr:colOff>408214</xdr:colOff>
                <xdr:row>10</xdr:row>
                <xdr:rowOff>201386</xdr:rowOff>
              </to>
            </anchor>
          </controlPr>
        </control>
      </mc:Choice>
      <mc:Fallback>
        <control shapeId="2051" r:id="rId8" name="BuscarEquipo"/>
      </mc:Fallback>
    </mc:AlternateContent>
    <mc:AlternateContent xmlns:mc="http://schemas.openxmlformats.org/markup-compatibility/2006">
      <mc:Choice Requires="x14">
        <control shapeId="2050" r:id="rId10" name="BuscarCliente">
          <controlPr defaultSize="0" autoLine="0" r:id="rId11">
            <anchor moveWithCells="1">
              <from>
                <xdr:col>9</xdr:col>
                <xdr:colOff>778329</xdr:colOff>
                <xdr:row>6</xdr:row>
                <xdr:rowOff>0</xdr:rowOff>
              </from>
              <to>
                <xdr:col>11</xdr:col>
                <xdr:colOff>429986</xdr:colOff>
                <xdr:row>7</xdr:row>
                <xdr:rowOff>185057</xdr:rowOff>
              </to>
            </anchor>
          </controlPr>
        </control>
      </mc:Choice>
      <mc:Fallback>
        <control shapeId="2050" r:id="rId10" name="BuscarCliente"/>
      </mc:Fallback>
    </mc:AlternateContent>
    <mc:AlternateContent xmlns:mc="http://schemas.openxmlformats.org/markup-compatibility/2006">
      <mc:Choice Requires="x14">
        <control shapeId="2049" r:id="rId12" name="BuscarRutas">
          <controlPr defaultSize="0" autoLine="0" r:id="rId13">
            <anchor moveWithCells="1">
              <from>
                <xdr:col>10</xdr:col>
                <xdr:colOff>0</xdr:colOff>
                <xdr:row>3</xdr:row>
                <xdr:rowOff>38100</xdr:rowOff>
              </from>
              <to>
                <xdr:col>11</xdr:col>
                <xdr:colOff>696686</xdr:colOff>
                <xdr:row>5</xdr:row>
                <xdr:rowOff>21771</xdr:rowOff>
              </to>
            </anchor>
          </controlPr>
        </control>
      </mc:Choice>
      <mc:Fallback>
        <control shapeId="2049" r:id="rId12" name="BuscarRutas"/>
      </mc:Fallback>
    </mc:AlternateContent>
    <mc:AlternateContent xmlns:mc="http://schemas.openxmlformats.org/markup-compatibility/2006">
      <mc:Choice Requires="x14">
        <control shapeId="2059" r:id="rId14" name="BuscarPatron">
          <controlPr defaultSize="0" autoLine="0" r:id="rId15">
            <anchor moveWithCells="1">
              <from>
                <xdr:col>9</xdr:col>
                <xdr:colOff>772886</xdr:colOff>
                <xdr:row>11</xdr:row>
                <xdr:rowOff>190500</xdr:rowOff>
              </from>
              <to>
                <xdr:col>11</xdr:col>
                <xdr:colOff>413657</xdr:colOff>
                <xdr:row>13</xdr:row>
                <xdr:rowOff>92529</xdr:rowOff>
              </to>
            </anchor>
          </controlPr>
        </control>
      </mc:Choice>
      <mc:Fallback>
        <control shapeId="2059" r:id="rId14"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100" zoomScale="85" zoomScaleNormal="40" zoomScaleSheetLayoutView="85" zoomScalePageLayoutView="70" workbookViewId="0">
      <selection activeCell="K103" sqref="K103"/>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279" t="s">
        <v>0</v>
      </c>
      <c r="F1" s="279"/>
      <c r="G1" s="279"/>
      <c r="H1" s="279"/>
      <c r="I1" s="279"/>
      <c r="J1" s="279"/>
      <c r="K1" s="279"/>
      <c r="L1"/>
      <c r="M1"/>
    </row>
    <row r="2" spans="1:14" ht="90" customHeight="1" thickBot="1" x14ac:dyDescent="0.45">
      <c r="A2" s="3"/>
      <c r="B2" s="3"/>
      <c r="C2" s="3"/>
      <c r="D2" s="4"/>
      <c r="E2" s="280"/>
      <c r="F2" s="280"/>
      <c r="G2" s="280"/>
      <c r="H2" s="280"/>
      <c r="I2" s="280"/>
      <c r="J2" s="280"/>
      <c r="K2" s="280"/>
      <c r="L2" s="5"/>
      <c r="M2" s="5"/>
      <c r="N2" s="6"/>
    </row>
    <row r="3" spans="1:14" ht="60.75" customHeight="1" thickTop="1" thickBot="1" x14ac:dyDescent="0.45">
      <c r="A3" s="281" t="s">
        <v>1</v>
      </c>
      <c r="B3" s="281"/>
      <c r="C3" s="281"/>
      <c r="D3" s="281"/>
      <c r="E3" s="281"/>
      <c r="F3" s="281"/>
      <c r="G3" s="281"/>
      <c r="H3" s="281"/>
      <c r="I3" s="281"/>
      <c r="J3" s="281"/>
      <c r="K3" s="282" t="s">
        <v>2</v>
      </c>
      <c r="L3" s="282"/>
      <c r="M3" s="282"/>
      <c r="N3" s="282"/>
    </row>
    <row r="4" spans="1:14" ht="38.25" customHeight="1" thickBot="1" x14ac:dyDescent="0.45">
      <c r="A4" s="281"/>
      <c r="B4" s="281"/>
      <c r="C4" s="281"/>
      <c r="D4" s="281"/>
      <c r="E4" s="281"/>
      <c r="F4" s="281"/>
      <c r="G4" s="281"/>
      <c r="H4" s="281"/>
      <c r="I4" s="281"/>
      <c r="J4" s="281"/>
      <c r="K4" s="283" t="s">
        <v>3</v>
      </c>
      <c r="L4" s="284"/>
      <c r="M4" s="285" t="s">
        <v>216</v>
      </c>
      <c r="N4" s="286"/>
    </row>
    <row r="5" spans="1:14" ht="37.5" customHeight="1" thickBot="1" x14ac:dyDescent="0.45">
      <c r="A5" s="287" t="s">
        <v>4</v>
      </c>
      <c r="B5" s="287"/>
      <c r="C5" s="287"/>
      <c r="D5" s="287"/>
      <c r="E5" s="287"/>
      <c r="F5" s="287"/>
      <c r="G5" s="287"/>
      <c r="H5" s="287"/>
      <c r="I5" s="287"/>
      <c r="J5" s="287"/>
      <c r="K5" s="7"/>
      <c r="L5" s="7"/>
      <c r="M5" s="288" t="s">
        <v>5</v>
      </c>
      <c r="N5" s="289"/>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5" t="s">
        <v>6</v>
      </c>
      <c r="B7" s="265"/>
      <c r="C7" s="265"/>
      <c r="D7" s="265"/>
      <c r="E7" s="265"/>
      <c r="F7" s="265"/>
      <c r="G7" s="265"/>
      <c r="H7" s="265"/>
      <c r="I7" s="265"/>
      <c r="J7" s="265"/>
      <c r="K7" s="265"/>
      <c r="L7" s="265"/>
      <c r="M7" s="265"/>
      <c r="N7" s="265"/>
    </row>
    <row r="8" spans="1:14" s="13" customFormat="1" ht="57" customHeight="1" thickBot="1" x14ac:dyDescent="0.45">
      <c r="A8" s="266" t="s">
        <v>7</v>
      </c>
      <c r="B8" s="267"/>
      <c r="C8" s="268"/>
      <c r="D8" s="269" t="s">
        <v>102</v>
      </c>
      <c r="E8" s="270"/>
      <c r="F8" s="270"/>
      <c r="G8" s="270"/>
      <c r="H8" s="270"/>
      <c r="I8" s="270"/>
      <c r="J8" s="270"/>
      <c r="K8" s="270"/>
      <c r="L8" s="270"/>
      <c r="M8" s="270"/>
      <c r="N8" s="271"/>
    </row>
    <row r="9" spans="1:14" ht="57" customHeight="1" thickBot="1" x14ac:dyDescent="0.45">
      <c r="A9" s="272" t="s">
        <v>8</v>
      </c>
      <c r="B9" s="273"/>
      <c r="C9" s="274"/>
      <c r="D9" s="275" t="s">
        <v>112</v>
      </c>
      <c r="E9" s="276"/>
      <c r="F9" s="276"/>
      <c r="G9" s="276"/>
      <c r="H9" s="276"/>
      <c r="I9" s="276"/>
      <c r="J9" s="276"/>
      <c r="K9" s="276"/>
      <c r="L9" s="276"/>
      <c r="M9" s="276"/>
      <c r="N9" s="277"/>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78" t="s">
        <v>9</v>
      </c>
      <c r="B11" s="278"/>
      <c r="C11" s="278"/>
      <c r="D11" s="278"/>
      <c r="E11" s="278"/>
      <c r="F11" s="278"/>
      <c r="G11" s="278"/>
      <c r="H11" s="278"/>
      <c r="I11" s="278"/>
      <c r="J11" s="278"/>
      <c r="K11" s="278"/>
      <c r="L11" s="278"/>
      <c r="M11" s="278"/>
      <c r="N11" s="278"/>
    </row>
    <row r="12" spans="1:14" ht="23.15" customHeight="1" x14ac:dyDescent="0.45">
      <c r="A12" s="290" t="s">
        <v>10</v>
      </c>
      <c r="B12" s="291"/>
      <c r="C12" s="291"/>
      <c r="D12" s="310" t="s">
        <v>100</v>
      </c>
      <c r="E12" s="311"/>
      <c r="F12" s="311"/>
      <c r="G12" s="312"/>
      <c r="I12" s="298" t="s">
        <v>11</v>
      </c>
      <c r="J12" s="316"/>
      <c r="K12" s="301" t="s">
        <v>218</v>
      </c>
      <c r="L12" s="301"/>
      <c r="M12" s="301"/>
      <c r="N12" s="302"/>
    </row>
    <row r="13" spans="1:14" ht="23.15" customHeight="1" thickBot="1" x14ac:dyDescent="0.5">
      <c r="A13" s="306" t="s">
        <v>12</v>
      </c>
      <c r="B13" s="307"/>
      <c r="C13" s="307"/>
      <c r="D13" s="313"/>
      <c r="E13" s="314"/>
      <c r="F13" s="314"/>
      <c r="G13" s="315"/>
      <c r="I13" s="308" t="s">
        <v>13</v>
      </c>
      <c r="J13" s="317"/>
      <c r="K13" s="304"/>
      <c r="L13" s="304"/>
      <c r="M13" s="304"/>
      <c r="N13" s="305"/>
    </row>
    <row r="14" spans="1:14" ht="23.15" customHeight="1" x14ac:dyDescent="0.45">
      <c r="A14" s="290" t="s">
        <v>14</v>
      </c>
      <c r="B14" s="291"/>
      <c r="C14" s="291"/>
      <c r="D14" s="292" t="s">
        <v>101</v>
      </c>
      <c r="E14" s="293"/>
      <c r="F14" s="293"/>
      <c r="G14" s="294"/>
      <c r="I14" s="298" t="s">
        <v>15</v>
      </c>
      <c r="J14" s="299"/>
      <c r="K14" s="300" t="s">
        <v>78</v>
      </c>
      <c r="L14" s="301"/>
      <c r="M14" s="301"/>
      <c r="N14" s="302"/>
    </row>
    <row r="15" spans="1:14" ht="23.15" customHeight="1" thickBot="1" x14ac:dyDescent="0.5">
      <c r="A15" s="306" t="s">
        <v>16</v>
      </c>
      <c r="B15" s="307"/>
      <c r="C15" s="307"/>
      <c r="D15" s="295"/>
      <c r="E15" s="296"/>
      <c r="F15" s="296"/>
      <c r="G15" s="297"/>
      <c r="I15" s="308" t="s">
        <v>17</v>
      </c>
      <c r="J15" s="309"/>
      <c r="K15" s="303"/>
      <c r="L15" s="304"/>
      <c r="M15" s="304"/>
      <c r="N15" s="305"/>
    </row>
    <row r="16" spans="1:14" ht="23.15" customHeight="1" x14ac:dyDescent="0.45">
      <c r="A16" s="290" t="s">
        <v>18</v>
      </c>
      <c r="B16" s="291"/>
      <c r="C16" s="291"/>
      <c r="D16" s="292" t="s">
        <v>217</v>
      </c>
      <c r="E16" s="293"/>
      <c r="F16" s="293"/>
      <c r="G16" s="294"/>
      <c r="I16" s="298" t="s">
        <v>19</v>
      </c>
      <c r="J16" s="316"/>
      <c r="K16" s="318" t="s">
        <v>219</v>
      </c>
      <c r="L16" s="301"/>
      <c r="M16" s="301"/>
      <c r="N16" s="302"/>
    </row>
    <row r="17" spans="1:14" ht="23.15" customHeight="1" thickBot="1" x14ac:dyDescent="0.5">
      <c r="A17" s="306" t="s">
        <v>20</v>
      </c>
      <c r="B17" s="307"/>
      <c r="C17" s="307"/>
      <c r="D17" s="295"/>
      <c r="E17" s="296"/>
      <c r="F17" s="296"/>
      <c r="G17" s="297"/>
      <c r="I17" s="308" t="s">
        <v>21</v>
      </c>
      <c r="J17" s="317"/>
      <c r="K17" s="304"/>
      <c r="L17" s="304"/>
      <c r="M17" s="304"/>
      <c r="N17" s="305"/>
    </row>
    <row r="18" spans="1:14" ht="23.15" customHeight="1" x14ac:dyDescent="0.45">
      <c r="A18" s="290" t="s">
        <v>22</v>
      </c>
      <c r="B18" s="291"/>
      <c r="C18" s="291"/>
      <c r="D18" s="292">
        <v>66550316</v>
      </c>
      <c r="E18" s="293"/>
      <c r="F18" s="293"/>
      <c r="G18" s="294"/>
      <c r="I18" s="298" t="s">
        <v>23</v>
      </c>
      <c r="J18" s="316"/>
      <c r="K18" s="318" t="s">
        <v>220</v>
      </c>
      <c r="L18" s="301"/>
      <c r="M18" s="301"/>
      <c r="N18" s="302"/>
    </row>
    <row r="19" spans="1:14" ht="23.15" customHeight="1" thickBot="1" x14ac:dyDescent="0.5">
      <c r="A19" s="306" t="s">
        <v>24</v>
      </c>
      <c r="B19" s="307"/>
      <c r="C19" s="307"/>
      <c r="D19" s="295"/>
      <c r="E19" s="296"/>
      <c r="F19" s="296"/>
      <c r="G19" s="297"/>
      <c r="I19" s="308" t="s">
        <v>25</v>
      </c>
      <c r="J19" s="317"/>
      <c r="K19" s="304"/>
      <c r="L19" s="304"/>
      <c r="M19" s="304"/>
      <c r="N19" s="305"/>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19" t="s">
        <v>26</v>
      </c>
      <c r="B21" s="319"/>
      <c r="C21" s="319"/>
      <c r="D21" s="319"/>
      <c r="E21" s="319"/>
      <c r="F21" s="319"/>
      <c r="G21" s="319"/>
      <c r="H21" s="319"/>
      <c r="I21" s="319"/>
      <c r="J21" s="319"/>
      <c r="K21" s="319"/>
      <c r="L21" s="319"/>
      <c r="M21" s="319"/>
      <c r="N21" s="319"/>
    </row>
    <row r="22" spans="1:14" ht="38.25" customHeight="1" x14ac:dyDescent="0.5">
      <c r="A22" s="320" t="s">
        <v>27</v>
      </c>
      <c r="B22" s="321"/>
      <c r="C22" s="321"/>
      <c r="D22" s="322" t="s">
        <v>105</v>
      </c>
      <c r="E22" s="324" t="s">
        <v>97</v>
      </c>
      <c r="F22" s="321"/>
      <c r="G22" s="322" t="s">
        <v>106</v>
      </c>
      <c r="H22" s="322"/>
      <c r="I22" s="322"/>
      <c r="J22" s="324" t="s">
        <v>28</v>
      </c>
      <c r="K22" s="321"/>
      <c r="L22" s="321"/>
      <c r="M22" s="325" t="s">
        <v>107</v>
      </c>
      <c r="N22" s="326"/>
    </row>
    <row r="23" spans="1:14" ht="38.25" customHeight="1" thickBot="1" x14ac:dyDescent="0.45">
      <c r="A23" s="329" t="s">
        <v>29</v>
      </c>
      <c r="B23" s="330"/>
      <c r="C23" s="330"/>
      <c r="D23" s="323"/>
      <c r="E23" s="331" t="s">
        <v>98</v>
      </c>
      <c r="F23" s="330"/>
      <c r="G23" s="323"/>
      <c r="H23" s="323"/>
      <c r="I23" s="323"/>
      <c r="J23" s="331" t="s">
        <v>30</v>
      </c>
      <c r="K23" s="330"/>
      <c r="L23" s="330"/>
      <c r="M23" s="327"/>
      <c r="N23" s="328"/>
    </row>
    <row r="24" spans="1:14" ht="45" customHeight="1" thickBot="1" x14ac:dyDescent="0.45">
      <c r="A24" s="17"/>
      <c r="B24" s="336"/>
      <c r="C24" s="336"/>
      <c r="D24" s="336"/>
      <c r="E24" s="336"/>
      <c r="F24" s="337"/>
      <c r="G24" s="337"/>
      <c r="H24" s="5"/>
      <c r="I24" s="5"/>
      <c r="J24" s="5"/>
      <c r="K24" s="5"/>
      <c r="L24" s="5"/>
      <c r="M24" s="5"/>
      <c r="N24" s="6"/>
    </row>
    <row r="25" spans="1:14" ht="60" customHeight="1" thickTop="1" x14ac:dyDescent="0.4">
      <c r="A25" s="278" t="s">
        <v>31</v>
      </c>
      <c r="B25" s="278"/>
      <c r="C25" s="278"/>
      <c r="D25" s="278"/>
      <c r="E25" s="278"/>
      <c r="F25" s="278"/>
      <c r="G25" s="278"/>
      <c r="H25" s="278"/>
      <c r="I25" s="278"/>
      <c r="J25" s="278"/>
      <c r="K25" s="278"/>
      <c r="L25" s="278"/>
      <c r="M25" s="278"/>
      <c r="N25" s="278"/>
    </row>
    <row r="26" spans="1:14" ht="29.25" customHeight="1" x14ac:dyDescent="0.5">
      <c r="A26" s="338" t="s">
        <v>32</v>
      </c>
      <c r="B26" s="339"/>
      <c r="C26" s="339"/>
      <c r="D26" s="340"/>
      <c r="E26" s="341" t="s">
        <v>33</v>
      </c>
      <c r="F26" s="339"/>
      <c r="G26" s="339"/>
      <c r="H26" s="339"/>
      <c r="I26" s="339"/>
      <c r="J26" s="338" t="s">
        <v>34</v>
      </c>
      <c r="K26" s="339"/>
      <c r="L26" s="342"/>
      <c r="M26" s="339" t="s">
        <v>35</v>
      </c>
      <c r="N26" s="342"/>
    </row>
    <row r="27" spans="1:14" ht="23.25" customHeight="1" x14ac:dyDescent="0.4">
      <c r="A27" s="332" t="s">
        <v>36</v>
      </c>
      <c r="B27" s="332"/>
      <c r="C27" s="332"/>
      <c r="D27" s="332"/>
      <c r="E27" s="332" t="s">
        <v>37</v>
      </c>
      <c r="F27" s="332"/>
      <c r="G27" s="332"/>
      <c r="H27" s="332"/>
      <c r="I27" s="332"/>
      <c r="J27" s="332" t="s">
        <v>38</v>
      </c>
      <c r="K27" s="332"/>
      <c r="L27" s="332"/>
      <c r="M27" s="332" t="s">
        <v>39</v>
      </c>
      <c r="N27" s="332"/>
    </row>
    <row r="28" spans="1:14" ht="71.25" customHeight="1" x14ac:dyDescent="0.4">
      <c r="A28" s="333" t="s">
        <v>108</v>
      </c>
      <c r="B28" s="333"/>
      <c r="C28" s="333"/>
      <c r="D28" s="333"/>
      <c r="E28" s="333" t="s">
        <v>214</v>
      </c>
      <c r="F28" s="333"/>
      <c r="G28" s="333"/>
      <c r="H28" s="333"/>
      <c r="I28" s="333"/>
      <c r="J28" s="333" t="s">
        <v>215</v>
      </c>
      <c r="K28" s="333"/>
      <c r="L28" s="333"/>
      <c r="M28" s="334">
        <v>45063</v>
      </c>
      <c r="N28" s="335"/>
    </row>
    <row r="29" spans="1:14" ht="71.25" customHeight="1" x14ac:dyDescent="0.4">
      <c r="A29" s="343"/>
      <c r="B29" s="343"/>
      <c r="C29" s="343"/>
      <c r="D29" s="343"/>
      <c r="E29" s="343"/>
      <c r="F29" s="343"/>
      <c r="G29" s="343"/>
      <c r="H29" s="343"/>
      <c r="I29" s="343"/>
      <c r="J29" s="343"/>
      <c r="K29" s="343"/>
      <c r="L29" s="343"/>
      <c r="M29" s="344"/>
      <c r="N29" s="345"/>
    </row>
    <row r="30" spans="1:14" ht="71.25" customHeight="1" x14ac:dyDescent="0.4">
      <c r="A30" s="343"/>
      <c r="B30" s="343"/>
      <c r="C30" s="343"/>
      <c r="D30" s="343"/>
      <c r="E30" s="343"/>
      <c r="F30" s="343"/>
      <c r="G30" s="343"/>
      <c r="H30" s="343"/>
      <c r="I30" s="343"/>
      <c r="J30" s="362"/>
      <c r="K30" s="362"/>
      <c r="L30" s="362"/>
      <c r="M30" s="344"/>
      <c r="N30" s="345"/>
    </row>
    <row r="31" spans="1:14" ht="71.25" customHeight="1" x14ac:dyDescent="0.4">
      <c r="A31" s="343"/>
      <c r="B31" s="343"/>
      <c r="C31" s="343"/>
      <c r="D31" s="343"/>
      <c r="E31" s="343"/>
      <c r="F31" s="343"/>
      <c r="G31" s="343"/>
      <c r="H31" s="343"/>
      <c r="I31" s="343"/>
      <c r="J31" s="343"/>
      <c r="K31" s="343"/>
      <c r="L31" s="343"/>
      <c r="M31" s="345"/>
      <c r="N31" s="345"/>
    </row>
    <row r="32" spans="1:14" ht="45" customHeight="1" x14ac:dyDescent="0.4">
      <c r="A32" s="18"/>
      <c r="B32" s="18"/>
      <c r="C32" s="18"/>
      <c r="D32" s="18"/>
      <c r="E32" s="18"/>
      <c r="F32" s="18"/>
      <c r="G32" s="18"/>
      <c r="H32" s="18"/>
      <c r="I32" s="18"/>
      <c r="J32" s="18"/>
      <c r="K32" s="18"/>
      <c r="L32" s="18"/>
      <c r="M32" s="137"/>
      <c r="N32" s="137"/>
    </row>
    <row r="33" spans="1:14" ht="45" customHeight="1" x14ac:dyDescent="0.4">
      <c r="A33" s="18"/>
      <c r="B33" s="18"/>
      <c r="C33" s="18"/>
      <c r="D33" s="18"/>
      <c r="E33" s="18"/>
      <c r="F33" s="18"/>
      <c r="G33" s="18"/>
      <c r="H33" s="18"/>
      <c r="I33" s="18"/>
      <c r="J33" s="18"/>
      <c r="K33" s="18"/>
      <c r="L33" s="18"/>
      <c r="M33" s="137"/>
      <c r="N33" s="137"/>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46" t="s">
        <v>40</v>
      </c>
      <c r="B44" s="347"/>
      <c r="C44" s="347"/>
      <c r="D44" s="350">
        <v>0</v>
      </c>
      <c r="E44" s="351"/>
      <c r="F44" s="352"/>
      <c r="G44" s="356" t="s">
        <v>41</v>
      </c>
      <c r="H44" s="357"/>
      <c r="I44" s="357"/>
      <c r="J44" s="358"/>
      <c r="K44" s="357" t="s">
        <v>42</v>
      </c>
      <c r="L44" s="357"/>
      <c r="M44" s="357"/>
      <c r="N44" s="358"/>
    </row>
    <row r="45" spans="1:14" s="20" customFormat="1" ht="30" customHeight="1" thickBot="1" x14ac:dyDescent="0.4">
      <c r="A45" s="348"/>
      <c r="B45" s="349"/>
      <c r="C45" s="349"/>
      <c r="D45" s="353"/>
      <c r="E45" s="354"/>
      <c r="F45" s="355"/>
      <c r="G45" s="359" t="s">
        <v>43</v>
      </c>
      <c r="H45" s="360"/>
      <c r="I45" s="360"/>
      <c r="J45" s="361"/>
      <c r="K45" s="360" t="s">
        <v>44</v>
      </c>
      <c r="L45" s="360"/>
      <c r="M45" s="360"/>
      <c r="N45" s="361"/>
    </row>
    <row r="46" spans="1:14" s="20" customFormat="1" ht="30" customHeight="1" x14ac:dyDescent="0.35">
      <c r="A46" s="346" t="s">
        <v>45</v>
      </c>
      <c r="B46" s="347"/>
      <c r="C46" s="347"/>
      <c r="D46" s="350">
        <v>45056</v>
      </c>
      <c r="E46" s="351"/>
      <c r="F46" s="352"/>
      <c r="G46" s="374" t="s">
        <v>110</v>
      </c>
      <c r="H46" s="375"/>
      <c r="I46" s="375"/>
      <c r="J46" s="376"/>
      <c r="K46" s="377" t="s">
        <v>109</v>
      </c>
      <c r="L46" s="378"/>
      <c r="M46" s="378"/>
      <c r="N46" s="379"/>
    </row>
    <row r="47" spans="1:14" s="20" customFormat="1" ht="30" customHeight="1" thickBot="1" x14ac:dyDescent="0.4">
      <c r="A47" s="348"/>
      <c r="B47" s="349"/>
      <c r="C47" s="349"/>
      <c r="D47" s="371"/>
      <c r="E47" s="372"/>
      <c r="F47" s="373"/>
      <c r="G47" s="374"/>
      <c r="H47" s="375"/>
      <c r="I47" s="375"/>
      <c r="J47" s="376"/>
      <c r="K47" s="377"/>
      <c r="L47" s="378"/>
      <c r="M47" s="378"/>
      <c r="N47" s="379"/>
    </row>
    <row r="48" spans="1:14" s="20" customFormat="1" ht="30" customHeight="1" x14ac:dyDescent="0.35">
      <c r="A48" s="346" t="s">
        <v>46</v>
      </c>
      <c r="B48" s="347"/>
      <c r="C48" s="347"/>
      <c r="D48" s="350">
        <v>45056</v>
      </c>
      <c r="E48" s="351"/>
      <c r="F48" s="352"/>
      <c r="G48" s="374"/>
      <c r="H48" s="375"/>
      <c r="I48" s="375"/>
      <c r="J48" s="376"/>
      <c r="K48" s="377"/>
      <c r="L48" s="378"/>
      <c r="M48" s="378"/>
      <c r="N48" s="379"/>
    </row>
    <row r="49" spans="1:14" s="20" customFormat="1" ht="30" customHeight="1" thickBot="1" x14ac:dyDescent="0.4">
      <c r="A49" s="348"/>
      <c r="B49" s="349"/>
      <c r="C49" s="349"/>
      <c r="D49" s="353"/>
      <c r="E49" s="354"/>
      <c r="F49" s="355"/>
      <c r="G49" s="313"/>
      <c r="H49" s="314"/>
      <c r="I49" s="314"/>
      <c r="J49" s="315"/>
      <c r="K49" s="314"/>
      <c r="L49" s="314"/>
      <c r="M49" s="314"/>
      <c r="N49" s="315"/>
    </row>
    <row r="50" spans="1:14" ht="16.5" customHeight="1" x14ac:dyDescent="0.4">
      <c r="A50" s="363" t="s">
        <v>47</v>
      </c>
      <c r="B50" s="363"/>
      <c r="C50" s="363"/>
      <c r="D50" s="364"/>
      <c r="E50"/>
      <c r="F50"/>
      <c r="G50"/>
      <c r="H50"/>
      <c r="I50"/>
      <c r="J50"/>
      <c r="K50"/>
      <c r="L50"/>
      <c r="M50"/>
    </row>
    <row r="51" spans="1:14" ht="47.25" customHeight="1" x14ac:dyDescent="0.4">
      <c r="C51" s="2"/>
      <c r="E51" s="365" t="s">
        <v>48</v>
      </c>
      <c r="F51" s="365"/>
      <c r="G51" s="365"/>
      <c r="H51" s="365"/>
      <c r="I51" s="365"/>
      <c r="J51" s="365"/>
      <c r="K51" s="365"/>
      <c r="L51"/>
      <c r="M51"/>
    </row>
    <row r="52" spans="1:14" ht="90" customHeight="1" thickBot="1" x14ac:dyDescent="0.45">
      <c r="A52" s="3"/>
      <c r="B52" s="3"/>
      <c r="C52" s="3"/>
      <c r="D52" s="23"/>
      <c r="E52" s="366"/>
      <c r="F52" s="366"/>
      <c r="G52" s="366"/>
      <c r="H52" s="366"/>
      <c r="I52" s="366"/>
      <c r="J52" s="366"/>
      <c r="K52" s="366"/>
      <c r="L52" s="24"/>
      <c r="M52" s="5"/>
      <c r="N52" s="6"/>
    </row>
    <row r="53" spans="1:14" ht="60.75" customHeight="1" thickTop="1" thickBot="1" x14ac:dyDescent="0.45">
      <c r="A53" s="281" t="s">
        <v>1</v>
      </c>
      <c r="B53" s="281"/>
      <c r="C53" s="281"/>
      <c r="D53" s="281"/>
      <c r="E53" s="281"/>
      <c r="F53" s="281"/>
      <c r="G53" s="281"/>
      <c r="H53" s="281"/>
      <c r="I53" s="281"/>
      <c r="J53" s="281"/>
      <c r="K53" s="282" t="s">
        <v>2</v>
      </c>
      <c r="L53" s="282"/>
      <c r="M53" s="282"/>
      <c r="N53" s="282"/>
    </row>
    <row r="54" spans="1:14" ht="38.25" customHeight="1" thickBot="1" x14ac:dyDescent="0.45">
      <c r="A54" s="281"/>
      <c r="B54" s="281"/>
      <c r="C54" s="281"/>
      <c r="D54" s="281"/>
      <c r="E54" s="281"/>
      <c r="F54" s="281"/>
      <c r="G54" s="281"/>
      <c r="H54" s="281"/>
      <c r="I54" s="281"/>
      <c r="J54" s="281"/>
      <c r="K54" s="367" t="s">
        <v>49</v>
      </c>
      <c r="L54" s="368"/>
      <c r="M54" s="369" t="s">
        <v>216</v>
      </c>
      <c r="N54" s="370"/>
    </row>
    <row r="55" spans="1:14" ht="37.5" customHeight="1" thickBot="1" x14ac:dyDescent="0.45">
      <c r="A55" s="287" t="s">
        <v>4</v>
      </c>
      <c r="B55" s="287"/>
      <c r="C55" s="287"/>
      <c r="D55" s="287"/>
      <c r="E55" s="287"/>
      <c r="F55" s="287"/>
      <c r="G55" s="287"/>
      <c r="H55" s="287"/>
      <c r="I55" s="287"/>
      <c r="J55" s="287"/>
      <c r="K55" s="25"/>
      <c r="L55" s="25"/>
      <c r="M55" s="386" t="s">
        <v>50</v>
      </c>
      <c r="N55" s="387"/>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8" t="s">
        <v>51</v>
      </c>
      <c r="B58" s="388"/>
      <c r="C58" s="388"/>
      <c r="D58" s="388"/>
      <c r="E58" s="388"/>
      <c r="F58" s="388"/>
      <c r="G58" s="388"/>
      <c r="H58" s="388"/>
      <c r="I58" s="388"/>
      <c r="J58" s="388"/>
      <c r="K58" s="388"/>
      <c r="L58" s="388"/>
      <c r="M58" s="388"/>
      <c r="N58" s="388"/>
    </row>
    <row r="59" spans="1:14" ht="24" customHeight="1" x14ac:dyDescent="0.4">
      <c r="A59" s="389" t="s">
        <v>52</v>
      </c>
      <c r="B59" s="389"/>
      <c r="C59" s="389"/>
      <c r="D59" s="389"/>
      <c r="E59" s="389"/>
      <c r="F59" s="389"/>
      <c r="G59" s="389"/>
      <c r="H59" s="389"/>
      <c r="I59" s="389"/>
      <c r="J59" s="389"/>
      <c r="K59" s="389"/>
      <c r="L59" s="389"/>
      <c r="M59" s="389"/>
      <c r="N59" s="389"/>
    </row>
    <row r="60" spans="1:14" ht="23.25" customHeight="1" x14ac:dyDescent="0.4">
      <c r="A60" s="390" t="s">
        <v>53</v>
      </c>
      <c r="B60" s="390"/>
      <c r="C60" s="390"/>
      <c r="D60" s="390"/>
      <c r="E60" s="390"/>
      <c r="F60" s="390"/>
      <c r="G60" s="390"/>
      <c r="H60" s="390"/>
      <c r="I60" s="390"/>
      <c r="J60" s="390"/>
      <c r="K60" s="390"/>
      <c r="L60" s="390"/>
      <c r="M60" s="390"/>
      <c r="N60" s="390"/>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91"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92"/>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80"/>
      <c r="B64" s="381"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80"/>
      <c r="B65" s="382"/>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80"/>
      <c r="B66" s="47"/>
      <c r="C66" s="41"/>
      <c r="D66" s="41"/>
      <c r="E66" s="41"/>
      <c r="F66" s="41"/>
      <c r="G66" s="41"/>
      <c r="H66" s="41"/>
      <c r="I66" s="41"/>
      <c r="J66" s="41"/>
      <c r="K66" s="41"/>
      <c r="L66" s="41"/>
      <c r="M66" s="41"/>
    </row>
    <row r="67" spans="1:14" s="13" customFormat="1" ht="24" hidden="1" customHeight="1" x14ac:dyDescent="0.4">
      <c r="A67" s="380"/>
      <c r="B67" s="383"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80"/>
      <c r="B68" s="384"/>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80"/>
      <c r="B69" s="381"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80"/>
      <c r="B70" s="382"/>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80"/>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5"/>
      <c r="B73" s="385"/>
      <c r="C73" s="385"/>
      <c r="D73" s="52" t="s">
        <v>56</v>
      </c>
      <c r="E73" s="52" t="s">
        <v>57</v>
      </c>
      <c r="F73" s="51"/>
      <c r="G73" s="51"/>
      <c r="H73" s="51"/>
      <c r="I73" s="51"/>
      <c r="J73" s="31"/>
      <c r="K73" s="31"/>
      <c r="L73" s="31"/>
      <c r="M73" s="31"/>
    </row>
    <row r="74" spans="1:14" ht="24" hidden="1" customHeight="1" x14ac:dyDescent="0.4">
      <c r="A74" s="401" t="s">
        <v>58</v>
      </c>
      <c r="B74" s="401"/>
      <c r="C74" s="401"/>
      <c r="D74" s="53" t="e">
        <f>MAX(#REF!)</f>
        <v>#REF!</v>
      </c>
      <c r="E74" s="54" t="e">
        <f>D74/25400</f>
        <v>#REF!</v>
      </c>
      <c r="G74" s="402" t="s">
        <v>59</v>
      </c>
      <c r="H74" s="403"/>
      <c r="I74" s="55" t="e">
        <f>#REF!*9.81/1000</f>
        <v>#REF!</v>
      </c>
    </row>
    <row r="75" spans="1:14" ht="6" hidden="1" customHeight="1" x14ac:dyDescent="0.4">
      <c r="A75" s="401" t="s">
        <v>60</v>
      </c>
      <c r="B75" s="401"/>
      <c r="C75" s="401"/>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04"/>
      <c r="B77" s="404"/>
      <c r="C77" s="404"/>
      <c r="D77" s="404"/>
      <c r="E77" s="404"/>
      <c r="F77" s="404"/>
      <c r="G77" s="404"/>
      <c r="H77" s="404"/>
      <c r="I77" s="404"/>
      <c r="J77" s="404"/>
      <c r="K77" s="404"/>
      <c r="L77" s="404"/>
      <c r="M77" s="56"/>
      <c r="N77" s="5"/>
    </row>
    <row r="78" spans="1:14" ht="60" customHeight="1" thickTop="1" thickBot="1" x14ac:dyDescent="0.45">
      <c r="A78" s="265" t="s">
        <v>61</v>
      </c>
      <c r="B78" s="265"/>
      <c r="C78" s="265"/>
      <c r="D78" s="265"/>
      <c r="E78" s="265"/>
      <c r="F78" s="265"/>
      <c r="G78" s="265"/>
      <c r="H78" s="265"/>
      <c r="I78" s="265"/>
      <c r="J78" s="265"/>
      <c r="K78" s="265"/>
      <c r="L78" s="265"/>
      <c r="M78" s="265"/>
      <c r="N78" s="265"/>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45" customHeight="1" x14ac:dyDescent="0.4">
      <c r="A81" s="411" t="s">
        <v>221</v>
      </c>
      <c r="B81" s="412"/>
      <c r="C81" s="133">
        <v>0</v>
      </c>
      <c r="D81" s="133">
        <v>2.5</v>
      </c>
      <c r="E81" s="133">
        <v>5.0999999999999996</v>
      </c>
      <c r="F81" s="133">
        <v>7.7</v>
      </c>
      <c r="G81" s="133">
        <v>10.3</v>
      </c>
      <c r="H81" s="133">
        <v>12.9</v>
      </c>
      <c r="I81" s="133">
        <v>15</v>
      </c>
      <c r="J81" s="133">
        <v>17.600000000000001</v>
      </c>
      <c r="K81" s="133">
        <v>20.2</v>
      </c>
      <c r="L81" s="134">
        <v>22.8</v>
      </c>
      <c r="M81" s="135">
        <v>25</v>
      </c>
      <c r="N81"/>
    </row>
    <row r="82" spans="1:14" ht="45" customHeight="1" thickBot="1" x14ac:dyDescent="0.45">
      <c r="A82" s="413" t="s">
        <v>222</v>
      </c>
      <c r="B82" s="414"/>
      <c r="C82" s="138" t="s">
        <v>104</v>
      </c>
      <c r="D82" s="138" t="s">
        <v>104</v>
      </c>
      <c r="E82" s="138" t="s">
        <v>104</v>
      </c>
      <c r="F82" s="138" t="s">
        <v>104</v>
      </c>
      <c r="G82" s="138" t="s">
        <v>104</v>
      </c>
      <c r="H82" s="138" t="s">
        <v>104</v>
      </c>
      <c r="I82" s="138" t="s">
        <v>104</v>
      </c>
      <c r="J82" s="138" t="s">
        <v>104</v>
      </c>
      <c r="K82" s="138" t="s">
        <v>104</v>
      </c>
      <c r="L82" s="139" t="s">
        <v>104</v>
      </c>
      <c r="M82" s="140" t="s">
        <v>104</v>
      </c>
      <c r="N82"/>
    </row>
    <row r="83" spans="1:14" ht="15" customHeight="1" x14ac:dyDescent="0.5">
      <c r="A83" s="59"/>
      <c r="B83" s="59"/>
      <c r="C83" s="60"/>
      <c r="D83" s="61"/>
      <c r="E83" s="61"/>
      <c r="F83" s="61"/>
      <c r="G83" s="61"/>
      <c r="H83" s="61"/>
      <c r="I83" s="62"/>
      <c r="J83" s="22"/>
      <c r="K83" s="22"/>
      <c r="L83" s="114"/>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20.25" customHeight="1" x14ac:dyDescent="0.5">
      <c r="A86" s="59"/>
      <c r="B86" s="59"/>
      <c r="C86" s="60"/>
      <c r="D86" s="61"/>
      <c r="E86" s="61"/>
      <c r="F86" s="61"/>
      <c r="G86" s="61"/>
      <c r="H86" s="61"/>
      <c r="I86" s="62"/>
      <c r="J86" s="22"/>
      <c r="K86" s="22"/>
      <c r="L86" s="22"/>
      <c r="M86" s="22"/>
    </row>
    <row r="87" spans="1:14" ht="18.899999999999999"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05" t="s">
        <v>63</v>
      </c>
      <c r="B89" s="406"/>
      <c r="C89" s="406"/>
      <c r="D89" s="407"/>
      <c r="E89" s="66">
        <v>0</v>
      </c>
      <c r="F89" s="67"/>
      <c r="G89" s="67"/>
      <c r="H89" s="408" t="s">
        <v>64</v>
      </c>
      <c r="I89" s="409"/>
      <c r="J89" s="410"/>
      <c r="K89" s="68"/>
      <c r="L89" s="22"/>
    </row>
    <row r="90" spans="1:14" ht="27" customHeight="1" thickBot="1" x14ac:dyDescent="0.55000000000000004">
      <c r="A90" s="393" t="s">
        <v>65</v>
      </c>
      <c r="B90" s="394"/>
      <c r="C90" s="394"/>
      <c r="D90" s="395"/>
      <c r="E90" s="69">
        <v>0</v>
      </c>
      <c r="F90" s="67"/>
      <c r="G90" s="67"/>
      <c r="L90" s="22"/>
    </row>
    <row r="91" spans="1:14" ht="9" customHeight="1" x14ac:dyDescent="0.5">
      <c r="A91" s="396"/>
      <c r="B91" s="396"/>
      <c r="C91" s="396"/>
      <c r="F91" s="67"/>
      <c r="G91" s="67"/>
      <c r="H91" s="67"/>
      <c r="I91" s="67"/>
      <c r="J91" s="70"/>
      <c r="K91" s="70"/>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397" t="s">
        <v>66</v>
      </c>
      <c r="B99" s="398"/>
      <c r="C99" s="399" t="s">
        <v>224</v>
      </c>
      <c r="D99" s="399"/>
      <c r="E99" s="399"/>
      <c r="F99" s="400"/>
      <c r="G99" s="400"/>
      <c r="H99" s="400"/>
      <c r="I99" s="400"/>
      <c r="J99" s="22"/>
      <c r="K99" s="22"/>
      <c r="L99" s="22"/>
      <c r="M99" s="22"/>
    </row>
    <row r="100" spans="1:16" ht="17.25" customHeight="1" thickBot="1" x14ac:dyDescent="0.55000000000000004">
      <c r="A100" s="71"/>
      <c r="B100" s="72"/>
      <c r="C100" s="72"/>
      <c r="D100" s="72"/>
      <c r="E100" s="72"/>
      <c r="F100" s="72"/>
      <c r="G100" s="72"/>
      <c r="H100" s="72"/>
      <c r="I100" s="72"/>
      <c r="J100" s="72"/>
      <c r="K100" s="72"/>
      <c r="L100" s="72"/>
      <c r="M100" s="72"/>
      <c r="N100" s="6"/>
    </row>
    <row r="101" spans="1:16" ht="60" customHeight="1" thickTop="1" thickBot="1" x14ac:dyDescent="0.45">
      <c r="A101" s="265" t="s">
        <v>67</v>
      </c>
      <c r="B101" s="265"/>
      <c r="C101" s="265"/>
      <c r="D101" s="265"/>
      <c r="E101" s="265"/>
      <c r="F101" s="265"/>
      <c r="G101" s="265"/>
      <c r="H101" s="265"/>
      <c r="I101" s="265"/>
      <c r="J101" s="265"/>
      <c r="K101" s="265"/>
      <c r="L101" s="265"/>
      <c r="M101" s="265"/>
      <c r="N101" s="265"/>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420" t="s">
        <v>68</v>
      </c>
      <c r="D103" s="420"/>
      <c r="E103" s="420"/>
      <c r="F103" s="74" t="s">
        <v>225</v>
      </c>
      <c r="G103" s="75"/>
      <c r="I103" s="421" t="s">
        <v>69</v>
      </c>
      <c r="J103" s="421"/>
      <c r="K103" s="74" t="s">
        <v>226</v>
      </c>
      <c r="L103" s="75"/>
      <c r="M103" s="76"/>
    </row>
    <row r="104" spans="1:16" ht="19.5" customHeight="1" thickBot="1" x14ac:dyDescent="0.6">
      <c r="A104" s="77"/>
      <c r="B104" s="77"/>
      <c r="C104" s="77"/>
      <c r="D104" s="74"/>
      <c r="E104" s="75"/>
      <c r="G104" s="73"/>
      <c r="H104" s="73"/>
      <c r="I104" s="74"/>
      <c r="J104" s="75"/>
      <c r="K104" s="78"/>
      <c r="L104" s="76"/>
      <c r="M104" s="76"/>
    </row>
    <row r="105" spans="1:16" ht="60" customHeight="1" thickTop="1" thickBot="1" x14ac:dyDescent="0.45">
      <c r="A105" s="422" t="s">
        <v>70</v>
      </c>
      <c r="B105" s="422"/>
      <c r="C105" s="422"/>
      <c r="D105" s="422"/>
      <c r="E105" s="422"/>
      <c r="F105" s="422"/>
      <c r="G105" s="422"/>
      <c r="H105" s="422"/>
      <c r="I105" s="422"/>
      <c r="J105" s="422"/>
      <c r="K105" s="422"/>
      <c r="L105" s="422"/>
      <c r="M105" s="422"/>
      <c r="N105" s="422"/>
    </row>
    <row r="106" spans="1:16" ht="92.25" customHeight="1" x14ac:dyDescent="0.4">
      <c r="A106" s="423" t="s">
        <v>71</v>
      </c>
      <c r="B106" s="423"/>
      <c r="C106" s="423"/>
      <c r="D106" s="423"/>
      <c r="E106" s="423"/>
      <c r="F106" s="423"/>
      <c r="G106" s="423"/>
      <c r="H106" s="423"/>
      <c r="I106" s="423"/>
      <c r="J106" s="423"/>
      <c r="K106" s="423"/>
      <c r="L106" s="423"/>
      <c r="M106" s="423"/>
      <c r="N106" s="423"/>
      <c r="O106" s="79"/>
      <c r="P106" s="79"/>
    </row>
    <row r="107" spans="1:16" ht="79.5" customHeight="1" x14ac:dyDescent="0.4">
      <c r="A107" s="423" t="s">
        <v>72</v>
      </c>
      <c r="B107" s="423"/>
      <c r="C107" s="423"/>
      <c r="D107" s="423"/>
      <c r="E107" s="423"/>
      <c r="F107" s="423"/>
      <c r="G107" s="423"/>
      <c r="H107" s="423"/>
      <c r="I107" s="423"/>
      <c r="J107" s="423"/>
      <c r="K107" s="423"/>
      <c r="L107" s="423"/>
      <c r="M107" s="423"/>
      <c r="N107" s="423"/>
      <c r="O107" s="79"/>
      <c r="P107" s="79"/>
    </row>
    <row r="108" spans="1:16" ht="39" customHeight="1" x14ac:dyDescent="0.55000000000000004">
      <c r="A108" s="415" t="s">
        <v>73</v>
      </c>
      <c r="B108" s="415"/>
      <c r="C108" s="415"/>
      <c r="D108" s="415"/>
      <c r="F108" s="424"/>
      <c r="G108" s="424"/>
      <c r="H108" s="80"/>
      <c r="I108" s="76"/>
      <c r="J108" s="76"/>
      <c r="K108" s="76"/>
      <c r="L108" s="76"/>
      <c r="M108" s="76"/>
    </row>
    <row r="109" spans="1:16" ht="35.25" customHeight="1" x14ac:dyDescent="0.55000000000000004">
      <c r="A109" s="415" t="s">
        <v>74</v>
      </c>
      <c r="B109" s="415"/>
      <c r="C109" s="415"/>
      <c r="D109" s="415"/>
      <c r="F109" s="416" t="s">
        <v>111</v>
      </c>
      <c r="G109" s="416"/>
      <c r="H109" s="416"/>
      <c r="I109" s="76"/>
      <c r="J109" s="76"/>
      <c r="K109" s="76"/>
      <c r="L109" s="76"/>
      <c r="M109" s="76"/>
    </row>
    <row r="110" spans="1:16" ht="40.5" customHeight="1" x14ac:dyDescent="0.55000000000000004">
      <c r="A110" s="415" t="s">
        <v>75</v>
      </c>
      <c r="B110" s="415"/>
      <c r="C110" s="415"/>
      <c r="D110" s="415"/>
      <c r="E110" s="415"/>
      <c r="F110" s="81" t="s">
        <v>76</v>
      </c>
      <c r="G110" s="82"/>
      <c r="H110" s="75"/>
      <c r="I110" s="76"/>
      <c r="J110" s="76"/>
      <c r="K110" s="76"/>
      <c r="L110" s="76"/>
      <c r="M110" s="76"/>
    </row>
    <row r="111" spans="1:16" s="83" customFormat="1" ht="50.15" customHeight="1" x14ac:dyDescent="0.4"/>
    <row r="112" spans="1:16" s="83" customFormat="1" ht="43.2" customHeight="1" x14ac:dyDescent="0.4">
      <c r="D112" s="417" t="s">
        <v>77</v>
      </c>
      <c r="E112" s="417"/>
      <c r="F112" s="417"/>
      <c r="G112" s="417"/>
      <c r="H112" s="417"/>
      <c r="I112" s="417"/>
      <c r="J112" s="417"/>
      <c r="K112" s="417"/>
      <c r="L112" s="417"/>
    </row>
    <row r="113" spans="1:13" s="83" customFormat="1" ht="50.15" customHeight="1" x14ac:dyDescent="0.4"/>
    <row r="114" spans="1:13" s="83" customFormat="1" ht="50.15" customHeight="1" x14ac:dyDescent="0.4"/>
    <row r="115" spans="1:13" s="83" customFormat="1" ht="50.15" customHeight="1" x14ac:dyDescent="0.4"/>
    <row r="116" spans="1:13" ht="36" customHeight="1" x14ac:dyDescent="0.55000000000000004">
      <c r="A116" s="84"/>
      <c r="B116" s="84"/>
      <c r="C116" s="84"/>
      <c r="M116" s="76"/>
    </row>
    <row r="117" spans="1:13" ht="8.25" customHeight="1" x14ac:dyDescent="0.55000000000000004">
      <c r="A117" s="84"/>
      <c r="B117" s="84"/>
      <c r="L117" s="76"/>
      <c r="M117" s="76"/>
    </row>
    <row r="118" spans="1:13" ht="7.5" customHeight="1" x14ac:dyDescent="0.55000000000000004">
      <c r="A118" s="84"/>
      <c r="B118" s="84"/>
      <c r="J118" s="85"/>
      <c r="K118" s="76"/>
      <c r="L118" s="76"/>
      <c r="M118" s="76"/>
    </row>
    <row r="119" spans="1:13" ht="11.25" customHeight="1" x14ac:dyDescent="0.55000000000000004">
      <c r="A119" s="84"/>
      <c r="B119" s="84"/>
      <c r="C119" s="84"/>
      <c r="D119" s="76"/>
      <c r="E119" s="82"/>
      <c r="F119" s="86"/>
      <c r="G119" s="82"/>
      <c r="H119" s="75"/>
      <c r="I119" s="76"/>
      <c r="J119" s="76"/>
      <c r="K119" s="76"/>
      <c r="L119" s="76"/>
      <c r="M119" s="76"/>
    </row>
    <row r="120" spans="1:13" ht="56.25" customHeight="1" x14ac:dyDescent="0.55000000000000004">
      <c r="A120" s="84"/>
      <c r="B120" s="84"/>
      <c r="C120" s="84"/>
      <c r="D120" s="76"/>
      <c r="E120" s="82"/>
      <c r="F120" s="86"/>
      <c r="G120" s="82"/>
      <c r="H120" s="75"/>
      <c r="I120" s="76"/>
      <c r="J120" s="76"/>
      <c r="K120" s="76"/>
      <c r="L120" s="76"/>
      <c r="M120" s="76"/>
    </row>
    <row r="121" spans="1:13" ht="42" customHeight="1" x14ac:dyDescent="0.55000000000000004">
      <c r="A121" s="84"/>
      <c r="B121" s="84"/>
      <c r="C121" s="87"/>
      <c r="D121" s="76"/>
      <c r="E121" s="82"/>
      <c r="F121" s="86"/>
      <c r="G121" s="82"/>
      <c r="H121" s="75"/>
      <c r="I121" s="76"/>
      <c r="J121" s="76"/>
      <c r="K121" s="76"/>
      <c r="L121" s="76"/>
      <c r="M121" s="76"/>
    </row>
    <row r="122" spans="1:13" ht="15" customHeight="1" x14ac:dyDescent="0.55000000000000004">
      <c r="A122" s="84"/>
      <c r="B122" s="84"/>
      <c r="C122" s="84"/>
      <c r="D122" s="76"/>
      <c r="E122" s="82"/>
      <c r="F122" s="86"/>
      <c r="G122" s="82"/>
      <c r="H122" s="75"/>
      <c r="I122" s="76"/>
      <c r="J122" s="76"/>
      <c r="K122" s="76"/>
      <c r="L122" s="76"/>
      <c r="M122" s="76"/>
    </row>
    <row r="123" spans="1:13" ht="17.25" customHeight="1" x14ac:dyDescent="0.55000000000000004">
      <c r="A123" s="84"/>
      <c r="B123" s="84"/>
      <c r="C123" s="84"/>
      <c r="D123" s="76"/>
      <c r="E123" s="82"/>
      <c r="F123" s="86"/>
      <c r="G123" s="82"/>
      <c r="H123" s="75"/>
      <c r="I123" s="76"/>
      <c r="J123" s="76"/>
      <c r="K123" s="76"/>
      <c r="L123" s="76"/>
      <c r="M123" s="76"/>
    </row>
    <row r="124" spans="1:13" ht="9" customHeight="1" x14ac:dyDescent="0.55000000000000004">
      <c r="A124" s="84"/>
      <c r="B124" s="84"/>
      <c r="C124" s="84"/>
      <c r="D124" s="76"/>
      <c r="E124" s="82"/>
      <c r="F124" s="86"/>
      <c r="G124" s="82"/>
      <c r="H124" s="75"/>
      <c r="I124" s="76"/>
      <c r="J124" s="76"/>
      <c r="K124" s="76"/>
      <c r="L124" s="76"/>
      <c r="M124" s="76"/>
    </row>
    <row r="125" spans="1:13" ht="15.65" customHeight="1" x14ac:dyDescent="0.55000000000000004">
      <c r="A125" s="84"/>
      <c r="B125" s="84"/>
      <c r="C125" s="84"/>
      <c r="D125" s="76"/>
      <c r="E125" s="82"/>
      <c r="F125" s="86"/>
      <c r="G125" s="82"/>
      <c r="H125" s="75"/>
      <c r="I125" s="76"/>
      <c r="J125" s="76"/>
      <c r="K125" s="76"/>
      <c r="L125" s="76"/>
      <c r="M125" s="76"/>
    </row>
    <row r="126" spans="1:13" ht="5.25" customHeight="1" x14ac:dyDescent="0.55000000000000004">
      <c r="A126" s="84"/>
      <c r="B126" s="84"/>
      <c r="C126" s="84"/>
      <c r="D126" s="76"/>
      <c r="E126" s="82"/>
      <c r="F126" s="86"/>
      <c r="G126" s="82"/>
      <c r="H126" s="75"/>
      <c r="I126" s="76"/>
      <c r="J126" s="76"/>
      <c r="K126" s="76"/>
      <c r="L126" s="76"/>
      <c r="M126" s="76"/>
    </row>
    <row r="127" spans="1:13" ht="17.25" customHeight="1" x14ac:dyDescent="0.55000000000000004">
      <c r="A127" s="84"/>
      <c r="B127" s="84"/>
      <c r="C127" s="84"/>
      <c r="D127" s="76"/>
      <c r="E127" s="82"/>
      <c r="F127" s="86"/>
      <c r="G127" s="82"/>
      <c r="H127" s="75"/>
      <c r="I127" s="76"/>
      <c r="J127" s="76"/>
      <c r="K127" s="76"/>
      <c r="L127" s="76"/>
      <c r="M127" s="76"/>
    </row>
    <row r="128" spans="1:13" ht="9" customHeight="1" x14ac:dyDescent="0.55000000000000004">
      <c r="A128" s="84"/>
      <c r="B128" s="84"/>
      <c r="C128" s="84"/>
      <c r="D128" s="76"/>
      <c r="E128" s="82"/>
      <c r="F128" s="86"/>
      <c r="G128" s="82"/>
      <c r="H128" s="75"/>
      <c r="I128" s="76"/>
      <c r="J128" s="76"/>
      <c r="K128" s="76"/>
      <c r="L128" s="76"/>
      <c r="M128" s="76"/>
    </row>
    <row r="129" spans="1:13" ht="55.5" customHeight="1" x14ac:dyDescent="0.5">
      <c r="A129" s="2"/>
      <c r="B129" s="2"/>
      <c r="C129" s="2"/>
      <c r="D129" s="88"/>
      <c r="E129" s="21"/>
      <c r="F129" s="89"/>
      <c r="G129" s="88"/>
      <c r="H129" s="88"/>
      <c r="I129" s="88"/>
      <c r="J129" s="88"/>
      <c r="K129" s="88"/>
      <c r="L129" s="88"/>
      <c r="M129" s="88"/>
    </row>
    <row r="130" spans="1:13" ht="59.25" customHeight="1" x14ac:dyDescent="0.5">
      <c r="A130" s="418" t="s">
        <v>47</v>
      </c>
      <c r="B130" s="418"/>
      <c r="C130" s="418"/>
      <c r="D130" s="418"/>
      <c r="E130" s="418"/>
      <c r="F130" s="89"/>
      <c r="G130" s="88"/>
      <c r="H130" s="88"/>
      <c r="I130" s="88"/>
      <c r="J130" s="88"/>
      <c r="K130" s="88"/>
      <c r="L130" s="88"/>
      <c r="M130" s="88"/>
    </row>
    <row r="131" spans="1:13" s="22" customFormat="1" ht="113.25" customHeight="1" x14ac:dyDescent="0.5">
      <c r="B131" s="2"/>
      <c r="C131" s="2"/>
      <c r="D131"/>
      <c r="E131"/>
      <c r="F131"/>
      <c r="G131"/>
      <c r="H131" s="2"/>
      <c r="I131" s="88"/>
      <c r="J131" s="88"/>
      <c r="K131" s="88"/>
      <c r="L131" s="88"/>
      <c r="M131" s="88"/>
    </row>
    <row r="132" spans="1:13" ht="15" customHeight="1" x14ac:dyDescent="0.5">
      <c r="A132" s="90"/>
      <c r="B132" s="22"/>
      <c r="C132" s="22"/>
      <c r="D132"/>
      <c r="E132"/>
      <c r="F132"/>
      <c r="G132"/>
      <c r="H132" s="91"/>
      <c r="I132" s="91"/>
      <c r="J132" s="91"/>
      <c r="K132" s="91"/>
    </row>
    <row r="133" spans="1:13" ht="15" customHeight="1" x14ac:dyDescent="0.5">
      <c r="A133" s="90"/>
      <c r="B133" s="22"/>
      <c r="C133" s="22"/>
      <c r="D133"/>
      <c r="E133"/>
      <c r="F133"/>
      <c r="G133"/>
      <c r="H133" s="91"/>
      <c r="I133" s="91"/>
      <c r="J133" s="91"/>
      <c r="K133" s="91"/>
    </row>
    <row r="134" spans="1:13" ht="74.25" customHeight="1" x14ac:dyDescent="0.5">
      <c r="A134" s="90"/>
      <c r="B134" s="22"/>
      <c r="C134" s="22"/>
      <c r="D134"/>
      <c r="E134"/>
      <c r="F134"/>
      <c r="G134"/>
      <c r="H134" s="91"/>
      <c r="I134" s="91"/>
      <c r="J134" s="91"/>
      <c r="K134" s="91"/>
    </row>
    <row r="135" spans="1:13" ht="74.25" customHeight="1" x14ac:dyDescent="0.5">
      <c r="A135" s="90"/>
      <c r="B135" s="22"/>
      <c r="C135" s="22"/>
      <c r="D135" s="22"/>
      <c r="E135" s="91"/>
      <c r="F135" s="91"/>
      <c r="G135" s="91"/>
      <c r="H135" s="91"/>
      <c r="I135" s="91"/>
      <c r="J135" s="91"/>
      <c r="K135" s="91"/>
    </row>
    <row r="136" spans="1:13" ht="74.25" customHeight="1" x14ac:dyDescent="0.5">
      <c r="A136" s="90"/>
      <c r="B136" s="22"/>
      <c r="C136" s="22"/>
      <c r="D136" s="22"/>
      <c r="E136" s="91"/>
      <c r="F136" s="91"/>
      <c r="G136" s="91"/>
      <c r="H136" s="91"/>
      <c r="I136" s="91"/>
      <c r="J136" s="91"/>
      <c r="K136" s="91"/>
    </row>
    <row r="137" spans="1:13" ht="74.25" customHeight="1" x14ac:dyDescent="0.5">
      <c r="A137" s="90"/>
      <c r="B137" s="22"/>
      <c r="C137" s="22"/>
      <c r="D137" s="22"/>
      <c r="E137" s="91"/>
      <c r="F137" s="91"/>
      <c r="G137" s="91"/>
      <c r="H137" s="91"/>
      <c r="I137" s="91"/>
      <c r="J137" s="91"/>
      <c r="K137" s="91"/>
    </row>
    <row r="138" spans="1:13" ht="74.25" customHeight="1" x14ac:dyDescent="0.5">
      <c r="A138" s="90"/>
      <c r="B138" s="22"/>
      <c r="C138" s="22"/>
      <c r="D138" s="22"/>
      <c r="E138" s="91"/>
      <c r="F138" s="91"/>
      <c r="G138" s="91"/>
      <c r="H138" s="91"/>
      <c r="I138" s="91"/>
      <c r="J138" s="91"/>
      <c r="K138" s="91"/>
    </row>
    <row r="139" spans="1:13" ht="74.25" customHeight="1" x14ac:dyDescent="0.5">
      <c r="A139" s="90"/>
      <c r="B139" s="22"/>
      <c r="C139" s="22"/>
      <c r="D139" s="22"/>
      <c r="E139" s="91"/>
      <c r="F139" s="91"/>
      <c r="G139" s="91"/>
      <c r="H139" s="91"/>
      <c r="I139" s="91"/>
      <c r="J139" s="91"/>
      <c r="K139" s="91"/>
    </row>
    <row r="140" spans="1:13" ht="18.45" x14ac:dyDescent="0.5">
      <c r="A140" s="90"/>
      <c r="B140" s="22"/>
      <c r="C140" s="22"/>
      <c r="D140" s="22"/>
      <c r="E140" s="91"/>
      <c r="F140" s="91"/>
      <c r="G140" s="91"/>
      <c r="H140" s="91"/>
      <c r="I140" s="91"/>
      <c r="J140" s="91"/>
      <c r="K140" s="91"/>
    </row>
    <row r="141" spans="1:13" ht="18.45" x14ac:dyDescent="0.5">
      <c r="A141" s="90"/>
      <c r="B141" s="22"/>
      <c r="C141" s="22"/>
      <c r="D141" s="22"/>
      <c r="E141" s="91"/>
      <c r="F141" s="91"/>
      <c r="G141" s="91"/>
      <c r="H141" s="91"/>
      <c r="I141" s="91"/>
      <c r="J141" s="91"/>
      <c r="K141" s="91"/>
    </row>
    <row r="142" spans="1:13" ht="18.45" hidden="1" x14ac:dyDescent="0.5">
      <c r="A142" s="90"/>
      <c r="B142" s="22"/>
      <c r="C142" s="22"/>
      <c r="D142" s="22"/>
      <c r="E142" s="91"/>
      <c r="F142" s="91"/>
      <c r="G142" s="91"/>
      <c r="H142" s="91"/>
      <c r="I142" s="91"/>
      <c r="J142" s="91"/>
      <c r="K142" s="91"/>
    </row>
    <row r="143" spans="1:13" ht="18.45" hidden="1" x14ac:dyDescent="0.5">
      <c r="A143" s="90"/>
      <c r="B143" s="22"/>
      <c r="C143" s="22"/>
      <c r="D143" s="22"/>
      <c r="E143" s="91"/>
      <c r="F143" s="91"/>
      <c r="G143" s="91"/>
      <c r="H143" s="91"/>
      <c r="I143" s="91"/>
      <c r="J143" s="91"/>
      <c r="K143" s="91"/>
    </row>
    <row r="144" spans="1:13" ht="18.45" hidden="1" x14ac:dyDescent="0.5">
      <c r="A144" s="90"/>
      <c r="B144" s="22"/>
      <c r="C144" s="22"/>
      <c r="D144" s="22"/>
      <c r="E144" s="91"/>
      <c r="F144" s="91"/>
      <c r="G144" s="91"/>
      <c r="H144" s="91"/>
      <c r="I144" s="91"/>
      <c r="J144" s="91"/>
      <c r="K144" s="91"/>
    </row>
    <row r="145" spans="1:13" ht="24.75" customHeight="1" x14ac:dyDescent="0.5">
      <c r="A145" s="90"/>
      <c r="B145" s="92"/>
      <c r="C145" s="22"/>
      <c r="D145" s="22"/>
      <c r="E145" s="419"/>
      <c r="F145" s="419"/>
      <c r="G145" s="419"/>
      <c r="H145" s="419"/>
      <c r="I145" s="419"/>
      <c r="J145" s="419"/>
      <c r="K145" s="93"/>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5">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67" zoomScaleNormal="100" workbookViewId="0">
      <selection activeCell="E78" sqref="E78"/>
    </sheetView>
  </sheetViews>
  <sheetFormatPr baseColWidth="10" defaultRowHeight="11.6" x14ac:dyDescent="0.4"/>
  <cols>
    <col min="1" max="1" width="21.69140625" style="141" customWidth="1"/>
    <col min="2" max="2" width="16.3046875" style="141" customWidth="1"/>
    <col min="3" max="3" width="13.69140625" style="142" customWidth="1"/>
    <col min="4" max="4" width="15.84375" style="143" customWidth="1"/>
    <col min="5" max="5" width="11.84375" style="141" customWidth="1"/>
    <col min="6" max="7" width="11.07421875" style="141"/>
    <col min="8" max="9" width="13.4609375" style="141" customWidth="1"/>
    <col min="10" max="10" width="11.07421875" style="141"/>
    <col min="11" max="11" width="11.84375" style="141" customWidth="1"/>
    <col min="12" max="255" width="11.07421875" style="141"/>
    <col min="256" max="256" width="5.69140625" style="141" customWidth="1"/>
    <col min="257" max="257" width="21.69140625" style="141" customWidth="1"/>
    <col min="258" max="258" width="16.3046875" style="141" customWidth="1"/>
    <col min="259" max="259" width="13.69140625" style="141" customWidth="1"/>
    <col min="260" max="260" width="15.84375" style="141" customWidth="1"/>
    <col min="261" max="261" width="11.84375" style="141" customWidth="1"/>
    <col min="262" max="511" width="11.07421875" style="141"/>
    <col min="512" max="512" width="5.69140625" style="141" customWidth="1"/>
    <col min="513" max="513" width="21.69140625" style="141" customWidth="1"/>
    <col min="514" max="514" width="16.3046875" style="141" customWidth="1"/>
    <col min="515" max="515" width="13.69140625" style="141" customWidth="1"/>
    <col min="516" max="516" width="15.84375" style="141" customWidth="1"/>
    <col min="517" max="517" width="11.84375" style="141" customWidth="1"/>
    <col min="518" max="767" width="11.07421875" style="141"/>
    <col min="768" max="768" width="5.69140625" style="141" customWidth="1"/>
    <col min="769" max="769" width="21.69140625" style="141" customWidth="1"/>
    <col min="770" max="770" width="16.3046875" style="141" customWidth="1"/>
    <col min="771" max="771" width="13.69140625" style="141" customWidth="1"/>
    <col min="772" max="772" width="15.84375" style="141" customWidth="1"/>
    <col min="773" max="773" width="11.84375" style="141" customWidth="1"/>
    <col min="774" max="1023" width="11.07421875" style="141"/>
    <col min="1024" max="1024" width="5.69140625" style="141" customWidth="1"/>
    <col min="1025" max="1025" width="21.69140625" style="141" customWidth="1"/>
    <col min="1026" max="1026" width="16.3046875" style="141" customWidth="1"/>
    <col min="1027" max="1027" width="13.69140625" style="141" customWidth="1"/>
    <col min="1028" max="1028" width="15.84375" style="141" customWidth="1"/>
    <col min="1029" max="1029" width="11.84375" style="141" customWidth="1"/>
    <col min="1030" max="1279" width="11.07421875" style="141"/>
    <col min="1280" max="1280" width="5.69140625" style="141" customWidth="1"/>
    <col min="1281" max="1281" width="21.69140625" style="141" customWidth="1"/>
    <col min="1282" max="1282" width="16.3046875" style="141" customWidth="1"/>
    <col min="1283" max="1283" width="13.69140625" style="141" customWidth="1"/>
    <col min="1284" max="1284" width="15.84375" style="141" customWidth="1"/>
    <col min="1285" max="1285" width="11.84375" style="141" customWidth="1"/>
    <col min="1286" max="1535" width="11.07421875" style="141"/>
    <col min="1536" max="1536" width="5.69140625" style="141" customWidth="1"/>
    <col min="1537" max="1537" width="21.69140625" style="141" customWidth="1"/>
    <col min="1538" max="1538" width="16.3046875" style="141" customWidth="1"/>
    <col min="1539" max="1539" width="13.69140625" style="141" customWidth="1"/>
    <col min="1540" max="1540" width="15.84375" style="141" customWidth="1"/>
    <col min="1541" max="1541" width="11.84375" style="141" customWidth="1"/>
    <col min="1542" max="1791" width="11.07421875" style="141"/>
    <col min="1792" max="1792" width="5.69140625" style="141" customWidth="1"/>
    <col min="1793" max="1793" width="21.69140625" style="141" customWidth="1"/>
    <col min="1794" max="1794" width="16.3046875" style="141" customWidth="1"/>
    <col min="1795" max="1795" width="13.69140625" style="141" customWidth="1"/>
    <col min="1796" max="1796" width="15.84375" style="141" customWidth="1"/>
    <col min="1797" max="1797" width="11.84375" style="141" customWidth="1"/>
    <col min="1798" max="2047" width="11.07421875" style="141"/>
    <col min="2048" max="2048" width="5.69140625" style="141" customWidth="1"/>
    <col min="2049" max="2049" width="21.69140625" style="141" customWidth="1"/>
    <col min="2050" max="2050" width="16.3046875" style="141" customWidth="1"/>
    <col min="2051" max="2051" width="13.69140625" style="141" customWidth="1"/>
    <col min="2052" max="2052" width="15.84375" style="141" customWidth="1"/>
    <col min="2053" max="2053" width="11.84375" style="141" customWidth="1"/>
    <col min="2054" max="2303" width="11.07421875" style="141"/>
    <col min="2304" max="2304" width="5.69140625" style="141" customWidth="1"/>
    <col min="2305" max="2305" width="21.69140625" style="141" customWidth="1"/>
    <col min="2306" max="2306" width="16.3046875" style="141" customWidth="1"/>
    <col min="2307" max="2307" width="13.69140625" style="141" customWidth="1"/>
    <col min="2308" max="2308" width="15.84375" style="141" customWidth="1"/>
    <col min="2309" max="2309" width="11.84375" style="141" customWidth="1"/>
    <col min="2310" max="2559" width="11.07421875" style="141"/>
    <col min="2560" max="2560" width="5.69140625" style="141" customWidth="1"/>
    <col min="2561" max="2561" width="21.69140625" style="141" customWidth="1"/>
    <col min="2562" max="2562" width="16.3046875" style="141" customWidth="1"/>
    <col min="2563" max="2563" width="13.69140625" style="141" customWidth="1"/>
    <col min="2564" max="2564" width="15.84375" style="141" customWidth="1"/>
    <col min="2565" max="2565" width="11.84375" style="141" customWidth="1"/>
    <col min="2566" max="2815" width="11.07421875" style="141"/>
    <col min="2816" max="2816" width="5.69140625" style="141" customWidth="1"/>
    <col min="2817" max="2817" width="21.69140625" style="141" customWidth="1"/>
    <col min="2818" max="2818" width="16.3046875" style="141" customWidth="1"/>
    <col min="2819" max="2819" width="13.69140625" style="141" customWidth="1"/>
    <col min="2820" max="2820" width="15.84375" style="141" customWidth="1"/>
    <col min="2821" max="2821" width="11.84375" style="141" customWidth="1"/>
    <col min="2822" max="3071" width="11.07421875" style="141"/>
    <col min="3072" max="3072" width="5.69140625" style="141" customWidth="1"/>
    <col min="3073" max="3073" width="21.69140625" style="141" customWidth="1"/>
    <col min="3074" max="3074" width="16.3046875" style="141" customWidth="1"/>
    <col min="3075" max="3075" width="13.69140625" style="141" customWidth="1"/>
    <col min="3076" max="3076" width="15.84375" style="141" customWidth="1"/>
    <col min="3077" max="3077" width="11.84375" style="141" customWidth="1"/>
    <col min="3078" max="3327" width="11.07421875" style="141"/>
    <col min="3328" max="3328" width="5.69140625" style="141" customWidth="1"/>
    <col min="3329" max="3329" width="21.69140625" style="141" customWidth="1"/>
    <col min="3330" max="3330" width="16.3046875" style="141" customWidth="1"/>
    <col min="3331" max="3331" width="13.69140625" style="141" customWidth="1"/>
    <col min="3332" max="3332" width="15.84375" style="141" customWidth="1"/>
    <col min="3333" max="3333" width="11.84375" style="141" customWidth="1"/>
    <col min="3334" max="3583" width="11.07421875" style="141"/>
    <col min="3584" max="3584" width="5.69140625" style="141" customWidth="1"/>
    <col min="3585" max="3585" width="21.69140625" style="141" customWidth="1"/>
    <col min="3586" max="3586" width="16.3046875" style="141" customWidth="1"/>
    <col min="3587" max="3587" width="13.69140625" style="141" customWidth="1"/>
    <col min="3588" max="3588" width="15.84375" style="141" customWidth="1"/>
    <col min="3589" max="3589" width="11.84375" style="141" customWidth="1"/>
    <col min="3590" max="3839" width="11.07421875" style="141"/>
    <col min="3840" max="3840" width="5.69140625" style="141" customWidth="1"/>
    <col min="3841" max="3841" width="21.69140625" style="141" customWidth="1"/>
    <col min="3842" max="3842" width="16.3046875" style="141" customWidth="1"/>
    <col min="3843" max="3843" width="13.69140625" style="141" customWidth="1"/>
    <col min="3844" max="3844" width="15.84375" style="141" customWidth="1"/>
    <col min="3845" max="3845" width="11.84375" style="141" customWidth="1"/>
    <col min="3846" max="4095" width="11.07421875" style="141"/>
    <col min="4096" max="4096" width="5.69140625" style="141" customWidth="1"/>
    <col min="4097" max="4097" width="21.69140625" style="141" customWidth="1"/>
    <col min="4098" max="4098" width="16.3046875" style="141" customWidth="1"/>
    <col min="4099" max="4099" width="13.69140625" style="141" customWidth="1"/>
    <col min="4100" max="4100" width="15.84375" style="141" customWidth="1"/>
    <col min="4101" max="4101" width="11.84375" style="141" customWidth="1"/>
    <col min="4102" max="4351" width="11.07421875" style="141"/>
    <col min="4352" max="4352" width="5.69140625" style="141" customWidth="1"/>
    <col min="4353" max="4353" width="21.69140625" style="141" customWidth="1"/>
    <col min="4354" max="4354" width="16.3046875" style="141" customWidth="1"/>
    <col min="4355" max="4355" width="13.69140625" style="141" customWidth="1"/>
    <col min="4356" max="4356" width="15.84375" style="141" customWidth="1"/>
    <col min="4357" max="4357" width="11.84375" style="141" customWidth="1"/>
    <col min="4358" max="4607" width="11.07421875" style="141"/>
    <col min="4608" max="4608" width="5.69140625" style="141" customWidth="1"/>
    <col min="4609" max="4609" width="21.69140625" style="141" customWidth="1"/>
    <col min="4610" max="4610" width="16.3046875" style="141" customWidth="1"/>
    <col min="4611" max="4611" width="13.69140625" style="141" customWidth="1"/>
    <col min="4612" max="4612" width="15.84375" style="141" customWidth="1"/>
    <col min="4613" max="4613" width="11.84375" style="141" customWidth="1"/>
    <col min="4614" max="4863" width="11.07421875" style="141"/>
    <col min="4864" max="4864" width="5.69140625" style="141" customWidth="1"/>
    <col min="4865" max="4865" width="21.69140625" style="141" customWidth="1"/>
    <col min="4866" max="4866" width="16.3046875" style="141" customWidth="1"/>
    <col min="4867" max="4867" width="13.69140625" style="141" customWidth="1"/>
    <col min="4868" max="4868" width="15.84375" style="141" customWidth="1"/>
    <col min="4869" max="4869" width="11.84375" style="141" customWidth="1"/>
    <col min="4870" max="5119" width="11.07421875" style="141"/>
    <col min="5120" max="5120" width="5.69140625" style="141" customWidth="1"/>
    <col min="5121" max="5121" width="21.69140625" style="141" customWidth="1"/>
    <col min="5122" max="5122" width="16.3046875" style="141" customWidth="1"/>
    <col min="5123" max="5123" width="13.69140625" style="141" customWidth="1"/>
    <col min="5124" max="5124" width="15.84375" style="141" customWidth="1"/>
    <col min="5125" max="5125" width="11.84375" style="141" customWidth="1"/>
    <col min="5126" max="5375" width="11.07421875" style="141"/>
    <col min="5376" max="5376" width="5.69140625" style="141" customWidth="1"/>
    <col min="5377" max="5377" width="21.69140625" style="141" customWidth="1"/>
    <col min="5378" max="5378" width="16.3046875" style="141" customWidth="1"/>
    <col min="5379" max="5379" width="13.69140625" style="141" customWidth="1"/>
    <col min="5380" max="5380" width="15.84375" style="141" customWidth="1"/>
    <col min="5381" max="5381" width="11.84375" style="141" customWidth="1"/>
    <col min="5382" max="5631" width="11.07421875" style="141"/>
    <col min="5632" max="5632" width="5.69140625" style="141" customWidth="1"/>
    <col min="5633" max="5633" width="21.69140625" style="141" customWidth="1"/>
    <col min="5634" max="5634" width="16.3046875" style="141" customWidth="1"/>
    <col min="5635" max="5635" width="13.69140625" style="141" customWidth="1"/>
    <col min="5636" max="5636" width="15.84375" style="141" customWidth="1"/>
    <col min="5637" max="5637" width="11.84375" style="141" customWidth="1"/>
    <col min="5638" max="5887" width="11.07421875" style="141"/>
    <col min="5888" max="5888" width="5.69140625" style="141" customWidth="1"/>
    <col min="5889" max="5889" width="21.69140625" style="141" customWidth="1"/>
    <col min="5890" max="5890" width="16.3046875" style="141" customWidth="1"/>
    <col min="5891" max="5891" width="13.69140625" style="141" customWidth="1"/>
    <col min="5892" max="5892" width="15.84375" style="141" customWidth="1"/>
    <col min="5893" max="5893" width="11.84375" style="141" customWidth="1"/>
    <col min="5894" max="6143" width="11.07421875" style="141"/>
    <col min="6144" max="6144" width="5.69140625" style="141" customWidth="1"/>
    <col min="6145" max="6145" width="21.69140625" style="141" customWidth="1"/>
    <col min="6146" max="6146" width="16.3046875" style="141" customWidth="1"/>
    <col min="6147" max="6147" width="13.69140625" style="141" customWidth="1"/>
    <col min="6148" max="6148" width="15.84375" style="141" customWidth="1"/>
    <col min="6149" max="6149" width="11.84375" style="141" customWidth="1"/>
    <col min="6150" max="6399" width="11.07421875" style="141"/>
    <col min="6400" max="6400" width="5.69140625" style="141" customWidth="1"/>
    <col min="6401" max="6401" width="21.69140625" style="141" customWidth="1"/>
    <col min="6402" max="6402" width="16.3046875" style="141" customWidth="1"/>
    <col min="6403" max="6403" width="13.69140625" style="141" customWidth="1"/>
    <col min="6404" max="6404" width="15.84375" style="141" customWidth="1"/>
    <col min="6405" max="6405" width="11.84375" style="141" customWidth="1"/>
    <col min="6406" max="6655" width="11.07421875" style="141"/>
    <col min="6656" max="6656" width="5.69140625" style="141" customWidth="1"/>
    <col min="6657" max="6657" width="21.69140625" style="141" customWidth="1"/>
    <col min="6658" max="6658" width="16.3046875" style="141" customWidth="1"/>
    <col min="6659" max="6659" width="13.69140625" style="141" customWidth="1"/>
    <col min="6660" max="6660" width="15.84375" style="141" customWidth="1"/>
    <col min="6661" max="6661" width="11.84375" style="141" customWidth="1"/>
    <col min="6662" max="6911" width="11.07421875" style="141"/>
    <col min="6912" max="6912" width="5.69140625" style="141" customWidth="1"/>
    <col min="6913" max="6913" width="21.69140625" style="141" customWidth="1"/>
    <col min="6914" max="6914" width="16.3046875" style="141" customWidth="1"/>
    <col min="6915" max="6915" width="13.69140625" style="141" customWidth="1"/>
    <col min="6916" max="6916" width="15.84375" style="141" customWidth="1"/>
    <col min="6917" max="6917" width="11.84375" style="141" customWidth="1"/>
    <col min="6918" max="7167" width="11.07421875" style="141"/>
    <col min="7168" max="7168" width="5.69140625" style="141" customWidth="1"/>
    <col min="7169" max="7169" width="21.69140625" style="141" customWidth="1"/>
    <col min="7170" max="7170" width="16.3046875" style="141" customWidth="1"/>
    <col min="7171" max="7171" width="13.69140625" style="141" customWidth="1"/>
    <col min="7172" max="7172" width="15.84375" style="141" customWidth="1"/>
    <col min="7173" max="7173" width="11.84375" style="141" customWidth="1"/>
    <col min="7174" max="7423" width="11.07421875" style="141"/>
    <col min="7424" max="7424" width="5.69140625" style="141" customWidth="1"/>
    <col min="7425" max="7425" width="21.69140625" style="141" customWidth="1"/>
    <col min="7426" max="7426" width="16.3046875" style="141" customWidth="1"/>
    <col min="7427" max="7427" width="13.69140625" style="141" customWidth="1"/>
    <col min="7428" max="7428" width="15.84375" style="141" customWidth="1"/>
    <col min="7429" max="7429" width="11.84375" style="141" customWidth="1"/>
    <col min="7430" max="7679" width="11.07421875" style="141"/>
    <col min="7680" max="7680" width="5.69140625" style="141" customWidth="1"/>
    <col min="7681" max="7681" width="21.69140625" style="141" customWidth="1"/>
    <col min="7682" max="7682" width="16.3046875" style="141" customWidth="1"/>
    <col min="7683" max="7683" width="13.69140625" style="141" customWidth="1"/>
    <col min="7684" max="7684" width="15.84375" style="141" customWidth="1"/>
    <col min="7685" max="7685" width="11.84375" style="141" customWidth="1"/>
    <col min="7686" max="7935" width="11.07421875" style="141"/>
    <col min="7936" max="7936" width="5.69140625" style="141" customWidth="1"/>
    <col min="7937" max="7937" width="21.69140625" style="141" customWidth="1"/>
    <col min="7938" max="7938" width="16.3046875" style="141" customWidth="1"/>
    <col min="7939" max="7939" width="13.69140625" style="141" customWidth="1"/>
    <col min="7940" max="7940" width="15.84375" style="141" customWidth="1"/>
    <col min="7941" max="7941" width="11.84375" style="141" customWidth="1"/>
    <col min="7942" max="8191" width="11.07421875" style="141"/>
    <col min="8192" max="8192" width="5.69140625" style="141" customWidth="1"/>
    <col min="8193" max="8193" width="21.69140625" style="141" customWidth="1"/>
    <col min="8194" max="8194" width="16.3046875" style="141" customWidth="1"/>
    <col min="8195" max="8195" width="13.69140625" style="141" customWidth="1"/>
    <col min="8196" max="8196" width="15.84375" style="141" customWidth="1"/>
    <col min="8197" max="8197" width="11.84375" style="141" customWidth="1"/>
    <col min="8198" max="8447" width="11.07421875" style="141"/>
    <col min="8448" max="8448" width="5.69140625" style="141" customWidth="1"/>
    <col min="8449" max="8449" width="21.69140625" style="141" customWidth="1"/>
    <col min="8450" max="8450" width="16.3046875" style="141" customWidth="1"/>
    <col min="8451" max="8451" width="13.69140625" style="141" customWidth="1"/>
    <col min="8452" max="8452" width="15.84375" style="141" customWidth="1"/>
    <col min="8453" max="8453" width="11.84375" style="141" customWidth="1"/>
    <col min="8454" max="8703" width="11.07421875" style="141"/>
    <col min="8704" max="8704" width="5.69140625" style="141" customWidth="1"/>
    <col min="8705" max="8705" width="21.69140625" style="141" customWidth="1"/>
    <col min="8706" max="8706" width="16.3046875" style="141" customWidth="1"/>
    <col min="8707" max="8707" width="13.69140625" style="141" customWidth="1"/>
    <col min="8708" max="8708" width="15.84375" style="141" customWidth="1"/>
    <col min="8709" max="8709" width="11.84375" style="141" customWidth="1"/>
    <col min="8710" max="8959" width="11.07421875" style="141"/>
    <col min="8960" max="8960" width="5.69140625" style="141" customWidth="1"/>
    <col min="8961" max="8961" width="21.69140625" style="141" customWidth="1"/>
    <col min="8962" max="8962" width="16.3046875" style="141" customWidth="1"/>
    <col min="8963" max="8963" width="13.69140625" style="141" customWidth="1"/>
    <col min="8964" max="8964" width="15.84375" style="141" customWidth="1"/>
    <col min="8965" max="8965" width="11.84375" style="141" customWidth="1"/>
    <col min="8966" max="9215" width="11.07421875" style="141"/>
    <col min="9216" max="9216" width="5.69140625" style="141" customWidth="1"/>
    <col min="9217" max="9217" width="21.69140625" style="141" customWidth="1"/>
    <col min="9218" max="9218" width="16.3046875" style="141" customWidth="1"/>
    <col min="9219" max="9219" width="13.69140625" style="141" customWidth="1"/>
    <col min="9220" max="9220" width="15.84375" style="141" customWidth="1"/>
    <col min="9221" max="9221" width="11.84375" style="141" customWidth="1"/>
    <col min="9222" max="9471" width="11.07421875" style="141"/>
    <col min="9472" max="9472" width="5.69140625" style="141" customWidth="1"/>
    <col min="9473" max="9473" width="21.69140625" style="141" customWidth="1"/>
    <col min="9474" max="9474" width="16.3046875" style="141" customWidth="1"/>
    <col min="9475" max="9475" width="13.69140625" style="141" customWidth="1"/>
    <col min="9476" max="9476" width="15.84375" style="141" customWidth="1"/>
    <col min="9477" max="9477" width="11.84375" style="141" customWidth="1"/>
    <col min="9478" max="9727" width="11.07421875" style="141"/>
    <col min="9728" max="9728" width="5.69140625" style="141" customWidth="1"/>
    <col min="9729" max="9729" width="21.69140625" style="141" customWidth="1"/>
    <col min="9730" max="9730" width="16.3046875" style="141" customWidth="1"/>
    <col min="9731" max="9731" width="13.69140625" style="141" customWidth="1"/>
    <col min="9732" max="9732" width="15.84375" style="141" customWidth="1"/>
    <col min="9733" max="9733" width="11.84375" style="141" customWidth="1"/>
    <col min="9734" max="9983" width="11.07421875" style="141"/>
    <col min="9984" max="9984" width="5.69140625" style="141" customWidth="1"/>
    <col min="9985" max="9985" width="21.69140625" style="141" customWidth="1"/>
    <col min="9986" max="9986" width="16.3046875" style="141" customWidth="1"/>
    <col min="9987" max="9987" width="13.69140625" style="141" customWidth="1"/>
    <col min="9988" max="9988" width="15.84375" style="141" customWidth="1"/>
    <col min="9989" max="9989" width="11.84375" style="141" customWidth="1"/>
    <col min="9990" max="10239" width="11.07421875" style="141"/>
    <col min="10240" max="10240" width="5.69140625" style="141" customWidth="1"/>
    <col min="10241" max="10241" width="21.69140625" style="141" customWidth="1"/>
    <col min="10242" max="10242" width="16.3046875" style="141" customWidth="1"/>
    <col min="10243" max="10243" width="13.69140625" style="141" customWidth="1"/>
    <col min="10244" max="10244" width="15.84375" style="141" customWidth="1"/>
    <col min="10245" max="10245" width="11.84375" style="141" customWidth="1"/>
    <col min="10246" max="10495" width="11.07421875" style="141"/>
    <col min="10496" max="10496" width="5.69140625" style="141" customWidth="1"/>
    <col min="10497" max="10497" width="21.69140625" style="141" customWidth="1"/>
    <col min="10498" max="10498" width="16.3046875" style="141" customWidth="1"/>
    <col min="10499" max="10499" width="13.69140625" style="141" customWidth="1"/>
    <col min="10500" max="10500" width="15.84375" style="141" customWidth="1"/>
    <col min="10501" max="10501" width="11.84375" style="141" customWidth="1"/>
    <col min="10502" max="10751" width="11.07421875" style="141"/>
    <col min="10752" max="10752" width="5.69140625" style="141" customWidth="1"/>
    <col min="10753" max="10753" width="21.69140625" style="141" customWidth="1"/>
    <col min="10754" max="10754" width="16.3046875" style="141" customWidth="1"/>
    <col min="10755" max="10755" width="13.69140625" style="141" customWidth="1"/>
    <col min="10756" max="10756" width="15.84375" style="141" customWidth="1"/>
    <col min="10757" max="10757" width="11.84375" style="141" customWidth="1"/>
    <col min="10758" max="11007" width="11.07421875" style="141"/>
    <col min="11008" max="11008" width="5.69140625" style="141" customWidth="1"/>
    <col min="11009" max="11009" width="21.69140625" style="141" customWidth="1"/>
    <col min="11010" max="11010" width="16.3046875" style="141" customWidth="1"/>
    <col min="11011" max="11011" width="13.69140625" style="141" customWidth="1"/>
    <col min="11012" max="11012" width="15.84375" style="141" customWidth="1"/>
    <col min="11013" max="11013" width="11.84375" style="141" customWidth="1"/>
    <col min="11014" max="11263" width="11.07421875" style="141"/>
    <col min="11264" max="11264" width="5.69140625" style="141" customWidth="1"/>
    <col min="11265" max="11265" width="21.69140625" style="141" customWidth="1"/>
    <col min="11266" max="11266" width="16.3046875" style="141" customWidth="1"/>
    <col min="11267" max="11267" width="13.69140625" style="141" customWidth="1"/>
    <col min="11268" max="11268" width="15.84375" style="141" customWidth="1"/>
    <col min="11269" max="11269" width="11.84375" style="141" customWidth="1"/>
    <col min="11270" max="11519" width="11.07421875" style="141"/>
    <col min="11520" max="11520" width="5.69140625" style="141" customWidth="1"/>
    <col min="11521" max="11521" width="21.69140625" style="141" customWidth="1"/>
    <col min="11522" max="11522" width="16.3046875" style="141" customWidth="1"/>
    <col min="11523" max="11523" width="13.69140625" style="141" customWidth="1"/>
    <col min="11524" max="11524" width="15.84375" style="141" customWidth="1"/>
    <col min="11525" max="11525" width="11.84375" style="141" customWidth="1"/>
    <col min="11526" max="11775" width="11.07421875" style="141"/>
    <col min="11776" max="11776" width="5.69140625" style="141" customWidth="1"/>
    <col min="11777" max="11777" width="21.69140625" style="141" customWidth="1"/>
    <col min="11778" max="11778" width="16.3046875" style="141" customWidth="1"/>
    <col min="11779" max="11779" width="13.69140625" style="141" customWidth="1"/>
    <col min="11780" max="11780" width="15.84375" style="141" customWidth="1"/>
    <col min="11781" max="11781" width="11.84375" style="141" customWidth="1"/>
    <col min="11782" max="12031" width="11.07421875" style="141"/>
    <col min="12032" max="12032" width="5.69140625" style="141" customWidth="1"/>
    <col min="12033" max="12033" width="21.69140625" style="141" customWidth="1"/>
    <col min="12034" max="12034" width="16.3046875" style="141" customWidth="1"/>
    <col min="12035" max="12035" width="13.69140625" style="141" customWidth="1"/>
    <col min="12036" max="12036" width="15.84375" style="141" customWidth="1"/>
    <col min="12037" max="12037" width="11.84375" style="141" customWidth="1"/>
    <col min="12038" max="12287" width="11.07421875" style="141"/>
    <col min="12288" max="12288" width="5.69140625" style="141" customWidth="1"/>
    <col min="12289" max="12289" width="21.69140625" style="141" customWidth="1"/>
    <col min="12290" max="12290" width="16.3046875" style="141" customWidth="1"/>
    <col min="12291" max="12291" width="13.69140625" style="141" customWidth="1"/>
    <col min="12292" max="12292" width="15.84375" style="141" customWidth="1"/>
    <col min="12293" max="12293" width="11.84375" style="141" customWidth="1"/>
    <col min="12294" max="12543" width="11.07421875" style="141"/>
    <col min="12544" max="12544" width="5.69140625" style="141" customWidth="1"/>
    <col min="12545" max="12545" width="21.69140625" style="141" customWidth="1"/>
    <col min="12546" max="12546" width="16.3046875" style="141" customWidth="1"/>
    <col min="12547" max="12547" width="13.69140625" style="141" customWidth="1"/>
    <col min="12548" max="12548" width="15.84375" style="141" customWidth="1"/>
    <col min="12549" max="12549" width="11.84375" style="141" customWidth="1"/>
    <col min="12550" max="12799" width="11.07421875" style="141"/>
    <col min="12800" max="12800" width="5.69140625" style="141" customWidth="1"/>
    <col min="12801" max="12801" width="21.69140625" style="141" customWidth="1"/>
    <col min="12802" max="12802" width="16.3046875" style="141" customWidth="1"/>
    <col min="12803" max="12803" width="13.69140625" style="141" customWidth="1"/>
    <col min="12804" max="12804" width="15.84375" style="141" customWidth="1"/>
    <col min="12805" max="12805" width="11.84375" style="141" customWidth="1"/>
    <col min="12806" max="13055" width="11.07421875" style="141"/>
    <col min="13056" max="13056" width="5.69140625" style="141" customWidth="1"/>
    <col min="13057" max="13057" width="21.69140625" style="141" customWidth="1"/>
    <col min="13058" max="13058" width="16.3046875" style="141" customWidth="1"/>
    <col min="13059" max="13059" width="13.69140625" style="141" customWidth="1"/>
    <col min="13060" max="13060" width="15.84375" style="141" customWidth="1"/>
    <col min="13061" max="13061" width="11.84375" style="141" customWidth="1"/>
    <col min="13062" max="13311" width="11.07421875" style="141"/>
    <col min="13312" max="13312" width="5.69140625" style="141" customWidth="1"/>
    <col min="13313" max="13313" width="21.69140625" style="141" customWidth="1"/>
    <col min="13314" max="13314" width="16.3046875" style="141" customWidth="1"/>
    <col min="13315" max="13315" width="13.69140625" style="141" customWidth="1"/>
    <col min="13316" max="13316" width="15.84375" style="141" customWidth="1"/>
    <col min="13317" max="13317" width="11.84375" style="141" customWidth="1"/>
    <col min="13318" max="13567" width="11.07421875" style="141"/>
    <col min="13568" max="13568" width="5.69140625" style="141" customWidth="1"/>
    <col min="13569" max="13569" width="21.69140625" style="141" customWidth="1"/>
    <col min="13570" max="13570" width="16.3046875" style="141" customWidth="1"/>
    <col min="13571" max="13571" width="13.69140625" style="141" customWidth="1"/>
    <col min="13572" max="13572" width="15.84375" style="141" customWidth="1"/>
    <col min="13573" max="13573" width="11.84375" style="141" customWidth="1"/>
    <col min="13574" max="13823" width="11.07421875" style="141"/>
    <col min="13824" max="13824" width="5.69140625" style="141" customWidth="1"/>
    <col min="13825" max="13825" width="21.69140625" style="141" customWidth="1"/>
    <col min="13826" max="13826" width="16.3046875" style="141" customWidth="1"/>
    <col min="13827" max="13827" width="13.69140625" style="141" customWidth="1"/>
    <col min="13828" max="13828" width="15.84375" style="141" customWidth="1"/>
    <col min="13829" max="13829" width="11.84375" style="141" customWidth="1"/>
    <col min="13830" max="14079" width="11.07421875" style="141"/>
    <col min="14080" max="14080" width="5.69140625" style="141" customWidth="1"/>
    <col min="14081" max="14081" width="21.69140625" style="141" customWidth="1"/>
    <col min="14082" max="14082" width="16.3046875" style="141" customWidth="1"/>
    <col min="14083" max="14083" width="13.69140625" style="141" customWidth="1"/>
    <col min="14084" max="14084" width="15.84375" style="141" customWidth="1"/>
    <col min="14085" max="14085" width="11.84375" style="141" customWidth="1"/>
    <col min="14086" max="14335" width="11.07421875" style="141"/>
    <col min="14336" max="14336" width="5.69140625" style="141" customWidth="1"/>
    <col min="14337" max="14337" width="21.69140625" style="141" customWidth="1"/>
    <col min="14338" max="14338" width="16.3046875" style="141" customWidth="1"/>
    <col min="14339" max="14339" width="13.69140625" style="141" customWidth="1"/>
    <col min="14340" max="14340" width="15.84375" style="141" customWidth="1"/>
    <col min="14341" max="14341" width="11.84375" style="141" customWidth="1"/>
    <col min="14342" max="14591" width="11.07421875" style="141"/>
    <col min="14592" max="14592" width="5.69140625" style="141" customWidth="1"/>
    <col min="14593" max="14593" width="21.69140625" style="141" customWidth="1"/>
    <col min="14594" max="14594" width="16.3046875" style="141" customWidth="1"/>
    <col min="14595" max="14595" width="13.69140625" style="141" customWidth="1"/>
    <col min="14596" max="14596" width="15.84375" style="141" customWidth="1"/>
    <col min="14597" max="14597" width="11.84375" style="141" customWidth="1"/>
    <col min="14598" max="14847" width="11.07421875" style="141"/>
    <col min="14848" max="14848" width="5.69140625" style="141" customWidth="1"/>
    <col min="14849" max="14849" width="21.69140625" style="141" customWidth="1"/>
    <col min="14850" max="14850" width="16.3046875" style="141" customWidth="1"/>
    <col min="14851" max="14851" width="13.69140625" style="141" customWidth="1"/>
    <col min="14852" max="14852" width="15.84375" style="141" customWidth="1"/>
    <col min="14853" max="14853" width="11.84375" style="141" customWidth="1"/>
    <col min="14854" max="15103" width="11.07421875" style="141"/>
    <col min="15104" max="15104" width="5.69140625" style="141" customWidth="1"/>
    <col min="15105" max="15105" width="21.69140625" style="141" customWidth="1"/>
    <col min="15106" max="15106" width="16.3046875" style="141" customWidth="1"/>
    <col min="15107" max="15107" width="13.69140625" style="141" customWidth="1"/>
    <col min="15108" max="15108" width="15.84375" style="141" customWidth="1"/>
    <col min="15109" max="15109" width="11.84375" style="141" customWidth="1"/>
    <col min="15110" max="15359" width="11.07421875" style="141"/>
    <col min="15360" max="15360" width="5.69140625" style="141" customWidth="1"/>
    <col min="15361" max="15361" width="21.69140625" style="141" customWidth="1"/>
    <col min="15362" max="15362" width="16.3046875" style="141" customWidth="1"/>
    <col min="15363" max="15363" width="13.69140625" style="141" customWidth="1"/>
    <col min="15364" max="15364" width="15.84375" style="141" customWidth="1"/>
    <col min="15365" max="15365" width="11.84375" style="141" customWidth="1"/>
    <col min="15366" max="15615" width="11.07421875" style="141"/>
    <col min="15616" max="15616" width="5.69140625" style="141" customWidth="1"/>
    <col min="15617" max="15617" width="21.69140625" style="141" customWidth="1"/>
    <col min="15618" max="15618" width="16.3046875" style="141" customWidth="1"/>
    <col min="15619" max="15619" width="13.69140625" style="141" customWidth="1"/>
    <col min="15620" max="15620" width="15.84375" style="141" customWidth="1"/>
    <col min="15621" max="15621" width="11.84375" style="141" customWidth="1"/>
    <col min="15622" max="15871" width="11.07421875" style="141"/>
    <col min="15872" max="15872" width="5.69140625" style="141" customWidth="1"/>
    <col min="15873" max="15873" width="21.69140625" style="141" customWidth="1"/>
    <col min="15874" max="15874" width="16.3046875" style="141" customWidth="1"/>
    <col min="15875" max="15875" width="13.69140625" style="141" customWidth="1"/>
    <col min="15876" max="15876" width="15.84375" style="141" customWidth="1"/>
    <col min="15877" max="15877" width="11.84375" style="141" customWidth="1"/>
    <col min="15878" max="16127" width="11.07421875" style="141"/>
    <col min="16128" max="16128" width="5.69140625" style="141" customWidth="1"/>
    <col min="16129" max="16129" width="21.69140625" style="141" customWidth="1"/>
    <col min="16130" max="16130" width="16.3046875" style="141" customWidth="1"/>
    <col min="16131" max="16131" width="13.69140625" style="141" customWidth="1"/>
    <col min="16132" max="16132" width="15.84375" style="141" customWidth="1"/>
    <col min="16133" max="16133" width="11.84375" style="141" customWidth="1"/>
    <col min="16134" max="16384" width="11.07421875" style="141"/>
  </cols>
  <sheetData>
    <row r="1" spans="1:15" ht="11.15" customHeight="1" x14ac:dyDescent="0.25">
      <c r="H1" s="144" t="s">
        <v>113</v>
      </c>
      <c r="I1" s="144"/>
      <c r="J1" s="144"/>
      <c r="K1" s="144"/>
      <c r="L1" s="145"/>
      <c r="M1" s="145"/>
    </row>
    <row r="2" spans="1:15" ht="11.15" customHeight="1" x14ac:dyDescent="0.25">
      <c r="A2" s="435" t="s">
        <v>114</v>
      </c>
      <c r="B2" s="435"/>
      <c r="C2" s="435"/>
      <c r="D2" s="435"/>
      <c r="H2" s="144" t="s">
        <v>115</v>
      </c>
      <c r="I2" s="144" t="s">
        <v>116</v>
      </c>
      <c r="J2" s="144" t="s">
        <v>117</v>
      </c>
      <c r="K2" s="144" t="s">
        <v>118</v>
      </c>
      <c r="L2" s="145"/>
      <c r="M2" s="145"/>
    </row>
    <row r="3" spans="1:15" s="146" customFormat="1" ht="11.15" customHeight="1" x14ac:dyDescent="0.25">
      <c r="B3" s="147"/>
      <c r="C3" s="147"/>
      <c r="D3" s="148"/>
      <c r="H3" s="144" t="s">
        <v>119</v>
      </c>
      <c r="I3" s="144" t="s">
        <v>120</v>
      </c>
      <c r="J3" s="144" t="s">
        <v>120</v>
      </c>
      <c r="K3" s="144" t="s">
        <v>120</v>
      </c>
      <c r="L3" s="145" t="s">
        <v>121</v>
      </c>
      <c r="M3" s="145" t="s">
        <v>122</v>
      </c>
    </row>
    <row r="4" spans="1:15" s="149" customFormat="1" ht="11.15" customHeight="1" x14ac:dyDescent="0.3">
      <c r="B4" s="150" t="s">
        <v>123</v>
      </c>
      <c r="D4" s="148"/>
      <c r="H4" s="151">
        <v>0</v>
      </c>
      <c r="I4" s="152">
        <v>1</v>
      </c>
      <c r="J4" s="152">
        <v>1</v>
      </c>
      <c r="K4" s="152">
        <v>1</v>
      </c>
      <c r="L4" s="153">
        <f>AVERAGE(I4:K4)</f>
        <v>1</v>
      </c>
      <c r="M4" s="154">
        <f>STDEV(I4:K4)</f>
        <v>0</v>
      </c>
    </row>
    <row r="5" spans="1:15" s="149" customFormat="1" ht="11.15" customHeight="1" x14ac:dyDescent="0.3">
      <c r="B5" s="150"/>
      <c r="D5" s="148"/>
      <c r="H5" s="151">
        <v>2.5</v>
      </c>
      <c r="I5" s="152">
        <v>1</v>
      </c>
      <c r="J5" s="152">
        <v>1</v>
      </c>
      <c r="K5" s="152">
        <v>1</v>
      </c>
      <c r="L5" s="153">
        <f t="shared" ref="L5:L14" si="0">AVERAGE(I5:K5)</f>
        <v>1</v>
      </c>
      <c r="M5" s="154">
        <f t="shared" ref="M5:M14" si="1">STDEV(I5:K5)</f>
        <v>0</v>
      </c>
    </row>
    <row r="6" spans="1:15" s="149" customFormat="1" ht="11.15" customHeight="1" x14ac:dyDescent="0.3">
      <c r="B6" s="150"/>
      <c r="D6" s="148"/>
      <c r="H6" s="151">
        <v>5.0999999999999996</v>
      </c>
      <c r="I6" s="152">
        <v>1</v>
      </c>
      <c r="J6" s="152">
        <v>1</v>
      </c>
      <c r="K6" s="152">
        <v>1</v>
      </c>
      <c r="L6" s="153">
        <f t="shared" si="0"/>
        <v>1</v>
      </c>
      <c r="M6" s="154">
        <f t="shared" si="1"/>
        <v>0</v>
      </c>
    </row>
    <row r="7" spans="1:15" s="146" customFormat="1" ht="11.15" customHeight="1" x14ac:dyDescent="0.3">
      <c r="B7" s="155" t="s">
        <v>124</v>
      </c>
      <c r="C7" s="156">
        <f>M16</f>
        <v>0</v>
      </c>
      <c r="D7" s="148"/>
      <c r="H7" s="151">
        <v>7.7</v>
      </c>
      <c r="I7" s="152">
        <v>1</v>
      </c>
      <c r="J7" s="152">
        <v>1</v>
      </c>
      <c r="K7" s="152">
        <v>1</v>
      </c>
      <c r="L7" s="153">
        <f t="shared" si="0"/>
        <v>1</v>
      </c>
      <c r="M7" s="154">
        <f t="shared" si="1"/>
        <v>0</v>
      </c>
    </row>
    <row r="8" spans="1:15" s="146" customFormat="1" ht="11.15" customHeight="1" x14ac:dyDescent="0.3">
      <c r="B8" s="155" t="s">
        <v>125</v>
      </c>
      <c r="C8" s="156">
        <v>3</v>
      </c>
      <c r="D8" s="148"/>
      <c r="H8" s="151">
        <v>10.3</v>
      </c>
      <c r="I8" s="152">
        <v>1</v>
      </c>
      <c r="J8" s="152">
        <v>1</v>
      </c>
      <c r="K8" s="152">
        <v>1</v>
      </c>
      <c r="L8" s="153">
        <f t="shared" si="0"/>
        <v>1</v>
      </c>
      <c r="M8" s="154">
        <f t="shared" si="1"/>
        <v>0</v>
      </c>
    </row>
    <row r="9" spans="1:15" s="146" customFormat="1" ht="11.15" customHeight="1" x14ac:dyDescent="0.3">
      <c r="B9" s="155" t="s">
        <v>126</v>
      </c>
      <c r="C9" s="156">
        <v>2.2999999999999998</v>
      </c>
      <c r="D9" s="148"/>
      <c r="H9" s="151">
        <v>12.9</v>
      </c>
      <c r="I9" s="152">
        <v>1</v>
      </c>
      <c r="J9" s="152">
        <v>1</v>
      </c>
      <c r="K9" s="152">
        <v>1</v>
      </c>
      <c r="L9" s="153">
        <f t="shared" si="0"/>
        <v>1</v>
      </c>
      <c r="M9" s="154">
        <f t="shared" si="1"/>
        <v>0</v>
      </c>
    </row>
    <row r="10" spans="1:15" s="146" customFormat="1" ht="11.15" customHeight="1" x14ac:dyDescent="0.3">
      <c r="B10" s="157" t="s">
        <v>127</v>
      </c>
      <c r="C10" s="158">
        <f>((C7/SQRT(C8)))*C9</f>
        <v>0</v>
      </c>
      <c r="D10" s="148"/>
      <c r="H10" s="151">
        <v>15</v>
      </c>
      <c r="I10" s="152">
        <v>1</v>
      </c>
      <c r="J10" s="152">
        <v>1</v>
      </c>
      <c r="K10" s="152">
        <v>1</v>
      </c>
      <c r="L10" s="153">
        <f t="shared" si="0"/>
        <v>1</v>
      </c>
      <c r="M10" s="154">
        <f t="shared" si="1"/>
        <v>0</v>
      </c>
      <c r="N10" s="436"/>
    </row>
    <row r="11" spans="1:15" s="146" customFormat="1" ht="11.15" customHeight="1" x14ac:dyDescent="0.3">
      <c r="C11" s="148"/>
      <c r="D11" s="148"/>
      <c r="H11" s="151">
        <v>17.600000000000001</v>
      </c>
      <c r="I11" s="152">
        <v>1</v>
      </c>
      <c r="J11" s="152">
        <v>1</v>
      </c>
      <c r="K11" s="152">
        <v>1</v>
      </c>
      <c r="L11" s="153">
        <f t="shared" si="0"/>
        <v>1</v>
      </c>
      <c r="M11" s="154">
        <f t="shared" si="1"/>
        <v>0</v>
      </c>
      <c r="N11" s="436"/>
    </row>
    <row r="12" spans="1:15" s="146" customFormat="1" ht="11.15" customHeight="1" x14ac:dyDescent="0.3">
      <c r="C12" s="148"/>
      <c r="D12" s="148"/>
      <c r="H12" s="151">
        <v>20.2</v>
      </c>
      <c r="I12" s="152">
        <v>1</v>
      </c>
      <c r="J12" s="152">
        <v>1</v>
      </c>
      <c r="K12" s="152">
        <v>1</v>
      </c>
      <c r="L12" s="153">
        <f t="shared" si="0"/>
        <v>1</v>
      </c>
      <c r="M12" s="154">
        <f t="shared" si="1"/>
        <v>0</v>
      </c>
      <c r="N12" s="436"/>
    </row>
    <row r="13" spans="1:15" s="146" customFormat="1" ht="11.15" customHeight="1" x14ac:dyDescent="0.3">
      <c r="B13" s="159"/>
      <c r="C13" s="160"/>
      <c r="D13" s="148"/>
      <c r="H13" s="151">
        <v>22.8</v>
      </c>
      <c r="I13" s="152">
        <v>1</v>
      </c>
      <c r="J13" s="152">
        <v>1</v>
      </c>
      <c r="K13" s="152">
        <v>1</v>
      </c>
      <c r="L13" s="153">
        <f t="shared" si="0"/>
        <v>1</v>
      </c>
      <c r="M13" s="154">
        <f t="shared" si="1"/>
        <v>0</v>
      </c>
      <c r="N13" s="161"/>
      <c r="O13" s="161"/>
    </row>
    <row r="14" spans="1:15" s="146" customFormat="1" ht="11.15" customHeight="1" x14ac:dyDescent="0.3">
      <c r="B14" s="162" t="s">
        <v>128</v>
      </c>
      <c r="C14" s="163">
        <f>H14</f>
        <v>25</v>
      </c>
      <c r="D14" s="148"/>
      <c r="H14" s="151">
        <v>25</v>
      </c>
      <c r="I14" s="152">
        <v>1</v>
      </c>
      <c r="J14" s="152">
        <v>1</v>
      </c>
      <c r="K14" s="152">
        <v>1</v>
      </c>
      <c r="L14" s="153">
        <f t="shared" si="0"/>
        <v>1</v>
      </c>
      <c r="M14" s="154">
        <f t="shared" si="1"/>
        <v>0</v>
      </c>
      <c r="N14" s="161"/>
      <c r="O14" s="161"/>
    </row>
    <row r="15" spans="1:15" s="146" customFormat="1" ht="11.15" customHeight="1" x14ac:dyDescent="0.3">
      <c r="D15" s="148"/>
      <c r="H15" s="164"/>
      <c r="I15" s="165"/>
      <c r="J15" s="165"/>
      <c r="K15" s="165"/>
      <c r="L15" s="153"/>
      <c r="M15" s="153"/>
      <c r="N15" s="161"/>
      <c r="O15" s="161"/>
    </row>
    <row r="16" spans="1:15" s="146" customFormat="1" ht="11.15" customHeight="1" x14ac:dyDescent="0.3">
      <c r="D16" s="148"/>
      <c r="H16" s="164"/>
      <c r="I16" s="165"/>
      <c r="J16" s="165"/>
      <c r="K16" s="165"/>
      <c r="L16" s="146" t="s">
        <v>129</v>
      </c>
      <c r="M16" s="161">
        <f>MAX(M4:M14)*1000</f>
        <v>0</v>
      </c>
      <c r="N16" s="161"/>
      <c r="O16" s="161"/>
    </row>
    <row r="17" spans="2:15" s="146" customFormat="1" ht="11.15" customHeight="1" x14ac:dyDescent="0.3">
      <c r="C17" s="148"/>
      <c r="D17" s="148"/>
      <c r="E17" s="159"/>
      <c r="H17" s="164"/>
      <c r="I17" s="165"/>
      <c r="J17" s="165"/>
      <c r="K17" s="165"/>
      <c r="L17" s="153"/>
      <c r="M17" s="153"/>
      <c r="N17" s="161"/>
      <c r="O17" s="161"/>
    </row>
    <row r="18" spans="2:15" s="146" customFormat="1" ht="11.15" customHeight="1" x14ac:dyDescent="0.3">
      <c r="B18" s="425" t="s">
        <v>130</v>
      </c>
      <c r="C18" s="425"/>
      <c r="D18" s="148"/>
      <c r="E18" s="159"/>
      <c r="H18" s="164"/>
      <c r="I18" s="165"/>
      <c r="J18" s="165"/>
      <c r="K18" s="165"/>
      <c r="L18" s="153"/>
      <c r="M18" s="153"/>
      <c r="N18" s="161"/>
      <c r="O18" s="161"/>
    </row>
    <row r="19" spans="2:15" s="146" customFormat="1" ht="11.15" customHeight="1" x14ac:dyDescent="0.3">
      <c r="B19" s="146" t="s">
        <v>131</v>
      </c>
      <c r="C19" s="166">
        <f>H25</f>
        <v>0.35919493314911888</v>
      </c>
      <c r="D19" s="148"/>
      <c r="G19" s="156" t="s">
        <v>132</v>
      </c>
      <c r="H19" s="156" t="s">
        <v>133</v>
      </c>
      <c r="I19" s="167" t="s">
        <v>134</v>
      </c>
      <c r="J19" s="165"/>
      <c r="K19" s="165"/>
      <c r="L19" s="153"/>
      <c r="M19" s="153"/>
      <c r="N19" s="161"/>
      <c r="O19" s="161"/>
    </row>
    <row r="20" spans="2:15" s="146" customFormat="1" ht="11.15" customHeight="1" thickBot="1" x14ac:dyDescent="0.35">
      <c r="B20" s="146" t="s">
        <v>135</v>
      </c>
      <c r="C20" s="166">
        <f>C19/2</f>
        <v>0.17959746657455944</v>
      </c>
      <c r="D20" s="168" t="s">
        <v>136</v>
      </c>
      <c r="E20" s="169"/>
      <c r="F20" s="169"/>
      <c r="G20" s="170" t="s">
        <v>137</v>
      </c>
      <c r="H20" s="156">
        <v>0.12</v>
      </c>
      <c r="I20" s="171">
        <v>0.2</v>
      </c>
      <c r="J20" s="165"/>
      <c r="K20" s="165"/>
      <c r="L20" s="153"/>
      <c r="M20" s="153"/>
      <c r="N20" s="161"/>
      <c r="O20" s="161"/>
    </row>
    <row r="21" spans="2:15" s="146" customFormat="1" ht="11.15" customHeight="1" thickBot="1" x14ac:dyDescent="0.35">
      <c r="B21" s="172" t="s">
        <v>138</v>
      </c>
      <c r="C21" s="173">
        <f>D24/((1)*2*SQRT(3))</f>
        <v>0.23094010767585033</v>
      </c>
      <c r="D21" s="148" t="s">
        <v>139</v>
      </c>
      <c r="E21" s="146" t="s">
        <v>140</v>
      </c>
      <c r="F21" s="146">
        <v>0.8</v>
      </c>
      <c r="G21" s="170" t="s">
        <v>141</v>
      </c>
      <c r="H21" s="156">
        <v>0.05</v>
      </c>
      <c r="I21" s="174">
        <v>0.1</v>
      </c>
      <c r="J21" s="165">
        <v>0</v>
      </c>
      <c r="K21" s="165">
        <v>0</v>
      </c>
      <c r="L21" s="153"/>
      <c r="M21" s="153"/>
      <c r="O21" s="161"/>
    </row>
    <row r="22" spans="2:15" s="146" customFormat="1" ht="11.15" customHeight="1" thickBot="1" x14ac:dyDescent="0.45">
      <c r="B22" s="175" t="s">
        <v>142</v>
      </c>
      <c r="C22" s="176">
        <f>SQRT(C21^2+C20^2)</f>
        <v>0.29255526543429933</v>
      </c>
      <c r="D22" s="148" t="s">
        <v>139</v>
      </c>
      <c r="E22" s="146" t="s">
        <v>143</v>
      </c>
      <c r="F22" s="146">
        <v>2.6</v>
      </c>
      <c r="G22" s="170" t="s">
        <v>144</v>
      </c>
      <c r="H22" s="156">
        <v>0.12</v>
      </c>
      <c r="I22" s="177">
        <v>0.1</v>
      </c>
      <c r="O22" s="161"/>
    </row>
    <row r="23" spans="2:15" s="146" customFormat="1" ht="11.15" customHeight="1" x14ac:dyDescent="0.4">
      <c r="C23" s="148"/>
      <c r="D23" s="148" t="s">
        <v>139</v>
      </c>
      <c r="E23" s="146" t="s">
        <v>145</v>
      </c>
      <c r="F23" s="146">
        <v>4.2</v>
      </c>
      <c r="G23" s="170" t="s">
        <v>108</v>
      </c>
      <c r="H23" s="156">
        <v>0.28000000000000003</v>
      </c>
      <c r="I23" s="156">
        <v>0.09</v>
      </c>
      <c r="O23" s="161"/>
    </row>
    <row r="24" spans="2:15" s="146" customFormat="1" ht="11.15" customHeight="1" x14ac:dyDescent="0.4">
      <c r="C24" s="148"/>
      <c r="D24" s="148">
        <f>IF(C14&lt;=150,F21,IF(C14&lt;=600,F22,F23))</f>
        <v>0.8</v>
      </c>
      <c r="G24" s="170" t="s">
        <v>146</v>
      </c>
      <c r="H24" s="156">
        <v>0.13900000000000001</v>
      </c>
      <c r="I24" s="156">
        <v>7.0000000000000007E-2</v>
      </c>
      <c r="O24" s="161"/>
    </row>
    <row r="25" spans="2:15" s="146" customFormat="1" ht="11.15" customHeight="1" x14ac:dyDescent="0.4">
      <c r="C25" s="148"/>
      <c r="D25" s="148"/>
      <c r="G25" s="178"/>
      <c r="H25" s="146">
        <f>SQRT(H20^2+H21^2+H22^2+H23^2+H24^2)</f>
        <v>0.35919493314911888</v>
      </c>
      <c r="I25" s="148"/>
      <c r="O25" s="161"/>
    </row>
    <row r="26" spans="2:15" s="146" customFormat="1" ht="11.15" customHeight="1" x14ac:dyDescent="0.3">
      <c r="B26" s="179" t="s">
        <v>147</v>
      </c>
      <c r="D26" s="180"/>
      <c r="G26" s="178"/>
      <c r="I26" s="148"/>
      <c r="O26" s="161"/>
    </row>
    <row r="27" spans="2:15" s="146" customFormat="1" ht="11.15" customHeight="1" thickBot="1" x14ac:dyDescent="0.45">
      <c r="B27" s="146" t="s">
        <v>134</v>
      </c>
      <c r="C27" s="148">
        <f>I20</f>
        <v>0.2</v>
      </c>
      <c r="G27" s="178"/>
      <c r="I27" s="148"/>
      <c r="O27" s="161"/>
    </row>
    <row r="28" spans="2:15" s="146" customFormat="1" ht="11.15" customHeight="1" thickBot="1" x14ac:dyDescent="0.45">
      <c r="B28" s="181" t="s">
        <v>148</v>
      </c>
      <c r="C28" s="182">
        <f>C27/SQRT(3)</f>
        <v>0.11547005383792516</v>
      </c>
      <c r="D28" s="183" t="s">
        <v>62</v>
      </c>
      <c r="G28" s="178"/>
      <c r="I28" s="148"/>
      <c r="O28" s="161"/>
    </row>
    <row r="29" spans="2:15" s="146" customFormat="1" ht="11.15" customHeight="1" x14ac:dyDescent="0.3">
      <c r="B29" s="159"/>
      <c r="D29" s="180"/>
      <c r="G29" s="178"/>
      <c r="I29" s="148"/>
      <c r="O29" s="161"/>
    </row>
    <row r="30" spans="2:15" s="146" customFormat="1" ht="11.15" customHeight="1" x14ac:dyDescent="0.3">
      <c r="B30" s="179" t="s">
        <v>149</v>
      </c>
      <c r="D30" s="180"/>
      <c r="G30" s="178"/>
      <c r="I30" s="148"/>
      <c r="O30" s="161"/>
    </row>
    <row r="31" spans="2:15" s="146" customFormat="1" ht="11.15" customHeight="1" thickBot="1" x14ac:dyDescent="0.45">
      <c r="B31" s="146" t="s">
        <v>134</v>
      </c>
      <c r="C31" s="148">
        <f>I21</f>
        <v>0.1</v>
      </c>
      <c r="G31" s="178"/>
      <c r="I31" s="148"/>
      <c r="O31" s="161"/>
    </row>
    <row r="32" spans="2:15" s="146" customFormat="1" ht="11.15" customHeight="1" thickBot="1" x14ac:dyDescent="0.45">
      <c r="B32" s="181" t="s">
        <v>148</v>
      </c>
      <c r="C32" s="182">
        <f>C31/SQRT(3)</f>
        <v>5.7735026918962581E-2</v>
      </c>
      <c r="D32" s="183" t="s">
        <v>62</v>
      </c>
      <c r="G32" s="178"/>
      <c r="I32" s="148"/>
      <c r="O32" s="161"/>
    </row>
    <row r="33" spans="2:15" s="146" customFormat="1" ht="11.15" customHeight="1" x14ac:dyDescent="0.3">
      <c r="B33" s="159"/>
      <c r="D33" s="180"/>
      <c r="G33" s="178"/>
      <c r="I33" s="148"/>
      <c r="O33" s="161"/>
    </row>
    <row r="34" spans="2:15" s="146" customFormat="1" ht="11.15" customHeight="1" x14ac:dyDescent="0.3">
      <c r="B34" s="179" t="s">
        <v>150</v>
      </c>
      <c r="D34" s="180"/>
      <c r="G34" s="178"/>
      <c r="I34" s="148"/>
      <c r="O34" s="161"/>
    </row>
    <row r="35" spans="2:15" s="146" customFormat="1" ht="11.15" customHeight="1" thickBot="1" x14ac:dyDescent="0.45">
      <c r="B35" s="146" t="s">
        <v>134</v>
      </c>
      <c r="C35" s="148">
        <f>I22</f>
        <v>0.1</v>
      </c>
      <c r="G35" s="178"/>
      <c r="I35" s="148"/>
      <c r="O35" s="161"/>
    </row>
    <row r="36" spans="2:15" s="146" customFormat="1" ht="11.15" customHeight="1" thickBot="1" x14ac:dyDescent="0.45">
      <c r="B36" s="181" t="s">
        <v>148</v>
      </c>
      <c r="C36" s="182">
        <f>C35/SQRT(3)</f>
        <v>5.7735026918962581E-2</v>
      </c>
      <c r="D36" s="183" t="s">
        <v>62</v>
      </c>
      <c r="G36" s="178"/>
      <c r="I36" s="148"/>
      <c r="O36" s="161"/>
    </row>
    <row r="37" spans="2:15" s="146" customFormat="1" ht="11.15" customHeight="1" x14ac:dyDescent="0.3">
      <c r="B37" s="159"/>
      <c r="D37" s="180"/>
      <c r="G37" s="178"/>
      <c r="I37" s="148"/>
      <c r="O37" s="161"/>
    </row>
    <row r="38" spans="2:15" s="146" customFormat="1" ht="11.15" customHeight="1" x14ac:dyDescent="0.3">
      <c r="B38" s="179" t="s">
        <v>151</v>
      </c>
      <c r="D38" s="180"/>
      <c r="G38" s="178"/>
      <c r="I38" s="148"/>
      <c r="O38" s="161"/>
    </row>
    <row r="39" spans="2:15" s="146" customFormat="1" ht="11.15" customHeight="1" thickBot="1" x14ac:dyDescent="0.45">
      <c r="B39" s="146" t="s">
        <v>134</v>
      </c>
      <c r="C39" s="148">
        <f>I23</f>
        <v>0.09</v>
      </c>
      <c r="G39" s="178"/>
      <c r="I39" s="148"/>
      <c r="O39" s="161"/>
    </row>
    <row r="40" spans="2:15" s="146" customFormat="1" ht="11.15" customHeight="1" thickBot="1" x14ac:dyDescent="0.45">
      <c r="B40" s="181" t="s">
        <v>148</v>
      </c>
      <c r="C40" s="182">
        <f>C39/SQRT(3)</f>
        <v>5.1961524227066319E-2</v>
      </c>
      <c r="D40" s="183" t="s">
        <v>62</v>
      </c>
      <c r="G40" s="178"/>
      <c r="I40" s="148"/>
      <c r="O40" s="161"/>
    </row>
    <row r="41" spans="2:15" s="146" customFormat="1" ht="11.15" customHeight="1" x14ac:dyDescent="0.3">
      <c r="B41" s="159"/>
      <c r="D41" s="180"/>
      <c r="G41" s="178"/>
      <c r="I41" s="148"/>
      <c r="O41" s="161"/>
    </row>
    <row r="42" spans="2:15" s="146" customFormat="1" ht="11.15" customHeight="1" x14ac:dyDescent="0.3">
      <c r="B42" s="179" t="s">
        <v>152</v>
      </c>
      <c r="D42" s="180"/>
      <c r="G42" s="178"/>
      <c r="I42" s="148"/>
      <c r="O42" s="161"/>
    </row>
    <row r="43" spans="2:15" s="146" customFormat="1" ht="11.15" customHeight="1" thickBot="1" x14ac:dyDescent="0.45">
      <c r="B43" s="146" t="s">
        <v>134</v>
      </c>
      <c r="C43" s="148">
        <f>I24</f>
        <v>7.0000000000000007E-2</v>
      </c>
      <c r="G43" s="178"/>
      <c r="I43" s="148"/>
      <c r="O43" s="161"/>
    </row>
    <row r="44" spans="2:15" s="146" customFormat="1" ht="11.15" customHeight="1" thickBot="1" x14ac:dyDescent="0.45">
      <c r="B44" s="181" t="s">
        <v>148</v>
      </c>
      <c r="C44" s="182">
        <f>C43/SQRT(3)</f>
        <v>4.0414518843273808E-2</v>
      </c>
      <c r="D44" s="183" t="s">
        <v>62</v>
      </c>
      <c r="G44" s="178"/>
      <c r="I44" s="148"/>
      <c r="O44" s="161"/>
    </row>
    <row r="45" spans="2:15" s="146" customFormat="1" ht="11.15" customHeight="1" x14ac:dyDescent="0.4">
      <c r="D45" s="148"/>
      <c r="O45" s="161"/>
    </row>
    <row r="46" spans="2:15" s="146" customFormat="1" ht="11.15" customHeight="1" x14ac:dyDescent="0.4">
      <c r="B46" s="437" t="s">
        <v>153</v>
      </c>
      <c r="C46" s="437"/>
      <c r="D46" s="148" t="s">
        <v>133</v>
      </c>
      <c r="O46" s="161"/>
    </row>
    <row r="47" spans="2:15" s="146" customFormat="1" ht="11.15" customHeight="1" x14ac:dyDescent="0.4">
      <c r="B47" s="184" t="s">
        <v>154</v>
      </c>
      <c r="C47" s="185">
        <v>2</v>
      </c>
      <c r="D47" s="186">
        <f>C47/SQRT(3)</f>
        <v>1.1547005383792517</v>
      </c>
      <c r="E47" s="187"/>
      <c r="O47" s="161"/>
    </row>
    <row r="48" spans="2:15" s="146" customFormat="1" ht="11.15" customHeight="1" x14ac:dyDescent="0.4">
      <c r="B48" s="184" t="s">
        <v>155</v>
      </c>
      <c r="C48" s="186">
        <v>2</v>
      </c>
      <c r="D48" s="186">
        <f>C48/SQRT(3)</f>
        <v>1.1547005383792517</v>
      </c>
      <c r="E48" s="187"/>
      <c r="O48" s="161"/>
    </row>
    <row r="49" spans="2:16" s="146" customFormat="1" ht="11.15" customHeight="1" x14ac:dyDescent="0.4">
      <c r="B49" s="184" t="s">
        <v>156</v>
      </c>
      <c r="C49" s="185">
        <v>0.2</v>
      </c>
      <c r="D49" s="186">
        <f>C49/2</f>
        <v>0.1</v>
      </c>
      <c r="E49" s="187"/>
      <c r="O49" s="161"/>
    </row>
    <row r="50" spans="2:16" s="146" customFormat="1" ht="11.15" customHeight="1" x14ac:dyDescent="0.4">
      <c r="B50" s="184" t="s">
        <v>157</v>
      </c>
      <c r="C50" s="185">
        <v>0.5</v>
      </c>
      <c r="D50" s="186">
        <f>C50/SQRT(3)</f>
        <v>0.28867513459481292</v>
      </c>
      <c r="E50" s="187"/>
      <c r="O50" s="161"/>
    </row>
    <row r="51" spans="2:16" s="146" customFormat="1" ht="11.15" customHeight="1" x14ac:dyDescent="0.5">
      <c r="B51" s="184"/>
      <c r="C51" s="188" t="s">
        <v>133</v>
      </c>
      <c r="D51" s="186">
        <f>SQRT(POWER(D50,2)+POWER(D49,2))</f>
        <v>0.30550504633038938</v>
      </c>
      <c r="E51" s="187"/>
      <c r="F51" s="189"/>
      <c r="G51" s="189"/>
      <c r="H51" s="190"/>
      <c r="I51" s="189"/>
      <c r="J51" s="180"/>
      <c r="K51" s="180"/>
      <c r="L51" s="189"/>
      <c r="M51" s="189"/>
      <c r="N51" s="189"/>
      <c r="O51" s="180"/>
      <c r="P51" s="180"/>
    </row>
    <row r="52" spans="2:16" s="146" customFormat="1" ht="11.15" customHeight="1" x14ac:dyDescent="0.5">
      <c r="B52" s="184" t="s">
        <v>158</v>
      </c>
      <c r="C52" s="185">
        <v>0.5</v>
      </c>
      <c r="D52" s="186">
        <f>C52/SQRT(3)</f>
        <v>0.28867513459481292</v>
      </c>
      <c r="E52" s="187"/>
      <c r="F52" s="189"/>
      <c r="G52" s="438" t="s">
        <v>87</v>
      </c>
      <c r="H52" s="438"/>
      <c r="I52" s="438"/>
      <c r="J52" s="438"/>
      <c r="K52" s="191"/>
      <c r="L52" s="438" t="s">
        <v>88</v>
      </c>
      <c r="M52" s="438"/>
      <c r="N52" s="438"/>
      <c r="O52" s="438"/>
      <c r="P52" s="438"/>
    </row>
    <row r="53" spans="2:16" s="146" customFormat="1" ht="11.15" customHeight="1" x14ac:dyDescent="0.3">
      <c r="B53" s="184" t="s">
        <v>159</v>
      </c>
      <c r="C53" s="185">
        <v>11.8</v>
      </c>
      <c r="D53" s="166"/>
      <c r="E53" s="187"/>
      <c r="F53" s="180"/>
      <c r="G53" s="192" t="s">
        <v>89</v>
      </c>
      <c r="H53" s="193">
        <v>0</v>
      </c>
      <c r="I53" s="192" t="s">
        <v>90</v>
      </c>
      <c r="J53" s="193">
        <v>0</v>
      </c>
      <c r="K53" s="191"/>
      <c r="L53" s="192" t="s">
        <v>91</v>
      </c>
      <c r="M53" s="193">
        <v>0</v>
      </c>
      <c r="N53" s="193">
        <v>0</v>
      </c>
      <c r="O53" s="193">
        <v>0</v>
      </c>
      <c r="P53" s="193">
        <v>0</v>
      </c>
    </row>
    <row r="54" spans="2:16" s="146" customFormat="1" ht="11.15" customHeight="1" x14ac:dyDescent="0.3">
      <c r="B54" s="184" t="s">
        <v>160</v>
      </c>
      <c r="C54" s="185">
        <v>11.8</v>
      </c>
      <c r="D54" s="166"/>
      <c r="E54" s="187"/>
      <c r="F54" s="180"/>
      <c r="G54" s="180"/>
      <c r="H54" s="180"/>
      <c r="I54" s="180"/>
      <c r="J54" s="180"/>
      <c r="K54" s="180"/>
      <c r="L54" s="180"/>
      <c r="M54" s="180"/>
      <c r="N54" s="180"/>
      <c r="O54" s="180"/>
      <c r="P54" s="180"/>
    </row>
    <row r="55" spans="2:16" s="146" customFormat="1" ht="11.15" customHeight="1" x14ac:dyDescent="0.3">
      <c r="B55" s="184" t="s">
        <v>161</v>
      </c>
      <c r="C55" s="186">
        <f>(C53+C54)/2</f>
        <v>11.8</v>
      </c>
      <c r="D55" s="166"/>
      <c r="E55" s="187"/>
      <c r="F55" s="180"/>
      <c r="G55" s="180"/>
      <c r="H55" s="180"/>
      <c r="I55" s="180"/>
      <c r="J55" s="194">
        <f>MAX(H53,J53)</f>
        <v>0</v>
      </c>
      <c r="K55" s="180"/>
      <c r="L55" s="194">
        <f>MAX(M53,N53,O53,P53)</f>
        <v>0</v>
      </c>
      <c r="M55" s="180"/>
      <c r="N55" s="180"/>
      <c r="O55" s="180"/>
      <c r="P55" s="180"/>
    </row>
    <row r="56" spans="2:16" s="146" customFormat="1" ht="11.15" customHeight="1" x14ac:dyDescent="0.4">
      <c r="B56" s="184" t="s">
        <v>162</v>
      </c>
      <c r="C56" s="185">
        <v>20</v>
      </c>
      <c r="D56" s="166"/>
      <c r="E56" s="187"/>
    </row>
    <row r="57" spans="2:16" s="146" customFormat="1" ht="11.15" customHeight="1" x14ac:dyDescent="0.4">
      <c r="B57" s="184" t="s">
        <v>163</v>
      </c>
      <c r="C57" s="186">
        <f>C14/1000</f>
        <v>2.5000000000000001E-2</v>
      </c>
      <c r="D57" s="166"/>
      <c r="E57" s="187"/>
    </row>
    <row r="58" spans="2:16" s="146" customFormat="1" ht="16.5" customHeight="1" x14ac:dyDescent="0.4">
      <c r="C58" s="166"/>
      <c r="D58" s="166"/>
      <c r="E58" s="187"/>
      <c r="H58" s="195"/>
      <c r="I58" s="195"/>
    </row>
    <row r="59" spans="2:16" s="146" customFormat="1" ht="15" customHeight="1" x14ac:dyDescent="0.25">
      <c r="B59" s="184" t="s">
        <v>164</v>
      </c>
      <c r="C59" s="196">
        <f>(C57*C50*D48)/SQRT(3)</f>
        <v>8.333333333333335E-3</v>
      </c>
      <c r="D59" s="197">
        <f>C59*SQRT(3)</f>
        <v>1.4433756729740645E-2</v>
      </c>
      <c r="E59" s="187"/>
      <c r="F59" s="432"/>
      <c r="G59" s="432"/>
      <c r="H59" s="198"/>
      <c r="I59" s="198"/>
      <c r="J59" s="198"/>
      <c r="K59" s="198"/>
      <c r="L59" s="198"/>
      <c r="M59" s="198"/>
    </row>
    <row r="60" spans="2:16" s="146" customFormat="1" ht="12" customHeight="1" thickBot="1" x14ac:dyDescent="0.3">
      <c r="C60" s="166"/>
      <c r="D60" s="197"/>
      <c r="E60" s="187"/>
      <c r="F60" s="433"/>
      <c r="G60" s="433"/>
      <c r="H60" s="198"/>
      <c r="I60" s="432"/>
      <c r="J60" s="432"/>
      <c r="K60" s="432"/>
      <c r="L60" s="432"/>
      <c r="M60" s="432"/>
    </row>
    <row r="61" spans="2:16" s="146" customFormat="1" ht="13.5" customHeight="1" thickBot="1" x14ac:dyDescent="0.3">
      <c r="B61" s="199" t="s">
        <v>165</v>
      </c>
      <c r="C61" s="200">
        <f>(C57*C55*C50)/(SQRT(3))</f>
        <v>8.5159164705469817E-2</v>
      </c>
      <c r="D61" s="197">
        <f>C61*SQRT(3)</f>
        <v>0.14750000000000002</v>
      </c>
      <c r="E61" s="187"/>
      <c r="F61" s="433"/>
      <c r="G61" s="433"/>
      <c r="H61" s="198"/>
      <c r="I61" s="201"/>
      <c r="J61" s="201"/>
      <c r="K61" s="202"/>
      <c r="L61" s="434"/>
      <c r="M61" s="434"/>
    </row>
    <row r="62" spans="2:16" s="146" customFormat="1" ht="15" customHeight="1" thickBot="1" x14ac:dyDescent="0.3">
      <c r="C62" s="166"/>
      <c r="D62" s="186"/>
      <c r="E62" s="187"/>
      <c r="F62" s="433"/>
      <c r="G62" s="433"/>
      <c r="H62" s="198"/>
      <c r="I62" s="201"/>
      <c r="J62" s="201"/>
      <c r="K62" s="202"/>
      <c r="L62" s="434"/>
      <c r="M62" s="434"/>
    </row>
    <row r="63" spans="2:16" s="146" customFormat="1" ht="15" customHeight="1" x14ac:dyDescent="0.3">
      <c r="B63" s="204" t="s">
        <v>166</v>
      </c>
      <c r="C63" s="205">
        <f>C57*D48*D51</f>
        <v>8.8191710368819721E-3</v>
      </c>
      <c r="D63" s="186">
        <f>C63/SQRT(3)</f>
        <v>5.0917507721731578E-3</v>
      </c>
      <c r="E63" s="187"/>
      <c r="F63" s="164"/>
      <c r="G63" s="164"/>
      <c r="H63" s="198"/>
      <c r="I63" s="201"/>
      <c r="J63" s="201"/>
      <c r="K63" s="202"/>
      <c r="L63" s="203"/>
      <c r="M63" s="164"/>
    </row>
    <row r="64" spans="2:16" s="146" customFormat="1" ht="16.5" customHeight="1" x14ac:dyDescent="0.3">
      <c r="B64" s="184" t="s">
        <v>167</v>
      </c>
      <c r="C64" s="196">
        <f>C57*D47*D52</f>
        <v>8.3333333333333367E-3</v>
      </c>
      <c r="D64" s="186">
        <f>C64/SQRT(3)</f>
        <v>4.8112522432468838E-3</v>
      </c>
      <c r="E64" s="187"/>
      <c r="F64" s="164"/>
      <c r="G64" s="164"/>
      <c r="H64" s="198"/>
      <c r="I64" s="206"/>
      <c r="J64" s="164"/>
      <c r="K64" s="203"/>
      <c r="L64" s="203"/>
      <c r="M64" s="164"/>
    </row>
    <row r="65" spans="2:13" s="146" customFormat="1" ht="17.25" customHeight="1" thickBot="1" x14ac:dyDescent="0.35">
      <c r="C65" s="166"/>
      <c r="D65" s="166"/>
      <c r="E65" s="187"/>
      <c r="F65" s="164"/>
      <c r="G65" s="164"/>
      <c r="H65" s="198"/>
      <c r="I65" s="206"/>
      <c r="J65" s="164"/>
      <c r="K65" s="203"/>
      <c r="L65" s="203"/>
      <c r="M65" s="164"/>
    </row>
    <row r="66" spans="2:13" s="148" customFormat="1" ht="15" customHeight="1" thickBot="1" x14ac:dyDescent="0.35">
      <c r="B66" s="207" t="s">
        <v>168</v>
      </c>
      <c r="C66" s="176">
        <f>SQRT(POWER(C59,2)+POWER(C61,2)+POWER(D63,2)+POWER(D64,2))</f>
        <v>8.5852209359176396E-2</v>
      </c>
      <c r="D66" s="166"/>
      <c r="E66" s="166"/>
      <c r="F66" s="164"/>
      <c r="G66" s="164"/>
      <c r="H66" s="208"/>
      <c r="I66" s="206"/>
      <c r="J66" s="164"/>
      <c r="K66" s="203"/>
      <c r="L66" s="203"/>
      <c r="M66" s="164"/>
    </row>
    <row r="67" spans="2:13" s="148" customFormat="1" ht="11.15" customHeight="1" x14ac:dyDescent="0.3">
      <c r="F67" s="164"/>
      <c r="G67" s="164"/>
      <c r="H67" s="208"/>
      <c r="I67" s="206"/>
      <c r="J67" s="164"/>
      <c r="K67" s="203"/>
      <c r="L67" s="203"/>
      <c r="M67" s="164"/>
    </row>
    <row r="68" spans="2:13" s="148" customFormat="1" ht="11.15" customHeight="1" x14ac:dyDescent="0.4">
      <c r="F68" s="208"/>
      <c r="G68" s="208"/>
      <c r="H68" s="208"/>
      <c r="I68" s="208"/>
      <c r="J68" s="208"/>
      <c r="K68" s="208"/>
      <c r="L68" s="208"/>
      <c r="M68" s="208"/>
    </row>
    <row r="69" spans="2:13" s="148" customFormat="1" ht="11.15" customHeight="1" x14ac:dyDescent="0.4"/>
    <row r="70" spans="2:13" s="148" customFormat="1" ht="11.15" customHeight="1" x14ac:dyDescent="0.4">
      <c r="B70" s="425" t="s">
        <v>169</v>
      </c>
      <c r="C70" s="425"/>
    </row>
    <row r="71" spans="2:13" s="148" customFormat="1" ht="11.15" customHeight="1" x14ac:dyDescent="0.4"/>
    <row r="72" spans="2:13" s="148" customFormat="1" ht="11.15" customHeight="1" x14ac:dyDescent="0.4">
      <c r="B72" s="148" t="s">
        <v>170</v>
      </c>
      <c r="C72" s="209">
        <v>0</v>
      </c>
    </row>
    <row r="73" spans="2:13" s="148" customFormat="1" ht="11.15" customHeight="1" x14ac:dyDescent="0.4">
      <c r="B73" s="208" t="s">
        <v>171</v>
      </c>
      <c r="C73" s="210" t="str">
        <f>[4]Datos!J12</f>
        <v/>
      </c>
    </row>
    <row r="74" spans="2:13" s="148" customFormat="1" ht="11.15" customHeight="1" thickBot="1" x14ac:dyDescent="0.45">
      <c r="C74" s="211"/>
    </row>
    <row r="75" spans="2:13" s="148" customFormat="1" ht="11.15" customHeight="1" thickBot="1" x14ac:dyDescent="0.45">
      <c r="B75" s="207" t="s">
        <v>172</v>
      </c>
      <c r="C75" s="176">
        <f>(C72)/(2*SQRT(3))</f>
        <v>0</v>
      </c>
    </row>
    <row r="76" spans="2:13" s="148" customFormat="1" ht="11.15" customHeight="1" x14ac:dyDescent="0.4"/>
    <row r="77" spans="2:13" s="148" customFormat="1" ht="11.15" customHeight="1" x14ac:dyDescent="0.4">
      <c r="B77" s="178" t="s">
        <v>173</v>
      </c>
    </row>
    <row r="78" spans="2:13" s="148" customFormat="1" ht="11.15" customHeight="1" thickBot="1" x14ac:dyDescent="0.45">
      <c r="B78" s="148" t="s">
        <v>174</v>
      </c>
      <c r="C78" s="148">
        <f>J55</f>
        <v>0</v>
      </c>
    </row>
    <row r="79" spans="2:13" s="148" customFormat="1" ht="11.15" customHeight="1" thickBot="1" x14ac:dyDescent="0.45">
      <c r="B79" s="207" t="s">
        <v>175</v>
      </c>
      <c r="C79" s="176">
        <f>C78/SQRT(6)</f>
        <v>0</v>
      </c>
    </row>
    <row r="80" spans="2:13" s="148" customFormat="1" ht="11.15" customHeight="1" thickBot="1" x14ac:dyDescent="0.45"/>
    <row r="81" spans="2:14" s="148" customFormat="1" ht="11.15" customHeight="1" thickTop="1" x14ac:dyDescent="0.4">
      <c r="B81" s="178" t="s">
        <v>176</v>
      </c>
      <c r="I81" s="212" t="s">
        <v>177</v>
      </c>
      <c r="J81" s="213"/>
      <c r="K81" s="213" t="s">
        <v>178</v>
      </c>
      <c r="L81" s="214"/>
      <c r="M81" s="213"/>
      <c r="N81" s="215"/>
    </row>
    <row r="82" spans="2:14" s="148" customFormat="1" ht="11.15" customHeight="1" thickBot="1" x14ac:dyDescent="0.45">
      <c r="B82" s="148" t="s">
        <v>179</v>
      </c>
      <c r="C82" s="148">
        <f>L55</f>
        <v>0</v>
      </c>
      <c r="I82" s="216"/>
      <c r="J82" s="217"/>
      <c r="K82" s="218" t="s">
        <v>180</v>
      </c>
      <c r="L82" s="219">
        <f>C83</f>
        <v>0</v>
      </c>
      <c r="M82" s="217" t="s">
        <v>62</v>
      </c>
      <c r="N82" s="220"/>
    </row>
    <row r="83" spans="2:14" s="148" customFormat="1" ht="11.15" customHeight="1" thickBot="1" x14ac:dyDescent="0.45">
      <c r="B83" s="207" t="s">
        <v>181</v>
      </c>
      <c r="C83" s="176">
        <f>C82/SQRT(6)</f>
        <v>0</v>
      </c>
      <c r="I83" s="216" t="s">
        <v>182</v>
      </c>
      <c r="J83" s="217"/>
      <c r="K83" s="218" t="s">
        <v>183</v>
      </c>
      <c r="L83" s="219">
        <f>C22</f>
        <v>0.29255526543429933</v>
      </c>
      <c r="M83" s="217" t="s">
        <v>62</v>
      </c>
      <c r="N83" s="220"/>
    </row>
    <row r="84" spans="2:14" s="146" customFormat="1" ht="11.15" customHeight="1" x14ac:dyDescent="0.4">
      <c r="C84" s="148"/>
      <c r="D84" s="148"/>
      <c r="I84" s="221">
        <f>C10</f>
        <v>0</v>
      </c>
      <c r="J84" s="217" t="s">
        <v>62</v>
      </c>
      <c r="K84" s="218" t="s">
        <v>153</v>
      </c>
      <c r="L84" s="219">
        <f>C66</f>
        <v>8.5852209359176396E-2</v>
      </c>
      <c r="M84" s="217" t="s">
        <v>62</v>
      </c>
      <c r="N84" s="222"/>
    </row>
    <row r="85" spans="2:14" s="148" customFormat="1" ht="11.15" customHeight="1" x14ac:dyDescent="0.4">
      <c r="B85" s="178" t="s">
        <v>184</v>
      </c>
      <c r="D85" s="146"/>
      <c r="E85" s="146"/>
      <c r="F85" s="146" t="s">
        <v>185</v>
      </c>
      <c r="G85" s="146"/>
      <c r="H85" s="146"/>
      <c r="I85" s="216" t="s">
        <v>186</v>
      </c>
      <c r="J85" s="217"/>
      <c r="K85" s="218" t="s">
        <v>60</v>
      </c>
      <c r="L85" s="219">
        <f>C79</f>
        <v>0</v>
      </c>
      <c r="M85" s="217" t="s">
        <v>62</v>
      </c>
      <c r="N85" s="220"/>
    </row>
    <row r="86" spans="2:14" s="148" customFormat="1" ht="11.15" customHeight="1" x14ac:dyDescent="0.4">
      <c r="B86" s="148" t="s">
        <v>187</v>
      </c>
      <c r="C86" s="223">
        <f>C72/4</f>
        <v>0</v>
      </c>
      <c r="D86" s="146"/>
      <c r="E86" s="146"/>
      <c r="F86" s="426" t="s">
        <v>188</v>
      </c>
      <c r="G86" s="426"/>
      <c r="H86" s="427"/>
      <c r="I86" s="221">
        <f>C75</f>
        <v>0</v>
      </c>
      <c r="J86" s="217" t="s">
        <v>62</v>
      </c>
      <c r="K86" s="219" t="s">
        <v>189</v>
      </c>
      <c r="L86" s="224">
        <f>C87</f>
        <v>0</v>
      </c>
      <c r="M86" s="217" t="s">
        <v>62</v>
      </c>
      <c r="N86" s="222"/>
    </row>
    <row r="87" spans="2:14" s="148" customFormat="1" ht="11.15" customHeight="1" x14ac:dyDescent="0.4">
      <c r="B87" s="158" t="s">
        <v>181</v>
      </c>
      <c r="C87" s="158">
        <f>C86/SQRT(3)</f>
        <v>0</v>
      </c>
      <c r="D87" s="146"/>
      <c r="E87" s="146"/>
      <c r="F87" s="426"/>
      <c r="G87" s="426"/>
      <c r="H87" s="427"/>
      <c r="I87" s="216"/>
      <c r="J87" s="217"/>
      <c r="K87" s="225"/>
      <c r="L87" s="225"/>
      <c r="M87" s="217"/>
      <c r="N87" s="222"/>
    </row>
    <row r="88" spans="2:14" s="148" customFormat="1" ht="11.15" customHeight="1" x14ac:dyDescent="0.4">
      <c r="D88" s="146"/>
      <c r="E88" s="146"/>
      <c r="F88" s="146"/>
      <c r="G88" s="146"/>
      <c r="H88" s="146"/>
      <c r="I88" s="216" t="s">
        <v>190</v>
      </c>
      <c r="J88" s="223">
        <f>SQRT(I84^2+I86^2)</f>
        <v>0</v>
      </c>
      <c r="K88" s="226" t="s">
        <v>190</v>
      </c>
      <c r="L88" s="223">
        <f>SQRT(L83^2+L84^2+L85^2+L82^2+L86^2)</f>
        <v>0.30489208777071469</v>
      </c>
      <c r="M88" s="224"/>
      <c r="N88" s="222"/>
    </row>
    <row r="89" spans="2:14" s="148" customFormat="1" ht="11.15" customHeight="1" x14ac:dyDescent="0.4">
      <c r="B89" s="227" t="s">
        <v>191</v>
      </c>
      <c r="C89" s="227">
        <f>SQRT(POWER(C75,2) + POWER(C66,2) + POWER(C10,2) +POWER(C83,2) + POWER(C87,2) + POWER(C22,2) + POWER(C79,2)+ POWER(C28,2)+ POWER(C32,2)+ POWER(C36,2)+ POWER(C40,2)+ POWER(C44,2))</f>
        <v>0.34247995345497012</v>
      </c>
      <c r="I89" s="216" t="s">
        <v>192</v>
      </c>
      <c r="J89" s="223">
        <f>J88*2</f>
        <v>0</v>
      </c>
      <c r="K89" s="217" t="s">
        <v>192</v>
      </c>
      <c r="L89" s="223">
        <f>L88*2</f>
        <v>0.60978417554142939</v>
      </c>
      <c r="M89" s="224"/>
      <c r="N89" s="222"/>
    </row>
    <row r="90" spans="2:14" s="146" customFormat="1" ht="11.15" customHeight="1" thickBot="1" x14ac:dyDescent="0.45">
      <c r="C90" s="148"/>
      <c r="D90" s="148"/>
      <c r="I90" s="216"/>
      <c r="J90" s="217"/>
      <c r="K90" s="223"/>
      <c r="L90" s="225"/>
      <c r="M90" s="217"/>
      <c r="N90" s="222"/>
    </row>
    <row r="91" spans="2:14" s="146" customFormat="1" ht="11.15" customHeight="1" thickBot="1" x14ac:dyDescent="0.45">
      <c r="B91" s="228" t="s">
        <v>193</v>
      </c>
      <c r="C91" s="229">
        <f>C89*2</f>
        <v>0.68495990690994024</v>
      </c>
      <c r="D91" s="148"/>
      <c r="I91" s="216"/>
      <c r="J91" s="230" t="s">
        <v>194</v>
      </c>
      <c r="K91" s="231">
        <f>SQRT(J89^2+L89^2)</f>
        <v>0.60978417554142939</v>
      </c>
      <c r="L91" s="217" t="s">
        <v>62</v>
      </c>
      <c r="M91" s="232"/>
      <c r="N91" s="222"/>
    </row>
    <row r="92" spans="2:14" s="146" customFormat="1" ht="11.15" customHeight="1" x14ac:dyDescent="0.4">
      <c r="C92" s="148"/>
      <c r="D92" s="148"/>
      <c r="I92" s="216"/>
      <c r="J92" s="217"/>
      <c r="K92" s="225"/>
      <c r="L92" s="225"/>
      <c r="M92" s="217"/>
      <c r="N92" s="222"/>
    </row>
    <row r="93" spans="2:14" s="146" customFormat="1" ht="11.15" hidden="1" customHeight="1" x14ac:dyDescent="0.4">
      <c r="C93" s="148"/>
      <c r="D93" s="148"/>
      <c r="I93" s="233"/>
      <c r="J93" s="234"/>
      <c r="K93" s="235"/>
      <c r="L93" s="225"/>
      <c r="M93" s="217"/>
      <c r="N93" s="236"/>
    </row>
    <row r="94" spans="2:14" ht="11.15" hidden="1" customHeight="1" x14ac:dyDescent="0.4">
      <c r="I94" s="233"/>
      <c r="J94" s="234"/>
      <c r="K94" s="235"/>
      <c r="L94" s="225"/>
      <c r="M94" s="217"/>
      <c r="N94" s="236"/>
    </row>
    <row r="95" spans="2:14" ht="11.15" hidden="1" customHeight="1" x14ac:dyDescent="0.4">
      <c r="C95" s="142" t="s">
        <v>195</v>
      </c>
      <c r="D95" s="143" t="s">
        <v>196</v>
      </c>
      <c r="I95" s="237"/>
      <c r="J95" s="146"/>
      <c r="K95" s="146"/>
      <c r="L95" s="146"/>
      <c r="M95" s="146"/>
      <c r="N95" s="236"/>
    </row>
    <row r="96" spans="2:14" ht="11.15" hidden="1" customHeight="1" x14ac:dyDescent="0.4">
      <c r="B96" s="141" t="s">
        <v>197</v>
      </c>
      <c r="C96" s="142">
        <v>5.8</v>
      </c>
      <c r="D96" s="143">
        <v>0</v>
      </c>
      <c r="I96" s="237"/>
      <c r="J96" s="146"/>
      <c r="K96" s="146"/>
      <c r="L96" s="146"/>
      <c r="M96" s="146"/>
      <c r="N96" s="236"/>
    </row>
    <row r="97" spans="1:14" ht="11.15" hidden="1" customHeight="1" x14ac:dyDescent="0.4">
      <c r="B97" s="141" t="s">
        <v>198</v>
      </c>
      <c r="C97" s="142">
        <v>24</v>
      </c>
      <c r="D97" s="143">
        <v>1500</v>
      </c>
      <c r="I97" s="237"/>
      <c r="J97" s="238"/>
      <c r="K97" s="146"/>
      <c r="L97" s="238"/>
      <c r="M97" s="187"/>
      <c r="N97" s="236"/>
    </row>
    <row r="98" spans="1:14" ht="11.15" hidden="1" customHeight="1" x14ac:dyDescent="0.4">
      <c r="B98" s="141" t="s">
        <v>199</v>
      </c>
      <c r="C98" s="239">
        <f>C97-C96</f>
        <v>18.2</v>
      </c>
      <c r="D98" s="240">
        <f>D97-D96</f>
        <v>1500</v>
      </c>
      <c r="I98" s="237" t="s">
        <v>200</v>
      </c>
      <c r="J98" s="146"/>
      <c r="K98" s="146" t="s">
        <v>201</v>
      </c>
      <c r="L98" s="146"/>
      <c r="M98" s="146"/>
      <c r="N98" s="236"/>
    </row>
    <row r="99" spans="1:14" ht="11.15" hidden="1" customHeight="1" x14ac:dyDescent="0.4">
      <c r="B99" s="241" t="s">
        <v>202</v>
      </c>
      <c r="C99" s="142">
        <f>C96-C98*D96/D98</f>
        <v>5.8</v>
      </c>
      <c r="I99" s="242">
        <f>C17</f>
        <v>0</v>
      </c>
      <c r="J99" s="146"/>
      <c r="K99" s="146">
        <f>C54</f>
        <v>11.8</v>
      </c>
      <c r="L99" s="146"/>
      <c r="M99" s="146" t="s">
        <v>203</v>
      </c>
      <c r="N99" s="236">
        <v>1.02</v>
      </c>
    </row>
    <row r="100" spans="1:14" ht="11.15" hidden="1" customHeight="1" x14ac:dyDescent="0.4">
      <c r="I100" s="237">
        <f>C87</f>
        <v>0</v>
      </c>
      <c r="J100" s="146"/>
      <c r="K100" s="146" t="str">
        <f>C73</f>
        <v/>
      </c>
      <c r="L100" s="146"/>
      <c r="M100" s="149"/>
      <c r="N100" s="236"/>
    </row>
    <row r="101" spans="1:14" ht="11.15" hidden="1" customHeight="1" x14ac:dyDescent="0.4">
      <c r="B101" s="243" t="s">
        <v>202</v>
      </c>
      <c r="C101" s="239">
        <f>C99</f>
        <v>5.8</v>
      </c>
      <c r="I101" s="237"/>
      <c r="J101" s="146"/>
      <c r="K101" s="146">
        <f>E54</f>
        <v>0</v>
      </c>
      <c r="L101" s="146"/>
      <c r="M101" s="146" t="s">
        <v>204</v>
      </c>
      <c r="N101" s="236">
        <v>2.4</v>
      </c>
    </row>
    <row r="102" spans="1:14" ht="11.15" hidden="1" customHeight="1" x14ac:dyDescent="0.4">
      <c r="B102" s="243" t="s">
        <v>205</v>
      </c>
      <c r="C102" s="142">
        <f>C98/D98</f>
        <v>1.2133333333333333E-2</v>
      </c>
      <c r="I102" s="237">
        <f>SQRT(I100^2+I99^2)</f>
        <v>0</v>
      </c>
      <c r="J102" s="146"/>
      <c r="K102" s="146" t="e">
        <f>SQRT(K100^2+K99^2+K101^2)</f>
        <v>#VALUE!</v>
      </c>
      <c r="L102" s="146"/>
      <c r="M102" s="146"/>
      <c r="N102" s="236"/>
    </row>
    <row r="103" spans="1:14" ht="11.15" hidden="1" customHeight="1" x14ac:dyDescent="0.4">
      <c r="B103" s="243" t="s">
        <v>206</v>
      </c>
      <c r="C103" s="142">
        <v>1500</v>
      </c>
      <c r="I103" s="237">
        <f>I102*2</f>
        <v>0</v>
      </c>
      <c r="J103" s="146"/>
      <c r="K103" s="146" t="e">
        <f>K102*2</f>
        <v>#VALUE!</v>
      </c>
      <c r="L103" s="146"/>
      <c r="M103" s="146"/>
      <c r="N103" s="236"/>
    </row>
    <row r="104" spans="1:14" ht="11.15" hidden="1" customHeight="1" x14ac:dyDescent="0.4">
      <c r="B104" s="243" t="s">
        <v>133</v>
      </c>
      <c r="C104" s="142">
        <f>C101+C103*C102</f>
        <v>24</v>
      </c>
      <c r="I104" s="237"/>
      <c r="J104" s="146"/>
      <c r="K104" s="146"/>
      <c r="L104" s="146"/>
      <c r="M104" s="146"/>
      <c r="N104" s="236"/>
    </row>
    <row r="105" spans="1:14" hidden="1" x14ac:dyDescent="0.4">
      <c r="A105" s="428" t="e">
        <f>#REF!</f>
        <v>#REF!</v>
      </c>
      <c r="B105" s="429"/>
      <c r="C105" s="244" t="s">
        <v>207</v>
      </c>
      <c r="D105" s="245" t="e">
        <f>#REF!</f>
        <v>#REF!</v>
      </c>
      <c r="I105" s="246"/>
      <c r="J105" s="238"/>
      <c r="N105" s="247"/>
    </row>
    <row r="106" spans="1:14" hidden="1" x14ac:dyDescent="0.4">
      <c r="A106" s="428" t="e">
        <f>#REF!</f>
        <v>#REF!</v>
      </c>
      <c r="B106" s="429"/>
      <c r="C106" s="244" t="s">
        <v>208</v>
      </c>
      <c r="D106" s="245" t="e">
        <f>#REF!</f>
        <v>#REF!</v>
      </c>
      <c r="I106" s="246"/>
      <c r="J106" s="238"/>
      <c r="N106" s="247"/>
    </row>
    <row r="107" spans="1:14" hidden="1" x14ac:dyDescent="0.4">
      <c r="A107" s="428" t="e">
        <f>#REF!</f>
        <v>#REF!</v>
      </c>
      <c r="B107" s="429"/>
      <c r="C107" s="244" t="s">
        <v>209</v>
      </c>
      <c r="D107" s="245" t="e">
        <f>#REF!</f>
        <v>#REF!</v>
      </c>
      <c r="I107" s="246"/>
      <c r="J107" s="238"/>
      <c r="N107" s="247"/>
    </row>
    <row r="108" spans="1:14" hidden="1" x14ac:dyDescent="0.4">
      <c r="I108" s="246" t="s">
        <v>210</v>
      </c>
      <c r="J108" s="238"/>
      <c r="N108" s="247"/>
    </row>
    <row r="109" spans="1:14" x14ac:dyDescent="0.4">
      <c r="C109" s="142" t="str">
        <f>"± "&amp;IF(C89*2&lt;(1.4+(0.005*C14)),"(1.4+0.005 L) µm, L en mm ",ROUND(C91,1)&amp;" μm ")</f>
        <v xml:space="preserve">± (1.4+0.005 L) µm, L en mm </v>
      </c>
      <c r="I109" s="246"/>
      <c r="J109" s="238"/>
      <c r="N109" s="247"/>
    </row>
    <row r="110" spans="1:14" x14ac:dyDescent="0.4">
      <c r="I110" s="430" t="s">
        <v>211</v>
      </c>
      <c r="J110" s="431"/>
      <c r="K110" s="431"/>
      <c r="L110" s="217"/>
      <c r="M110" s="217"/>
      <c r="N110" s="248"/>
    </row>
    <row r="111" spans="1:14" x14ac:dyDescent="0.4">
      <c r="I111" s="216" t="s">
        <v>210</v>
      </c>
      <c r="J111" s="223">
        <v>1.304</v>
      </c>
      <c r="K111" s="249">
        <f>(J112-J111)/600</f>
        <v>5.4083333333333336E-3</v>
      </c>
      <c r="L111" s="217"/>
      <c r="M111" s="217"/>
      <c r="N111" s="248"/>
    </row>
    <row r="112" spans="1:14" x14ac:dyDescent="0.4">
      <c r="I112" s="250" t="s">
        <v>212</v>
      </c>
      <c r="J112" s="223">
        <v>4.5490000000000004</v>
      </c>
      <c r="K112" s="223"/>
      <c r="L112" s="217"/>
      <c r="M112" s="217"/>
      <c r="N112" s="248"/>
    </row>
    <row r="113" spans="5:14" x14ac:dyDescent="0.4">
      <c r="I113" s="250"/>
      <c r="J113" s="223"/>
      <c r="K113" s="223"/>
      <c r="L113" s="217"/>
      <c r="M113" s="217"/>
      <c r="N113" s="248"/>
    </row>
    <row r="114" spans="5:14" ht="12" thickBot="1" x14ac:dyDescent="0.45">
      <c r="I114" s="251"/>
      <c r="J114" s="252" t="s">
        <v>213</v>
      </c>
      <c r="K114" s="252"/>
      <c r="L114" s="253"/>
      <c r="M114" s="253"/>
      <c r="N114" s="254"/>
    </row>
    <row r="115" spans="5:14" ht="12" thickTop="1" x14ac:dyDescent="0.4">
      <c r="E115" s="148"/>
      <c r="F115" s="148"/>
      <c r="G115" s="148"/>
    </row>
    <row r="116" spans="5:14" x14ac:dyDescent="0.4">
      <c r="E116" s="148"/>
      <c r="G116" s="148"/>
    </row>
    <row r="117" spans="5:14" x14ac:dyDescent="0.4">
      <c r="F117" s="238"/>
    </row>
    <row r="118" spans="5:14" x14ac:dyDescent="0.4">
      <c r="F118" s="238"/>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2023-05-10T20:42:23Z</cp:lastPrinted>
  <dcterms:created xsi:type="dcterms:W3CDTF">2023-04-24T19:43:56Z</dcterms:created>
  <dcterms:modified xsi:type="dcterms:W3CDTF">2023-05-11T05:55:35Z</dcterms:modified>
</cp:coreProperties>
</file>