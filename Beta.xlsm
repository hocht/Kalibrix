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DAC0C112-426F-4E95-8962-0E39617C24D3}"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71" yWindow="3626" windowWidth="16243" windowHeight="10157"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<sst xmlns="http://schemas.openxmlformats.org/spreadsheetml/2006/main" count="306" uniqueCount="243">
  <si>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</si>
  <si>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</si>
  <si>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</si>
  <si>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</si>
  <si>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</si>
  <si>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</si>
  <si>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</si>
  <si>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</si>
  <si>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</si>
  <si>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</si>
  <si>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</si>
  <si>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</si>
  <si>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</si>
  <si>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</si>
  <si>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</si>
  <si>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</si>
  <si>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</si>
  <si>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</si>
  <si>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</si>
  <si>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</si>
  <si>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</si>
  <si>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</si>
  <si>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</si>
  <si>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</si>
  <si>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</si>
  <si>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</si>
  <si>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</si>
  <si>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</si>
  <si>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</si>
  <si>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</si>
  <si>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</si>
  <si>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</si>
  <si>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</si>
  <si>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</si>
  <si>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</si>
  <si>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</si>
  <si>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</si>
  <si>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</si>
  <si>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</si>
  <si>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</si>
  <si>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</si>
  <si>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</si>
  <si>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</si>
  <si>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</si>
  <si>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</si>
  <si>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</si>
  <si>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</si>
  <si>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</si>
  <si>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</si>
  <si>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</si>
  <si>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</si>
  <si>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</si>
  <si>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</si>
  <si>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</si>
  <si>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</si>
  <si>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</si>
  <si>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</si>
  <si>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</si>
  <si>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</si>
  <si>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</si>
  <si>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</si>
  <si>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</si>
  <si>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</si>
  <si>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</si>
  <si>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</si>
  <si>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</si>
  <si>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</si>
  <si>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</si>
  <si>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</si>
  <si>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</si>
  <si>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</si>
  <si>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</si>
  <si>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</si>
  <si>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</si>
  <si>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</si>
  <si>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</si>
  <si>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</si>
  <si>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</si>
  <si>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</si>
  <si>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</si>
  <si>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</si>
  <si>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</si>
  <si>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</si>
  <si>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</si>
  <si>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</si>
  <si>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</si>
  <si>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</si>
  <si>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</si>
  <si>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</si>
  <si>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</si>
  <si>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</si>
  <si>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</si>
  <si>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</si>
  <si>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</si>
  <si>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</si>
  <si>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</si>
  <si>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</si>
  <si>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</si>
  <si>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</si>
  <si>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</si>
  <si>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</si>
  <si>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</si>
  <si>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</si>
  <si>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</si>
  <si>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</si>
  <si>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</si>
  <si>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</si>
  <si>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</si>
  <si>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</si>
  <si>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</si>
  <si>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</si>
  <si>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</si>
  <si>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</si>
  <si>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</si>
  <si>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</si>
  <si>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</si>
  <si>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</si>
  <si>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</si>
  <si>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</si>
  <si>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</si>
  <si>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</si>
  <si>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</si>
  <si>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</si>
  <si>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</si>
  <si>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</si>
  <si>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</si>
  <si>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</si>
  <si>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</si>
  <si>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</si>
  <si>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</si>
  <si>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</si>
  <si>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</si>
  <si>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</si>
  <si>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</si>
  <si>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</si>
  <si>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</si>
  <si>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</si>
  <si>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</si>
  <si>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</si>
  <si>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</si>
  <si>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</si>
  <si>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</si>
  <si>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</si>
  <si>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</si>
  <si>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</si>
  <si>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</si>
  <si>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</si>
  <si>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</si>
  <si>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</si>
  <si>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</si>
  <si>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</si>
  <si>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</si>
  <si>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</si>
  <si>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</si>
  <si>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</si>
  <si>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</si>
  <si>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</si>
  <si>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</si>
  <si>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</si>
  <si>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</si>
  <si>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</si>
  <si>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</si>
  <si>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</si>
  <si>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</si>
  <si>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</si>
  <si>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</si>
  <si>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</si>
  <si>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</si>
  <si>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</si>
  <si>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</si>
  <si>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</si>
  <si>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</si>
  <si>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</si>
  <si>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</si>
  <si>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</si>
  <si>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</si>
  <si>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</si>
  <si>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</si>
  <si>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</si>
  <si>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</si>
  <si>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</si>
  <si>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</si>
  <si>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</si>
  <si>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</si>
  <si>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</si>
  <si>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</si>
  <si>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</si>
  <si>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</si>
  <si>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</si>
  <si>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</si>
  <si>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</si>
  <si>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</si>
  <si>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</si>
  <si>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</si>
  <si>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</si>
  <si>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</si>
  <si>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</si>
  <si>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</si>
  <si>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</si>
  <si>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</si>
  <si>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</si>
  <si>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</si>
  <si>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</si>
  <si>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</si>
  <si>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</si>
  <si>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</si>
  <si>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</si>
  <si>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</si>
  <si>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</si>
  <si>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</si>
  <si>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</si>
  <si>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</si>
  <si>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</si>
  <si>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t xml:space="preserve">± 44466.7 μm </t>
  </si>
  <si>
    <t>MICROMETRO DE EXTERIORES  TOPE PLANO</t>
  </si>
  <si>
    <t>MITUTOYO</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</si>
  <si>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</si>
  <si>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</si>
  <si>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t>293-181-30</t>
  </si>
  <si>
    <t>GM01/615</t>
  </si>
  <si>
    <t>1 - 2 in</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</si>
  <si>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</si>
  <si>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</si>
  <si>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25.400_x000D_
(1.0000)</t>
  </si>
  <si>
    <t>270.930_x000D_
(10.6667)</t>
  </si>
  <si>
    <t>42.330_x000D_
(1.6667)</t>
  </si>
  <si>
    <t>33.870_x000D_
(1.3333)</t>
  </si>
  <si>
    <t>25.400_x000D_
(1.000)</t>
  </si>
  <si>
    <t>28.067_x000D_
(1.105)</t>
  </si>
  <si>
    <t>30.734_x000D_
(1.210)</t>
  </si>
  <si>
    <t>33.401_x000D_
(1.315)</t>
  </si>
  <si>
    <t>36.068_x000D_
(1.420)</t>
  </si>
  <si>
    <t>38.100_x000D_
(1.500)</t>
  </si>
  <si>
    <t>40.767_x000D_
(1.605)</t>
  </si>
  <si>
    <t>43.434_x000D_
(1.710)</t>
  </si>
  <si>
    <t>46.101_x000D_
(1.815)</t>
  </si>
  <si>
    <t>48.768_x000D_
(1.920)</t>
  </si>
  <si>
    <t>50.800_x000D_
(2.000)</t>
  </si>
  <si>
    <t>0.00005 in</t>
  </si>
  <si>
    <t>1-2 in</t>
  </si>
  <si>
    <t>50.800_x000D_
(2.0000)</t>
  </si>
  <si>
    <t>± 2.00 °C</t>
  </si>
  <si>
    <t>± 2.00 % 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</si>
</sst>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0" fillId="0" borderId="69" applyNumberFormat="0" applyFill="0" applyAlignment="0" applyProtection="0"/>
    <xf numFmtId="0" fontId="76"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3" fillId="7" borderId="50" xfId="0" applyFont="1" applyFill="1" applyBorder="1" applyAlignment="1">
      <alignment horizontal="center" vertical="center" wrapText="1"/>
    </xf>
    <xf numFmtId="0" fontId="74"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1"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3"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1" fillId="0" borderId="0" xfId="0" applyFont="1"/>
    <xf numFmtId="0" fontId="72"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1"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1" fillId="0" borderId="70" xfId="0" applyFont="1" applyBorder="1" applyAlignment="1">
      <alignment horizontal="center"/>
    </xf>
    <xf numFmtId="0" fontId="54" fillId="0" borderId="70" xfId="0" applyFont="1" applyBorder="1"/>
    <xf numFmtId="0" fontId="71" fillId="0" borderId="84" xfId="0" applyFont="1" applyBorder="1"/>
    <xf numFmtId="0" fontId="71" fillId="0" borderId="85" xfId="0" applyFont="1" applyBorder="1"/>
    <xf numFmtId="0" fontId="0" fillId="0" borderId="74" xfId="0" applyBorder="1" applyAlignment="1">
      <alignment horizontal="center" vertical="center"/>
    </xf>
    <xf numFmtId="0" fontId="0" fillId="0" borderId="86" xfId="0" applyBorder="1"/>
    <xf numFmtId="0" fontId="77" fillId="0" borderId="0" xfId="0" applyFont="1" applyAlignment="1">
      <alignment horizontal="right"/>
    </xf>
    <xf numFmtId="0" fontId="77" fillId="0" borderId="0" xfId="0" applyFont="1"/>
    <xf numFmtId="169" fontId="78" fillId="5" borderId="70" xfId="0" applyNumberFormat="1" applyFont="1" applyFill="1" applyBorder="1" applyAlignment="1" applyProtection="1">
      <alignment horizontal="center" vertical="center"/>
      <protection locked="0"/>
    </xf>
    <xf numFmtId="0" fontId="79" fillId="0" borderId="0" xfId="0" applyFont="1" applyAlignment="1">
      <alignment horizontal="center"/>
    </xf>
    <xf numFmtId="0" fontId="80" fillId="0" borderId="0" xfId="0" applyFont="1" applyAlignment="1" applyProtection="1">
      <alignment vertical="center"/>
      <protection locked="0"/>
    </xf>
    <xf numFmtId="0" fontId="81"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2" fillId="0" borderId="0" xfId="2" applyFont="1" applyAlignment="1">
      <alignment vertical="center"/>
    </xf>
    <xf numFmtId="0" fontId="82" fillId="0" borderId="0" xfId="2" applyFont="1" applyAlignment="1">
      <alignment horizontal="center" vertical="center"/>
    </xf>
    <xf numFmtId="168" fontId="82" fillId="0" borderId="0" xfId="2" applyNumberFormat="1" applyFont="1" applyAlignment="1">
      <alignment horizontal="center" vertical="center"/>
    </xf>
    <xf numFmtId="0" fontId="83" fillId="6" borderId="70" xfId="2" applyFont="1" applyFill="1" applyBorder="1" applyAlignment="1">
      <alignment horizontal="center"/>
    </xf>
    <xf numFmtId="0" fontId="83" fillId="0" borderId="0" xfId="2" applyFont="1" applyAlignment="1">
      <alignment horizontal="center"/>
    </xf>
    <xf numFmtId="2" fontId="82" fillId="0" borderId="0" xfId="2" applyNumberFormat="1" applyFont="1" applyAlignment="1">
      <alignment vertical="center"/>
    </xf>
    <xf numFmtId="2" fontId="84" fillId="0" borderId="0" xfId="2" applyNumberFormat="1" applyFont="1" applyAlignment="1">
      <alignment vertical="center"/>
    </xf>
    <xf numFmtId="2" fontId="82" fillId="0" borderId="0" xfId="2" applyNumberFormat="1" applyFont="1" applyAlignment="1">
      <alignment horizontal="center" vertical="center"/>
    </xf>
    <xf numFmtId="2" fontId="82" fillId="0" borderId="0" xfId="2" applyNumberFormat="1" applyFont="1" applyAlignment="1">
      <alignment horizontal="justify" vertical="center"/>
    </xf>
    <xf numFmtId="2" fontId="84" fillId="0" borderId="0" xfId="2" applyNumberFormat="1" applyFont="1" applyAlignment="1">
      <alignment horizontal="justify" vertical="center"/>
    </xf>
    <xf numFmtId="0" fontId="85" fillId="6" borderId="70" xfId="2" applyFont="1" applyFill="1" applyBorder="1" applyAlignment="1" applyProtection="1">
      <alignment horizontal="center"/>
      <protection locked="0"/>
    </xf>
    <xf numFmtId="168" fontId="85" fillId="6" borderId="70" xfId="2" applyNumberFormat="1" applyFont="1" applyFill="1" applyBorder="1" applyAlignment="1" applyProtection="1">
      <alignment horizontal="center"/>
      <protection locked="0"/>
    </xf>
    <xf numFmtId="168" fontId="85" fillId="0" borderId="0" xfId="2" applyNumberFormat="1" applyFont="1" applyAlignment="1" applyProtection="1">
      <alignment horizontal="center"/>
      <protection locked="0"/>
    </xf>
    <xf numFmtId="169" fontId="85" fillId="0" borderId="0" xfId="2" applyNumberFormat="1" applyFont="1" applyAlignment="1" applyProtection="1">
      <alignment horizontal="center"/>
      <protection locked="0"/>
    </xf>
    <xf numFmtId="2" fontId="82" fillId="0" borderId="70" xfId="2" applyNumberFormat="1" applyFont="1" applyBorder="1" applyAlignment="1">
      <alignment horizontal="right" vertical="center"/>
    </xf>
    <xf numFmtId="2" fontId="82" fillId="0" borderId="70" xfId="2" applyNumberFormat="1" applyFont="1" applyBorder="1" applyAlignment="1">
      <alignment horizontal="center" vertical="center"/>
    </xf>
    <xf numFmtId="2" fontId="82" fillId="9" borderId="70" xfId="2" applyNumberFormat="1" applyFont="1" applyFill="1" applyBorder="1" applyAlignment="1">
      <alignment horizontal="right" vertical="center"/>
    </xf>
    <xf numFmtId="2" fontId="82" fillId="9" borderId="70" xfId="2" applyNumberFormat="1" applyFont="1" applyFill="1" applyBorder="1" applyAlignment="1">
      <alignment horizontal="center" vertical="center"/>
    </xf>
    <xf numFmtId="2" fontId="82" fillId="0" borderId="0" xfId="2" applyNumberFormat="1" applyFont="1" applyAlignment="1">
      <alignment horizontal="right" vertical="center"/>
    </xf>
    <xf numFmtId="2" fontId="82" fillId="0" borderId="0" xfId="2" applyNumberFormat="1" applyFont="1" applyAlignment="1" applyProtection="1">
      <alignment horizontal="center" vertical="center"/>
      <protection locked="0"/>
    </xf>
    <xf numFmtId="170" fontId="82" fillId="0" borderId="0" xfId="2" applyNumberFormat="1" applyFont="1" applyAlignment="1">
      <alignment vertical="center"/>
    </xf>
    <xf numFmtId="2" fontId="82" fillId="6" borderId="84" xfId="2" applyNumberFormat="1" applyFont="1" applyFill="1" applyBorder="1" applyAlignment="1">
      <alignment horizontal="right" vertical="center"/>
    </xf>
    <xf numFmtId="2" fontId="82" fillId="6" borderId="42" xfId="2" applyNumberFormat="1" applyFont="1" applyFill="1" applyBorder="1" applyAlignment="1" applyProtection="1">
      <alignment horizontal="center" vertical="center"/>
      <protection locked="0"/>
    </xf>
    <xf numFmtId="0" fontId="86" fillId="0" borderId="0" xfId="2" applyFont="1" applyAlignment="1" applyProtection="1">
      <alignment horizontal="center"/>
      <protection locked="0"/>
    </xf>
    <xf numFmtId="168" fontId="86" fillId="0" borderId="0" xfId="2" applyNumberFormat="1" applyFont="1" applyAlignment="1" applyProtection="1">
      <alignment horizontal="center"/>
      <protection locked="0"/>
    </xf>
    <xf numFmtId="169" fontId="82" fillId="0" borderId="0" xfId="2" applyNumberFormat="1" applyFont="1" applyAlignment="1">
      <alignment horizontal="center" vertical="center"/>
    </xf>
    <xf numFmtId="168" fontId="85" fillId="0" borderId="70" xfId="2" applyNumberFormat="1" applyFont="1" applyBorder="1" applyAlignment="1" applyProtection="1">
      <alignment horizontal="center"/>
      <protection locked="0"/>
    </xf>
    <xf numFmtId="2" fontId="82" fillId="10" borderId="0" xfId="2" applyNumberFormat="1" applyFont="1" applyFill="1" applyAlignment="1">
      <alignment horizontal="left" vertical="center"/>
    </xf>
    <xf numFmtId="2" fontId="82" fillId="10" borderId="0" xfId="2" applyNumberFormat="1" applyFont="1" applyFill="1" applyAlignment="1">
      <alignment vertical="center"/>
    </xf>
    <xf numFmtId="2" fontId="84" fillId="0" borderId="70" xfId="2" applyNumberFormat="1" applyFont="1" applyBorder="1" applyAlignment="1">
      <alignment horizontal="center" vertical="center"/>
    </xf>
    <xf numFmtId="2" fontId="82" fillId="0" borderId="70" xfId="2" applyNumberFormat="1" applyFont="1" applyBorder="1" applyAlignment="1" applyProtection="1">
      <alignment horizontal="center"/>
      <protection locked="0"/>
    </xf>
    <xf numFmtId="2" fontId="82" fillId="10" borderId="89" xfId="2" applyNumberFormat="1" applyFont="1" applyFill="1" applyBorder="1" applyAlignment="1">
      <alignment vertical="center"/>
    </xf>
    <xf numFmtId="2" fontId="82" fillId="10" borderId="90" xfId="2" applyNumberFormat="1" applyFont="1" applyFill="1" applyBorder="1" applyAlignment="1">
      <alignment horizontal="center" vertical="center"/>
    </xf>
    <xf numFmtId="2" fontId="82" fillId="11" borderId="70" xfId="2" applyNumberFormat="1" applyFont="1" applyFill="1" applyBorder="1" applyAlignment="1" applyProtection="1">
      <alignment horizontal="center"/>
      <protection locked="0"/>
    </xf>
    <xf numFmtId="2" fontId="82" fillId="9" borderId="91" xfId="2" applyNumberFormat="1" applyFont="1" applyFill="1" applyBorder="1" applyAlignment="1">
      <alignment vertical="center"/>
    </xf>
    <xf numFmtId="2" fontId="82" fillId="9" borderId="92" xfId="2" applyNumberFormat="1" applyFont="1" applyFill="1" applyBorder="1" applyAlignment="1">
      <alignment horizontal="center" vertical="center"/>
    </xf>
    <xf numFmtId="2" fontId="82" fillId="11" borderId="70" xfId="2" applyNumberFormat="1" applyFont="1" applyFill="1" applyBorder="1" applyAlignment="1">
      <alignment horizontal="center" vertical="center"/>
    </xf>
    <xf numFmtId="2" fontId="84" fillId="0" borderId="0" xfId="2" applyNumberFormat="1" applyFont="1" applyAlignment="1">
      <alignment horizontal="center" vertical="center"/>
    </xf>
    <xf numFmtId="2" fontId="84" fillId="5" borderId="0" xfId="2" applyNumberFormat="1" applyFont="1" applyFill="1" applyAlignment="1">
      <alignment horizontal="right" vertical="center"/>
    </xf>
    <xf numFmtId="0" fontId="76" fillId="0" borderId="0" xfId="2"/>
    <xf numFmtId="2" fontId="82" fillId="9" borderId="93" xfId="2" applyNumberFormat="1" applyFont="1" applyFill="1" applyBorder="1" applyAlignment="1">
      <alignment vertical="center"/>
    </xf>
    <xf numFmtId="2" fontId="82" fillId="9" borderId="93" xfId="2" applyNumberFormat="1" applyFont="1" applyFill="1" applyBorder="1" applyAlignment="1">
      <alignment horizontal="center" vertical="center"/>
    </xf>
    <xf numFmtId="2" fontId="82" fillId="9" borderId="93" xfId="2" applyNumberFormat="1" applyFont="1" applyFill="1" applyBorder="1" applyAlignment="1">
      <alignment horizontal="left" vertical="center"/>
    </xf>
    <xf numFmtId="2" fontId="82" fillId="0" borderId="70" xfId="2" applyNumberFormat="1" applyFont="1" applyBorder="1" applyAlignment="1">
      <alignment vertical="center"/>
    </xf>
    <xf numFmtId="169" fontId="82" fillId="0" borderId="70" xfId="2" applyNumberFormat="1" applyFont="1" applyBorder="1" applyAlignment="1" applyProtection="1">
      <alignment horizontal="center" vertical="center"/>
      <protection locked="0"/>
    </xf>
    <xf numFmtId="169" fontId="82" fillId="0" borderId="70" xfId="2" applyNumberFormat="1" applyFont="1" applyBorder="1" applyAlignment="1">
      <alignment horizontal="center" vertical="center"/>
    </xf>
    <xf numFmtId="169" fontId="82" fillId="0" borderId="0" xfId="2" applyNumberFormat="1" applyFont="1" applyAlignment="1">
      <alignment vertical="center"/>
    </xf>
    <xf numFmtId="169" fontId="84"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6" fillId="0" borderId="0" xfId="2" applyAlignment="1" applyProtection="1">
      <alignment vertical="center"/>
      <protection locked="0"/>
    </xf>
    <xf numFmtId="0" fontId="76" fillId="0" borderId="74" xfId="2" applyBorder="1" applyAlignment="1">
      <alignment vertical="center"/>
    </xf>
    <xf numFmtId="0" fontId="76" fillId="5" borderId="74" xfId="2" applyFill="1" applyBorder="1" applyAlignment="1" applyProtection="1">
      <alignment horizontal="center" vertical="center"/>
      <protection locked="0"/>
    </xf>
    <xf numFmtId="0" fontId="76" fillId="6" borderId="0" xfId="2" applyFill="1" applyAlignment="1">
      <alignment horizontal="center" vertical="center"/>
    </xf>
    <xf numFmtId="2" fontId="87" fillId="0" borderId="0" xfId="2" applyNumberFormat="1" applyFont="1" applyAlignment="1">
      <alignment vertical="center"/>
    </xf>
    <xf numFmtId="169" fontId="82" fillId="0" borderId="84" xfId="2" applyNumberFormat="1" applyFont="1" applyBorder="1" applyAlignment="1">
      <alignment horizontal="center" vertical="center"/>
    </xf>
    <xf numFmtId="169" fontId="88" fillId="0" borderId="70" xfId="2" applyNumberFormat="1" applyFont="1" applyBorder="1" applyAlignment="1">
      <alignment horizontal="center" vertical="center"/>
    </xf>
    <xf numFmtId="2" fontId="88" fillId="0" borderId="0" xfId="2" applyNumberFormat="1" applyFont="1" applyAlignment="1">
      <alignment vertical="center"/>
    </xf>
    <xf numFmtId="2" fontId="82" fillId="0" borderId="91" xfId="2" applyNumberFormat="1" applyFont="1" applyBorder="1" applyAlignment="1">
      <alignment vertical="center"/>
    </xf>
    <xf numFmtId="169" fontId="82" fillId="0" borderId="94" xfId="2" applyNumberFormat="1" applyFont="1" applyBorder="1" applyAlignment="1">
      <alignment horizontal="center" vertical="center"/>
    </xf>
    <xf numFmtId="0" fontId="89" fillId="0" borderId="0" xfId="2" applyFont="1" applyAlignment="1">
      <alignment horizontal="center" wrapText="1"/>
    </xf>
    <xf numFmtId="0" fontId="90" fillId="0" borderId="0" xfId="2" applyFont="1" applyAlignment="1">
      <alignment horizontal="center"/>
    </xf>
    <xf numFmtId="0" fontId="86" fillId="0" borderId="0" xfId="2" applyFont="1" applyAlignment="1">
      <alignment horizontal="center"/>
    </xf>
    <xf numFmtId="2" fontId="82" fillId="0" borderId="34" xfId="2" applyNumberFormat="1" applyFont="1" applyBorder="1" applyAlignment="1">
      <alignment vertical="center"/>
    </xf>
    <xf numFmtId="169" fontId="82" fillId="0" borderId="95" xfId="2" applyNumberFormat="1" applyFont="1" applyBorder="1" applyAlignment="1">
      <alignment horizontal="center" vertical="center"/>
    </xf>
    <xf numFmtId="0" fontId="91" fillId="0" borderId="0" xfId="2" applyFont="1" applyAlignment="1">
      <alignment horizontal="center"/>
    </xf>
    <xf numFmtId="2" fontId="82" fillId="9" borderId="91" xfId="2" applyNumberFormat="1" applyFont="1" applyFill="1" applyBorder="1" applyAlignment="1">
      <alignment horizontal="center" vertical="center"/>
    </xf>
    <xf numFmtId="2" fontId="88" fillId="0" borderId="0" xfId="2" applyNumberFormat="1" applyFont="1" applyAlignment="1">
      <alignment horizontal="center" vertical="center"/>
    </xf>
    <xf numFmtId="2" fontId="82"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2" fillId="0" borderId="47" xfId="2" applyNumberFormat="1" applyFont="1" applyBorder="1" applyAlignment="1">
      <alignment horizontal="center" vertical="center"/>
    </xf>
    <xf numFmtId="0" fontId="82" fillId="5" borderId="96" xfId="2" applyFont="1" applyFill="1" applyBorder="1" applyAlignment="1">
      <alignment vertical="center"/>
    </xf>
    <xf numFmtId="0" fontId="82" fillId="5" borderId="97" xfId="2" applyFont="1" applyFill="1" applyBorder="1" applyAlignment="1">
      <alignment vertical="center"/>
    </xf>
    <xf numFmtId="0" fontId="82" fillId="5" borderId="97" xfId="2" applyFont="1" applyFill="1" applyBorder="1" applyAlignment="1">
      <alignment horizontal="center" vertical="center"/>
    </xf>
    <xf numFmtId="2" fontId="82" fillId="5" borderId="98" xfId="2" applyNumberFormat="1" applyFont="1" applyFill="1" applyBorder="1" applyAlignment="1">
      <alignment horizontal="center" vertical="center"/>
    </xf>
    <xf numFmtId="0" fontId="82" fillId="5" borderId="99" xfId="2" applyFont="1" applyFill="1" applyBorder="1" applyAlignment="1">
      <alignment vertical="center"/>
    </xf>
    <xf numFmtId="0" fontId="82" fillId="5" borderId="0" xfId="2" applyFont="1" applyFill="1" applyAlignment="1">
      <alignment vertical="center"/>
    </xf>
    <xf numFmtId="0" fontId="82" fillId="5" borderId="0" xfId="2" applyFont="1" applyFill="1" applyAlignment="1">
      <alignment horizontal="right" vertical="center"/>
    </xf>
    <xf numFmtId="2" fontId="82" fillId="5" borderId="0" xfId="2" applyNumberFormat="1" applyFont="1" applyFill="1" applyAlignment="1">
      <alignment horizontal="right" vertical="center"/>
    </xf>
    <xf numFmtId="2" fontId="82" fillId="5" borderId="100" xfId="2" applyNumberFormat="1" applyFont="1" applyFill="1" applyBorder="1" applyAlignment="1">
      <alignment horizontal="center" vertical="center"/>
    </xf>
    <xf numFmtId="2" fontId="82" fillId="5" borderId="99" xfId="2" applyNumberFormat="1" applyFont="1" applyFill="1" applyBorder="1" applyAlignment="1">
      <alignment vertical="center"/>
    </xf>
    <xf numFmtId="2" fontId="82" fillId="5" borderId="100" xfId="2" applyNumberFormat="1" applyFont="1" applyFill="1" applyBorder="1" applyAlignment="1">
      <alignment vertical="center"/>
    </xf>
    <xf numFmtId="2" fontId="82" fillId="5" borderId="0" xfId="2" applyNumberFormat="1" applyFont="1" applyFill="1" applyAlignment="1">
      <alignment horizontal="center" vertical="center"/>
    </xf>
    <xf numFmtId="2" fontId="82" fillId="5" borderId="0" xfId="2" applyNumberFormat="1" applyFont="1" applyFill="1" applyAlignment="1">
      <alignment vertical="center"/>
    </xf>
    <xf numFmtId="0" fontId="82" fillId="5" borderId="0" xfId="2" applyFont="1" applyFill="1" applyAlignment="1">
      <alignment horizontal="center" vertical="center"/>
    </xf>
    <xf numFmtId="0" fontId="82" fillId="5" borderId="0" xfId="2" applyFont="1" applyFill="1" applyAlignment="1">
      <alignment horizontal="left" vertical="center"/>
    </xf>
    <xf numFmtId="2" fontId="82" fillId="8" borderId="70" xfId="2" applyNumberFormat="1" applyFont="1" applyFill="1" applyBorder="1" applyAlignment="1">
      <alignment horizontal="center" vertical="center"/>
    </xf>
    <xf numFmtId="2" fontId="82" fillId="13" borderId="101" xfId="2" applyNumberFormat="1" applyFont="1" applyFill="1" applyBorder="1" applyAlignment="1">
      <alignment vertical="center"/>
    </xf>
    <xf numFmtId="2" fontId="82" fillId="13" borderId="90" xfId="2" applyNumberFormat="1" applyFont="1" applyFill="1" applyBorder="1" applyAlignment="1">
      <alignment horizontal="center" vertical="center"/>
    </xf>
    <xf numFmtId="0" fontId="76" fillId="5" borderId="0" xfId="2" applyFill="1" applyAlignment="1">
      <alignment vertical="center"/>
    </xf>
    <xf numFmtId="167" fontId="76" fillId="5" borderId="0" xfId="2" applyNumberFormat="1" applyFill="1" applyAlignment="1">
      <alignment horizontal="center" vertical="center"/>
    </xf>
    <xf numFmtId="0" fontId="92" fillId="5" borderId="0" xfId="2" applyFont="1" applyFill="1" applyAlignment="1">
      <alignment vertical="center"/>
    </xf>
    <xf numFmtId="0" fontId="93" fillId="5" borderId="99" xfId="2" applyFont="1" applyFill="1" applyBorder="1" applyAlignment="1">
      <alignment vertical="center"/>
    </xf>
    <xf numFmtId="0" fontId="93" fillId="5" borderId="0" xfId="2" applyFont="1" applyFill="1" applyAlignment="1">
      <alignment vertical="center"/>
    </xf>
    <xf numFmtId="0" fontId="93" fillId="5" borderId="0" xfId="2" applyFont="1" applyFill="1" applyAlignment="1">
      <alignment horizontal="center" vertical="center"/>
    </xf>
    <xf numFmtId="2" fontId="82" fillId="0" borderId="100" xfId="2" applyNumberFormat="1" applyFont="1" applyBorder="1" applyAlignment="1">
      <alignment vertical="center"/>
    </xf>
    <xf numFmtId="2" fontId="82" fillId="0" borderId="99" xfId="2" applyNumberFormat="1" applyFont="1" applyBorder="1" applyAlignment="1">
      <alignment vertical="center"/>
    </xf>
    <xf numFmtId="168" fontId="82" fillId="0" borderId="0" xfId="2" applyNumberFormat="1" applyFont="1" applyAlignment="1">
      <alignment vertical="center"/>
    </xf>
    <xf numFmtId="0" fontId="82" fillId="13" borderId="0" xfId="2" applyFont="1" applyFill="1" applyAlignment="1">
      <alignment horizontal="center" vertical="center"/>
    </xf>
    <xf numFmtId="168" fontId="82" fillId="13" borderId="0" xfId="2" applyNumberFormat="1" applyFont="1" applyFill="1" applyAlignment="1">
      <alignment horizontal="center" vertical="center"/>
    </xf>
    <xf numFmtId="0" fontId="84" fillId="0" borderId="0" xfId="2" applyFont="1" applyAlignment="1">
      <alignment horizontal="right" vertical="center"/>
    </xf>
    <xf numFmtId="170" fontId="82" fillId="0" borderId="99" xfId="2" applyNumberFormat="1" applyFont="1" applyBorder="1" applyAlignment="1">
      <alignment horizontal="center" vertical="center"/>
    </xf>
    <xf numFmtId="0" fontId="82" fillId="0" borderId="0" xfId="2" applyFont="1" applyAlignment="1">
      <alignment horizontal="right" vertical="center"/>
    </xf>
    <xf numFmtId="0" fontId="82" fillId="0" borderId="70" xfId="2" applyFont="1" applyBorder="1" applyAlignment="1">
      <alignment horizontal="center" vertical="center"/>
    </xf>
    <xf numFmtId="2" fontId="82" fillId="0" borderId="84" xfId="2" applyNumberFormat="1" applyFont="1" applyBorder="1" applyAlignment="1">
      <alignment horizontal="center" vertical="center"/>
    </xf>
    <xf numFmtId="0" fontId="82" fillId="0" borderId="99" xfId="2" applyFont="1" applyBorder="1" applyAlignment="1">
      <alignment vertical="center"/>
    </xf>
    <xf numFmtId="0" fontId="82" fillId="0" borderId="100" xfId="2" applyFont="1" applyBorder="1" applyAlignment="1">
      <alignment vertical="center"/>
    </xf>
    <xf numFmtId="0" fontId="82" fillId="5" borderId="100" xfId="2" applyFont="1" applyFill="1" applyBorder="1" applyAlignment="1">
      <alignment vertical="center"/>
    </xf>
    <xf numFmtId="168" fontId="82" fillId="5" borderId="0" xfId="2" applyNumberFormat="1" applyFont="1" applyFill="1" applyAlignment="1">
      <alignment horizontal="center" vertical="center"/>
    </xf>
    <xf numFmtId="2" fontId="82" fillId="5" borderId="99" xfId="2" applyNumberFormat="1" applyFont="1" applyFill="1" applyBorder="1" applyAlignment="1">
      <alignment horizontal="center" vertical="center"/>
    </xf>
    <xf numFmtId="2" fontId="82" fillId="5" borderId="104" xfId="2" applyNumberFormat="1" applyFont="1" applyFill="1" applyBorder="1" applyAlignment="1">
      <alignment horizontal="center" vertical="center"/>
    </xf>
    <xf numFmtId="2" fontId="82" fillId="5" borderId="105" xfId="2" applyNumberFormat="1" applyFont="1" applyFill="1" applyBorder="1" applyAlignment="1">
      <alignment horizontal="center" vertical="center"/>
    </xf>
    <xf numFmtId="0" fontId="82" fillId="5" borderId="105" xfId="2" applyFont="1" applyFill="1" applyBorder="1" applyAlignment="1">
      <alignment vertical="center"/>
    </xf>
    <xf numFmtId="0" fontId="82" fillId="5" borderId="106" xfId="2" applyFont="1" applyFill="1" applyBorder="1" applyAlignment="1">
      <alignment vertical="center"/>
    </xf>
    <xf numFmtId="0" fontId="34" fillId="5" borderId="0" xfId="0" applyFont="1" applyFill="1"/>
    <xf numFmtId="0" fontId="94" fillId="4" borderId="75" xfId="0" applyFont="1" applyFill="1" applyBorder="1" applyAlignment="1">
      <alignment horizontal="center" vertical="center" wrapText="1"/>
    </xf>
    <xf numFmtId="0" fontId="94" fillId="4" borderId="81" xfId="0" applyFont="1" applyFill="1" applyBorder="1" applyAlignment="1">
      <alignment horizontal="center" vertical="center" wrapText="1"/>
    </xf>
    <xf numFmtId="0" fontId="94" fillId="4" borderId="87" xfId="0" applyFont="1" applyFill="1" applyBorder="1" applyAlignment="1">
      <alignment horizontal="center" vertical="center" wrapText="1"/>
    </xf>
    <xf numFmtId="2" fontId="94" fillId="0" borderId="76" xfId="0" applyNumberFormat="1" applyFont="1" applyBorder="1" applyAlignment="1">
      <alignment horizontal="center" vertical="center" wrapText="1"/>
    </xf>
    <xf numFmtId="2" fontId="94" fillId="0" borderId="83" xfId="0" applyNumberFormat="1" applyFont="1" applyBorder="1" applyAlignment="1">
      <alignment horizontal="center" vertical="center" wrapText="1"/>
    </xf>
    <xf numFmtId="2" fontId="94" fillId="0" borderId="88"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54" fillId="0" borderId="70" xfId="0" applyFont="1" applyBorder="1" applyAlignment="1">
      <alignment horizontal="center"/>
    </xf>
    <xf numFmtId="0" fontId="1" fillId="0" borderId="86" xfId="0" applyFont="1" applyBorder="1" applyAlignment="1">
      <alignment horizontal="center"/>
    </xf>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3" fillId="7" borderId="72"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28" fillId="0" borderId="0" xfId="0" applyFont="1" applyAlignment="1">
      <alignment horizontal="center" vertical="center"/>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7" xfId="2" applyFont="1" applyFill="1" applyBorder="1" applyAlignment="1">
      <alignment horizontal="center" vertical="center" wrapText="1"/>
    </xf>
    <xf numFmtId="0" fontId="9" fillId="4" borderId="78" xfId="2" applyFont="1" applyFill="1" applyBorder="1" applyAlignment="1">
      <alignment horizontal="center" vertical="center" wrapText="1"/>
    </xf>
    <xf numFmtId="0" fontId="9" fillId="4" borderId="79" xfId="2" applyFont="1" applyFill="1" applyBorder="1" applyAlignment="1">
      <alignment horizontal="center" vertical="center" wrapText="1"/>
    </xf>
    <xf numFmtId="0" fontId="9" fillId="4" borderId="80"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8" fillId="0" borderId="71" xfId="0" applyFont="1" applyBorder="1" applyAlignment="1" applyProtection="1">
      <alignment horizontal="center" vertical="center" wrapText="1"/>
      <protection locked="0"/>
    </xf>
    <xf numFmtId="165" fontId="28" fillId="0" borderId="71" xfId="0" applyNumberFormat="1" applyFont="1" applyBorder="1" applyAlignment="1" applyProtection="1">
      <alignment horizontal="center" vertical="center" wrapText="1"/>
      <protection locked="0"/>
    </xf>
    <xf numFmtId="14" fontId="28" fillId="0" borderId="71"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0" fontId="70" fillId="0" borderId="0" xfId="1" applyFill="1" applyBorder="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4" fillId="0" borderId="71" xfId="0" applyFont="1" applyBorder="1" applyAlignment="1">
      <alignment horizontal="center" vertical="top" wrapText="1"/>
    </xf>
    <xf numFmtId="166"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4" fillId="8" borderId="70" xfId="2" applyFont="1" applyFill="1" applyBorder="1" applyAlignment="1">
      <alignment vertical="center"/>
    </xf>
    <xf numFmtId="2" fontId="82" fillId="0" borderId="0" xfId="2" applyNumberFormat="1" applyFont="1" applyAlignment="1">
      <alignment horizontal="center" vertical="center"/>
    </xf>
    <xf numFmtId="2" fontId="84" fillId="0" borderId="0" xfId="2" applyNumberFormat="1" applyFont="1" applyAlignment="1">
      <alignment horizontal="left" vertical="center"/>
    </xf>
    <xf numFmtId="2" fontId="84" fillId="0" borderId="50" xfId="2" applyNumberFormat="1" applyFont="1" applyBorder="1" applyAlignment="1">
      <alignment vertical="center"/>
    </xf>
    <xf numFmtId="0" fontId="76" fillId="0" borderId="74" xfId="2" applyBorder="1" applyAlignment="1">
      <alignment horizontal="center" vertical="center"/>
    </xf>
    <xf numFmtId="0" fontId="82" fillId="5" borderId="99" xfId="2" applyFont="1" applyFill="1" applyBorder="1" applyAlignment="1">
      <alignment horizontal="center" vertical="center"/>
    </xf>
    <xf numFmtId="0" fontId="82" fillId="5" borderId="0" xfId="2" applyFont="1" applyFill="1" applyAlignment="1">
      <alignment horizontal="center" vertical="center"/>
    </xf>
    <xf numFmtId="0" fontId="89" fillId="0" borderId="0" xfId="2" applyFont="1" applyAlignment="1">
      <alignment horizontal="center"/>
    </xf>
    <xf numFmtId="0" fontId="90" fillId="0" borderId="0" xfId="2" applyFont="1" applyAlignment="1">
      <alignment horizontal="center" wrapText="1"/>
    </xf>
    <xf numFmtId="0" fontId="86" fillId="0" borderId="0" xfId="2" applyFont="1" applyAlignment="1">
      <alignment horizontal="center"/>
    </xf>
    <xf numFmtId="0" fontId="87" fillId="0" borderId="0" xfId="2" applyFont="1" applyAlignment="1">
      <alignment horizontal="left" wrapText="1"/>
    </xf>
    <xf numFmtId="0" fontId="87" fillId="0" borderId="100" xfId="2" applyFont="1" applyBorder="1" applyAlignment="1">
      <alignment horizontal="left" wrapText="1"/>
    </xf>
    <xf numFmtId="0" fontId="82" fillId="0" borderId="102" xfId="2" applyFont="1" applyBorder="1" applyAlignment="1">
      <alignment vertical="center"/>
    </xf>
    <xf numFmtId="0" fontId="82" fillId="0" borderId="103" xfId="2" applyFont="1" applyBorder="1" applyAlignment="1">
      <alignment vertical="center"/>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695325</xdr:colOff>
          <xdr:row>5</xdr:row>
          <xdr:rowOff>9525</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438150</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409575</xdr:colOff>
          <xdr:row>10</xdr:row>
          <xdr:rowOff>200025</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95250</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409575</xdr:colOff>
          <xdr:row>13</xdr:row>
          <xdr:rowOff>85725</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428625</xdr:colOff>
          <xdr:row>15</xdr:row>
          <xdr:rowOff>200025</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219075</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1040104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1190498</xdr:colOff>
      <xdr:row>1</xdr:row>
      <xdr:rowOff>1001240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1059990</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1210384</xdr:colOff>
      <xdr:row>51</xdr:row>
      <xdr:rowOff>1055848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topLeftCell="A21" zoomScale="85" zoomScaleNormal="85" workbookViewId="0">
      <selection activeCell="D35" sqref="D35"/>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4">
        <v>10</v>
      </c>
      <c r="B1" s="255" t="s">
        <v>93</v>
      </c>
      <c r="C1" s="255"/>
    </row>
    <row r="2" spans="1:13" ht="17.149999999999999" thickBot="1" x14ac:dyDescent="0.5">
      <c r="A2" s="124" t="s">
        <v>217</v>
      </c>
      <c r="B2" s="255" t="s">
        <v>94</v>
      </c>
      <c r="C2" s="255"/>
      <c r="E2" s="121" t="s">
        <v>79</v>
      </c>
      <c r="F2" s="122"/>
      <c r="G2" s="119"/>
    </row>
    <row r="3" spans="1:13" ht="18.899999999999999" thickBot="1" x14ac:dyDescent="0.55000000000000004">
      <c r="A3" s="124" t="s">
        <v>105</v>
      </c>
      <c r="B3" s="255" t="s">
        <v>95</v>
      </c>
      <c r="C3" s="255"/>
      <c r="E3" s="120" t="s">
        <v>80</v>
      </c>
      <c r="F3" s="120"/>
      <c r="G3" s="93">
        <v>2</v>
      </c>
    </row>
    <row r="4" spans="1:13" ht="18.45" x14ac:dyDescent="0.5">
      <c r="E4" s="254" t="s">
        <v>81</v>
      </c>
      <c r="F4" s="254"/>
      <c r="G4" s="246">
        <v>2</v>
      </c>
    </row>
    <row r="5" spans="1:13" ht="18.45" x14ac:dyDescent="0.5">
      <c r="A5" s="95" t="s">
        <v>84</v>
      </c>
      <c r="B5" s="259" t="s">
        <v>107</v>
      </c>
      <c r="C5" s="259"/>
      <c r="E5" s="254" t="s">
        <v>82</v>
      </c>
      <c r="F5" s="254"/>
      <c r="G5" s="93">
        <v>2</v>
      </c>
    </row>
    <row r="6" spans="1:13" ht="18.45" x14ac:dyDescent="0.5">
      <c r="A6" s="95" t="s">
        <v>85</v>
      </c>
      <c r="B6" s="260" t="s">
        <v>106</v>
      </c>
      <c r="C6" s="260"/>
      <c r="E6" s="254" t="s">
        <v>83</v>
      </c>
      <c r="F6" s="254"/>
      <c r="G6" s="93">
        <v>2</v>
      </c>
      <c r="I6" s="112"/>
    </row>
    <row r="7" spans="1:13" ht="19.75" x14ac:dyDescent="0.4">
      <c r="C7" s="115"/>
      <c r="D7" s="115"/>
      <c r="E7" s="91"/>
      <c r="I7" s="92"/>
    </row>
    <row r="8" spans="1:13" ht="18.45" customHeight="1" x14ac:dyDescent="0.4">
      <c r="A8" t="s">
        <v>101</v>
      </c>
      <c r="C8" s="129"/>
      <c r="D8" s="130"/>
      <c r="E8" s="91"/>
      <c r="I8" s="92"/>
    </row>
    <row r="9" spans="1:13" ht="18.45" customHeight="1" x14ac:dyDescent="0.4">
      <c r="A9" t="s">
        <v>99</v>
      </c>
      <c r="B9" s="126"/>
      <c r="C9" s="113"/>
      <c r="D9" s="114"/>
      <c r="E9" s="91"/>
      <c r="H9" s="126"/>
      <c r="I9" s="92"/>
    </row>
    <row r="10" spans="1:13" x14ac:dyDescent="0.4">
      <c r="E10" s="94"/>
      <c r="I10" s="125"/>
    </row>
    <row r="11" spans="1:13" ht="19.75" x14ac:dyDescent="0.5">
      <c r="B11" s="263"/>
      <c r="C11" s="263"/>
      <c r="D11" s="96"/>
      <c r="G11" s="96"/>
      <c r="H11" s="96"/>
      <c r="I11" s="96"/>
      <c r="J11" s="85"/>
      <c r="K11" s="85"/>
    </row>
    <row r="12" spans="1:13" ht="18.45" x14ac:dyDescent="0.5">
      <c r="B12" s="261"/>
      <c r="C12" s="262"/>
      <c r="D12" s="97"/>
      <c r="E12" s="97"/>
      <c r="F12" s="97"/>
      <c r="G12" s="96"/>
      <c r="H12" s="96"/>
      <c r="I12" s="96"/>
      <c r="K12" s="85"/>
      <c r="M12" s="94"/>
    </row>
    <row r="13" spans="1:13" ht="20.6" x14ac:dyDescent="0.5">
      <c r="B13" s="98"/>
      <c r="C13" s="98">
        <v>1</v>
      </c>
      <c r="D13" s="98">
        <v>2</v>
      </c>
      <c r="E13" s="98">
        <v>3</v>
      </c>
      <c r="F13" s="99" t="s">
        <v>86</v>
      </c>
      <c r="G13" s="100" t="s">
        <v>96</v>
      </c>
      <c r="H13" s="116" t="s">
        <v>220</v>
      </c>
      <c r="I13" s="96"/>
      <c r="K13" s="118"/>
    </row>
    <row r="14" spans="1:13" ht="18.45" x14ac:dyDescent="0.5">
      <c r="B14" s="101">
        <v>1</v>
      </c>
      <c r="C14" s="102">
        <v>30</v>
      </c>
      <c r="D14" s="102">
        <v>1</v>
      </c>
      <c r="E14" s="102">
        <v>1</v>
      </c>
      <c r="F14" s="103">
        <v>10.666666666666666</v>
      </c>
      <c r="G14" s="96"/>
      <c r="H14" s="96"/>
      <c r="I14" s="96"/>
      <c r="M14" s="85"/>
    </row>
    <row r="15" spans="1:13" ht="18.45" x14ac:dyDescent="0.5">
      <c r="B15" s="101">
        <v>1.105</v>
      </c>
      <c r="C15" s="102">
        <v>1</v>
      </c>
      <c r="D15" s="102">
        <v>1</v>
      </c>
      <c r="E15" s="102">
        <v>1</v>
      </c>
      <c r="F15" s="103">
        <v>1</v>
      </c>
      <c r="G15" s="96"/>
      <c r="H15" s="96"/>
      <c r="I15" s="96"/>
      <c r="M15" s="85"/>
    </row>
    <row r="16" spans="1:13" ht="18.45" x14ac:dyDescent="0.5">
      <c r="B16" s="101">
        <v>1.21</v>
      </c>
      <c r="C16" s="102">
        <v>1</v>
      </c>
      <c r="D16" s="102">
        <v>3</v>
      </c>
      <c r="E16" s="102">
        <v>1</v>
      </c>
      <c r="F16" s="103">
        <v>1.6666666666666667</v>
      </c>
      <c r="K16" s="95"/>
      <c r="M16" s="85"/>
    </row>
    <row r="17" spans="2:13" ht="18.45" x14ac:dyDescent="0.5">
      <c r="B17" s="101">
        <v>1.3149999999999999</v>
      </c>
      <c r="C17" s="102">
        <v>1</v>
      </c>
      <c r="D17" s="102">
        <v>2</v>
      </c>
      <c r="E17" s="102">
        <v>1</v>
      </c>
      <c r="F17" s="103">
        <v>1.3333333333333333</v>
      </c>
      <c r="K17" s="91"/>
      <c r="M17" s="85"/>
    </row>
    <row r="18" spans="2:13" ht="18.45" x14ac:dyDescent="0.5">
      <c r="B18" s="101">
        <v>1.42</v>
      </c>
      <c r="C18" s="102">
        <v>1</v>
      </c>
      <c r="D18" s="102">
        <v>1</v>
      </c>
      <c r="E18" s="102">
        <v>1</v>
      </c>
      <c r="F18" s="103">
        <v>1</v>
      </c>
      <c r="K18" s="91"/>
      <c r="M18" s="85"/>
    </row>
    <row r="19" spans="2:13" ht="18.45" x14ac:dyDescent="0.5">
      <c r="B19" s="101">
        <v>1.5</v>
      </c>
      <c r="C19" s="102">
        <v>1</v>
      </c>
      <c r="D19" s="102">
        <v>2</v>
      </c>
      <c r="E19" s="102">
        <v>1</v>
      </c>
      <c r="F19" s="103">
        <v>1.3333333333333333</v>
      </c>
      <c r="K19" s="85"/>
      <c r="M19" s="85"/>
    </row>
    <row r="20" spans="2:13" ht="18.45" x14ac:dyDescent="0.5">
      <c r="B20" s="101">
        <v>1.605</v>
      </c>
      <c r="C20" s="127">
        <v>1</v>
      </c>
      <c r="D20" s="102">
        <v>1</v>
      </c>
      <c r="E20" s="102">
        <v>1</v>
      </c>
      <c r="F20" s="103">
        <v>1</v>
      </c>
      <c r="G20" s="96"/>
      <c r="H20" s="96"/>
      <c r="I20" s="96"/>
      <c r="K20" s="85"/>
      <c r="M20" s="85"/>
    </row>
    <row r="21" spans="2:13" ht="18.45" x14ac:dyDescent="0.5">
      <c r="B21" s="101">
        <v>1.71</v>
      </c>
      <c r="C21" s="102">
        <v>1</v>
      </c>
      <c r="D21" s="102">
        <v>1</v>
      </c>
      <c r="E21" s="102">
        <v>1</v>
      </c>
      <c r="F21" s="103">
        <v>1</v>
      </c>
      <c r="G21" s="96"/>
      <c r="H21" s="96"/>
      <c r="I21" s="96"/>
    </row>
    <row r="22" spans="2:13" ht="18.45" x14ac:dyDescent="0.5">
      <c r="B22" s="101">
        <v>1.8149999999999999</v>
      </c>
      <c r="C22" s="102">
        <v>1</v>
      </c>
      <c r="D22" s="102">
        <v>1</v>
      </c>
      <c r="E22" s="102">
        <v>1</v>
      </c>
      <c r="F22" s="103">
        <v>1</v>
      </c>
      <c r="G22" s="96"/>
      <c r="H22" s="96"/>
      <c r="I22" s="128"/>
      <c r="J22" s="117"/>
    </row>
    <row r="23" spans="2:13" ht="18.45" x14ac:dyDescent="0.5">
      <c r="B23" s="101">
        <v>1.92</v>
      </c>
      <c r="C23" s="102">
        <v>1</v>
      </c>
      <c r="D23" s="102">
        <v>1</v>
      </c>
      <c r="E23" s="102">
        <v>1</v>
      </c>
      <c r="F23" s="103">
        <v>1</v>
      </c>
      <c r="G23" s="96"/>
      <c r="H23" s="96"/>
      <c r="I23" s="96"/>
    </row>
    <row r="24" spans="2:13" ht="18.45" x14ac:dyDescent="0.5">
      <c r="B24" s="101">
        <v>2</v>
      </c>
      <c r="C24" s="102">
        <v>1</v>
      </c>
      <c r="D24" s="102">
        <v>1</v>
      </c>
      <c r="E24" s="102">
        <v>1</v>
      </c>
      <c r="F24" s="103">
        <v>1</v>
      </c>
      <c r="G24" s="96"/>
      <c r="H24" s="96"/>
      <c r="I24" s="96"/>
      <c r="M24" s="85"/>
    </row>
    <row r="25" spans="2:13" ht="18.45" x14ac:dyDescent="0.5">
      <c r="B25" s="96"/>
      <c r="C25" s="104"/>
      <c r="D25" s="96"/>
      <c r="G25" s="96"/>
      <c r="H25" s="96"/>
      <c r="I25" s="96"/>
    </row>
    <row r="26" spans="2:13" x14ac:dyDescent="0.4">
      <c r="B26" s="256" t="s">
        <v>87</v>
      </c>
      <c r="C26" s="257"/>
      <c r="D26" s="257"/>
      <c r="E26" s="258"/>
      <c r="F26" s="105"/>
      <c r="G26" s="256" t="s">
        <v>88</v>
      </c>
      <c r="H26" s="257"/>
      <c r="I26" s="257"/>
      <c r="J26" s="257"/>
      <c r="K26" s="258"/>
    </row>
    <row r="27" spans="2:13" x14ac:dyDescent="0.4">
      <c r="B27" s="106" t="s">
        <v>89</v>
      </c>
      <c r="C27" s="107">
        <v>1</v>
      </c>
      <c r="D27" s="106" t="s">
        <v>90</v>
      </c>
      <c r="E27" s="107">
        <v>1</v>
      </c>
      <c r="F27" s="105"/>
      <c r="G27" s="106" t="s">
        <v>91</v>
      </c>
      <c r="H27" s="107">
        <v>1</v>
      </c>
      <c r="I27" s="107">
        <v>2</v>
      </c>
      <c r="J27" s="107">
        <v>0</v>
      </c>
      <c r="K27" s="107">
        <v>0</v>
      </c>
    </row>
    <row r="29" spans="2:13" x14ac:dyDescent="0.4">
      <c r="E29" s="108">
        <v>1</v>
      </c>
      <c r="G29" s="108">
        <v>2</v>
      </c>
    </row>
    <row r="31" spans="2:13" x14ac:dyDescent="0.4">
      <c r="B31" s="123" t="s">
        <v>92</v>
      </c>
      <c r="C31" s="123"/>
      <c r="D31" s="109">
        <v>2</v>
      </c>
      <c r="J31" s="110"/>
    </row>
    <row r="33" spans="7:7" x14ac:dyDescent="0.4">
      <c r="G33" s="126"/>
    </row>
  </sheetData>
  <sheetProtection selectLockedCells="1" selectUnlockedCells="1"/>
  <dataConsolidate/>
  <mergeCells count="12">
    <mergeCell ref="B26:E26"/>
    <mergeCell ref="G26:K26"/>
    <mergeCell ref="E6:F6"/>
    <mergeCell ref="B5:C5"/>
    <mergeCell ref="B6:C6"/>
    <mergeCell ref="B12:C12"/>
    <mergeCell ref="B11:C11"/>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78" zoomScale="55" zoomScaleNormal="40" zoomScaleSheetLayoutView="55" zoomScalePageLayoutView="70" workbookViewId="0">
      <selection activeCell="K91" sqref="K91"/>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7" t="s">
        <v>0</v>
      </c>
      <c r="F1" s="417"/>
      <c r="G1" s="417"/>
      <c r="H1" s="417"/>
      <c r="I1" s="417"/>
      <c r="J1" s="417"/>
      <c r="K1" s="417"/>
      <c r="L1"/>
      <c r="M1"/>
    </row>
    <row r="2" spans="1:14" ht="90" customHeight="1" thickBot="1" x14ac:dyDescent="0.45">
      <c r="A2" s="3"/>
      <c r="B2" s="3"/>
      <c r="C2" s="3"/>
      <c r="D2" s="4"/>
      <c r="E2" s="418"/>
      <c r="F2" s="418"/>
      <c r="G2" s="418"/>
      <c r="H2" s="418"/>
      <c r="I2" s="418"/>
      <c r="J2" s="418"/>
      <c r="K2" s="418"/>
      <c r="L2" s="5"/>
      <c r="M2" s="5"/>
      <c r="N2" s="6"/>
    </row>
    <row r="3" spans="1:14" ht="60.75" customHeight="1" thickTop="1" thickBot="1" x14ac:dyDescent="0.45">
      <c r="A3" s="315" t="s">
        <v>216</v>
      </c>
      <c r="B3" s="315"/>
      <c r="C3" s="315"/>
      <c r="D3" s="315"/>
      <c r="E3" s="315"/>
      <c r="F3" s="315"/>
      <c r="G3" s="315"/>
      <c r="H3" s="315"/>
      <c r="I3" s="315"/>
      <c r="J3" s="315"/>
      <c r="K3" s="316" t="s">
        <v>2</v>
      </c>
      <c r="L3" s="316"/>
      <c r="M3" s="316"/>
      <c r="N3" s="316"/>
    </row>
    <row r="4" spans="1:14" ht="38.25" customHeight="1" thickBot="1" x14ac:dyDescent="0.45">
      <c r="A4" s="315"/>
      <c r="B4" s="315"/>
      <c r="C4" s="315"/>
      <c r="D4" s="315"/>
      <c r="E4" s="315"/>
      <c r="F4" s="315"/>
      <c r="G4" s="315"/>
      <c r="H4" s="315"/>
      <c r="I4" s="315"/>
      <c r="J4" s="315"/>
      <c r="K4" s="419" t="s">
        <v>3</v>
      </c>
      <c r="L4" s="420"/>
      <c r="M4" s="421" t="s">
        <v>217</v>
      </c>
      <c r="N4" s="422"/>
    </row>
    <row r="5" spans="1:14" ht="37.5" customHeight="1" thickBot="1" x14ac:dyDescent="0.45">
      <c r="A5" s="303" t="s">
        <v>4</v>
      </c>
      <c r="B5" s="303"/>
      <c r="C5" s="303"/>
      <c r="D5" s="303"/>
      <c r="E5" s="303"/>
      <c r="F5" s="303"/>
      <c r="G5" s="303"/>
      <c r="H5" s="303"/>
      <c r="I5" s="303"/>
      <c r="J5" s="303"/>
      <c r="K5" s="7"/>
      <c r="L5" s="7"/>
      <c r="M5" s="423" t="s">
        <v>5</v>
      </c>
      <c r="N5" s="424"/>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2" t="s">
        <v>6</v>
      </c>
      <c r="B7" s="282"/>
      <c r="C7" s="282"/>
      <c r="D7" s="282"/>
      <c r="E7" s="282"/>
      <c r="F7" s="282"/>
      <c r="G7" s="282"/>
      <c r="H7" s="282"/>
      <c r="I7" s="282"/>
      <c r="J7" s="282"/>
      <c r="K7" s="282"/>
      <c r="L7" s="282"/>
      <c r="M7" s="282"/>
      <c r="N7" s="282"/>
    </row>
    <row r="8" spans="1:14" s="13" customFormat="1" ht="57" customHeight="1" thickBot="1" x14ac:dyDescent="0.45">
      <c r="A8" s="405" t="s">
        <v>7</v>
      </c>
      <c r="B8" s="406"/>
      <c r="C8" s="407"/>
      <c r="D8" s="408" t="s">
        <v>100</v>
      </c>
      <c r="E8" s="409"/>
      <c r="F8" s="409"/>
      <c r="G8" s="409"/>
      <c r="H8" s="409"/>
      <c r="I8" s="409"/>
      <c r="J8" s="409"/>
      <c r="K8" s="409"/>
      <c r="L8" s="409"/>
      <c r="M8" s="409"/>
      <c r="N8" s="410"/>
    </row>
    <row r="9" spans="1:14" ht="57" customHeight="1" thickBot="1" x14ac:dyDescent="0.45">
      <c r="A9" s="411" t="s">
        <v>8</v>
      </c>
      <c r="B9" s="412"/>
      <c r="C9" s="413"/>
      <c r="D9" s="414" t="s">
        <v>109</v>
      </c>
      <c r="E9" s="415"/>
      <c r="F9" s="415"/>
      <c r="G9" s="415"/>
      <c r="H9" s="415"/>
      <c r="I9" s="415"/>
      <c r="J9" s="415"/>
      <c r="K9" s="415"/>
      <c r="L9" s="415"/>
      <c r="M9" s="415"/>
      <c r="N9" s="416"/>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60" t="s">
        <v>9</v>
      </c>
      <c r="B11" s="360"/>
      <c r="C11" s="360"/>
      <c r="D11" s="360"/>
      <c r="E11" s="360"/>
      <c r="F11" s="360"/>
      <c r="G11" s="360"/>
      <c r="H11" s="360"/>
      <c r="I11" s="360"/>
      <c r="J11" s="360"/>
      <c r="K11" s="360"/>
      <c r="L11" s="360"/>
      <c r="M11" s="360"/>
      <c r="N11" s="360"/>
    </row>
    <row r="12" spans="1:14" ht="23.15" customHeight="1" x14ac:dyDescent="0.45">
      <c r="A12" s="379" t="s">
        <v>10</v>
      </c>
      <c r="B12" s="380"/>
      <c r="C12" s="380"/>
      <c r="D12" s="402" t="s">
        <v>214</v>
      </c>
      <c r="E12" s="403"/>
      <c r="F12" s="403"/>
      <c r="G12" s="404"/>
      <c r="I12" s="387" t="s">
        <v>11</v>
      </c>
      <c r="J12" s="388"/>
      <c r="K12" s="390" t="s">
        <v>219</v>
      </c>
      <c r="L12" s="390"/>
      <c r="M12" s="390"/>
      <c r="N12" s="391"/>
    </row>
    <row r="13" spans="1:14" ht="23.15" customHeight="1" thickBot="1" x14ac:dyDescent="0.5">
      <c r="A13" s="394" t="s">
        <v>12</v>
      </c>
      <c r="B13" s="395"/>
      <c r="C13" s="395"/>
      <c r="D13" s="334"/>
      <c r="E13" s="335"/>
      <c r="F13" s="335"/>
      <c r="G13" s="336"/>
      <c r="I13" s="396" t="s">
        <v>13</v>
      </c>
      <c r="J13" s="397"/>
      <c r="K13" s="392"/>
      <c r="L13" s="392"/>
      <c r="M13" s="392"/>
      <c r="N13" s="393"/>
    </row>
    <row r="14" spans="1:14" ht="23.15" customHeight="1" x14ac:dyDescent="0.45">
      <c r="A14" s="379" t="s">
        <v>14</v>
      </c>
      <c r="B14" s="380"/>
      <c r="C14" s="380"/>
      <c r="D14" s="381" t="s">
        <v>215</v>
      </c>
      <c r="E14" s="382"/>
      <c r="F14" s="382"/>
      <c r="G14" s="383"/>
      <c r="I14" s="387" t="s">
        <v>15</v>
      </c>
      <c r="J14" s="398"/>
      <c r="K14" s="399" t="s">
        <v>78</v>
      </c>
      <c r="L14" s="390"/>
      <c r="M14" s="390"/>
      <c r="N14" s="391"/>
    </row>
    <row r="15" spans="1:14" ht="23.15" customHeight="1" thickBot="1" x14ac:dyDescent="0.5">
      <c r="A15" s="394" t="s">
        <v>16</v>
      </c>
      <c r="B15" s="395"/>
      <c r="C15" s="395"/>
      <c r="D15" s="384"/>
      <c r="E15" s="385"/>
      <c r="F15" s="385"/>
      <c r="G15" s="386"/>
      <c r="I15" s="396" t="s">
        <v>17</v>
      </c>
      <c r="J15" s="401"/>
      <c r="K15" s="400"/>
      <c r="L15" s="392"/>
      <c r="M15" s="392"/>
      <c r="N15" s="393"/>
    </row>
    <row r="16" spans="1:14" ht="23.15" customHeight="1" x14ac:dyDescent="0.45">
      <c r="A16" s="379" t="s">
        <v>18</v>
      </c>
      <c r="B16" s="380"/>
      <c r="C16" s="380"/>
      <c r="D16" s="381" t="s">
        <v>218</v>
      </c>
      <c r="E16" s="382"/>
      <c r="F16" s="382"/>
      <c r="G16" s="383"/>
      <c r="I16" s="387" t="s">
        <v>19</v>
      </c>
      <c r="J16" s="388"/>
      <c r="K16" s="389" t="s">
        <v>238</v>
      </c>
      <c r="L16" s="390"/>
      <c r="M16" s="390"/>
      <c r="N16" s="391"/>
    </row>
    <row r="17" spans="1:14" ht="23.15" customHeight="1" thickBot="1" x14ac:dyDescent="0.5">
      <c r="A17" s="394" t="s">
        <v>20</v>
      </c>
      <c r="B17" s="395"/>
      <c r="C17" s="395"/>
      <c r="D17" s="384"/>
      <c r="E17" s="385"/>
      <c r="F17" s="385"/>
      <c r="G17" s="386"/>
      <c r="I17" s="396" t="s">
        <v>21</v>
      </c>
      <c r="J17" s="397"/>
      <c r="K17" s="392"/>
      <c r="L17" s="392"/>
      <c r="M17" s="392"/>
      <c r="N17" s="393"/>
    </row>
    <row r="18" spans="1:14" ht="23.15" customHeight="1" x14ac:dyDescent="0.45">
      <c r="A18" s="379" t="s">
        <v>22</v>
      </c>
      <c r="B18" s="380"/>
      <c r="C18" s="380"/>
      <c r="D18" s="381">
        <v>66585981</v>
      </c>
      <c r="E18" s="382"/>
      <c r="F18" s="382"/>
      <c r="G18" s="383"/>
      <c r="I18" s="387" t="s">
        <v>23</v>
      </c>
      <c r="J18" s="388"/>
      <c r="K18" s="389" t="s">
        <v>239</v>
      </c>
      <c r="L18" s="390"/>
      <c r="M18" s="390"/>
      <c r="N18" s="391"/>
    </row>
    <row r="19" spans="1:14" ht="23.15" customHeight="1" thickBot="1" x14ac:dyDescent="0.5">
      <c r="A19" s="394" t="s">
        <v>24</v>
      </c>
      <c r="B19" s="395"/>
      <c r="C19" s="395"/>
      <c r="D19" s="384"/>
      <c r="E19" s="385"/>
      <c r="F19" s="385"/>
      <c r="G19" s="386"/>
      <c r="I19" s="396" t="s">
        <v>25</v>
      </c>
      <c r="J19" s="397"/>
      <c r="K19" s="392"/>
      <c r="L19" s="392"/>
      <c r="M19" s="392"/>
      <c r="N19" s="393"/>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6" t="s">
        <v>26</v>
      </c>
      <c r="B21" s="366"/>
      <c r="C21" s="366"/>
      <c r="D21" s="366"/>
      <c r="E21" s="366"/>
      <c r="F21" s="366"/>
      <c r="G21" s="366"/>
      <c r="H21" s="366"/>
      <c r="I21" s="366"/>
      <c r="J21" s="366"/>
      <c r="K21" s="366"/>
      <c r="L21" s="366"/>
      <c r="M21" s="366"/>
      <c r="N21" s="366"/>
    </row>
    <row r="22" spans="1:14" ht="38.25" customHeight="1" x14ac:dyDescent="0.5">
      <c r="A22" s="367" t="s">
        <v>27</v>
      </c>
      <c r="B22" s="368"/>
      <c r="C22" s="368"/>
      <c r="D22" s="369" t="s">
        <v>102</v>
      </c>
      <c r="E22" s="371" t="s">
        <v>97</v>
      </c>
      <c r="F22" s="368"/>
      <c r="G22" s="369" t="s">
        <v>103</v>
      </c>
      <c r="H22" s="369"/>
      <c r="I22" s="369"/>
      <c r="J22" s="371" t="s">
        <v>28</v>
      </c>
      <c r="K22" s="368"/>
      <c r="L22" s="368"/>
      <c r="M22" s="372" t="s">
        <v>104</v>
      </c>
      <c r="N22" s="373"/>
    </row>
    <row r="23" spans="1:14" ht="38.25" customHeight="1" thickBot="1" x14ac:dyDescent="0.45">
      <c r="A23" s="376" t="s">
        <v>29</v>
      </c>
      <c r="B23" s="377"/>
      <c r="C23" s="377"/>
      <c r="D23" s="370"/>
      <c r="E23" s="378" t="s">
        <v>98</v>
      </c>
      <c r="F23" s="377"/>
      <c r="G23" s="370"/>
      <c r="H23" s="370"/>
      <c r="I23" s="370"/>
      <c r="J23" s="378" t="s">
        <v>30</v>
      </c>
      <c r="K23" s="377"/>
      <c r="L23" s="377"/>
      <c r="M23" s="374"/>
      <c r="N23" s="375"/>
    </row>
    <row r="24" spans="1:14" ht="45" customHeight="1" thickBot="1" x14ac:dyDescent="0.45">
      <c r="A24" s="17"/>
      <c r="B24" s="358"/>
      <c r="C24" s="358"/>
      <c r="D24" s="358"/>
      <c r="E24" s="358"/>
      <c r="F24" s="359"/>
      <c r="G24" s="359"/>
      <c r="H24" s="5"/>
      <c r="I24" s="5"/>
      <c r="J24" s="5"/>
      <c r="K24" s="5"/>
      <c r="L24" s="5"/>
      <c r="M24" s="5"/>
      <c r="N24" s="6"/>
    </row>
    <row r="25" spans="1:14" ht="60" customHeight="1" thickTop="1" x14ac:dyDescent="0.4">
      <c r="A25" s="360" t="s">
        <v>31</v>
      </c>
      <c r="B25" s="360"/>
      <c r="C25" s="360"/>
      <c r="D25" s="360"/>
      <c r="E25" s="360"/>
      <c r="F25" s="360"/>
      <c r="G25" s="360"/>
      <c r="H25" s="360"/>
      <c r="I25" s="360"/>
      <c r="J25" s="360"/>
      <c r="K25" s="360"/>
      <c r="L25" s="360"/>
      <c r="M25" s="360"/>
      <c r="N25" s="360"/>
    </row>
    <row r="26" spans="1:14" ht="29.25" customHeight="1" x14ac:dyDescent="0.5">
      <c r="A26" s="361" t="s">
        <v>32</v>
      </c>
      <c r="B26" s="362"/>
      <c r="C26" s="362"/>
      <c r="D26" s="363"/>
      <c r="E26" s="364" t="s">
        <v>33</v>
      </c>
      <c r="F26" s="362"/>
      <c r="G26" s="362"/>
      <c r="H26" s="362"/>
      <c r="I26" s="362"/>
      <c r="J26" s="361" t="s">
        <v>34</v>
      </c>
      <c r="K26" s="362"/>
      <c r="L26" s="365"/>
      <c r="M26" s="362" t="s">
        <v>35</v>
      </c>
      <c r="N26" s="365"/>
    </row>
    <row r="27" spans="1:14" ht="23.25" customHeight="1" x14ac:dyDescent="0.4">
      <c r="A27" s="356" t="s">
        <v>36</v>
      </c>
      <c r="B27" s="356"/>
      <c r="C27" s="356"/>
      <c r="D27" s="356"/>
      <c r="E27" s="356" t="s">
        <v>37</v>
      </c>
      <c r="F27" s="356"/>
      <c r="G27" s="356"/>
      <c r="H27" s="356"/>
      <c r="I27" s="356"/>
      <c r="J27" s="356" t="s">
        <v>38</v>
      </c>
      <c r="K27" s="356"/>
      <c r="L27" s="356"/>
      <c r="M27" s="356" t="s">
        <v>39</v>
      </c>
      <c r="N27" s="356"/>
    </row>
    <row r="28" spans="1:14" ht="71.25" customHeight="1" x14ac:dyDescent="0.4">
      <c r="A28" s="343" t="s">
        <v>105</v>
      </c>
      <c r="B28" s="343"/>
      <c r="C28" s="343"/>
      <c r="D28" s="343"/>
      <c r="E28" s="343" t="s">
        <v>211</v>
      </c>
      <c r="F28" s="343"/>
      <c r="G28" s="343"/>
      <c r="H28" s="343"/>
      <c r="I28" s="343"/>
      <c r="J28" s="343" t="s">
        <v>212</v>
      </c>
      <c r="K28" s="343"/>
      <c r="L28" s="343"/>
      <c r="M28" s="344">
        <v>45063</v>
      </c>
      <c r="N28" s="357"/>
    </row>
    <row r="29" spans="1:14" ht="71.25" customHeight="1" x14ac:dyDescent="0.4">
      <c r="A29" s="343" t="s">
        <v>105</v>
      </c>
      <c r="B29" s="343"/>
      <c r="C29" s="343"/>
      <c r="D29" s="343"/>
      <c r="E29" s="343" t="s">
        <v>211</v>
      </c>
      <c r="F29" s="343"/>
      <c r="G29" s="343"/>
      <c r="H29" s="343"/>
      <c r="I29" s="343"/>
      <c r="J29" s="343" t="s">
        <v>212</v>
      </c>
      <c r="K29" s="343"/>
      <c r="L29" s="343"/>
      <c r="M29" s="344">
        <v>45063</v>
      </c>
      <c r="N29" s="345"/>
    </row>
    <row r="30" spans="1:14" ht="71.25" customHeight="1" x14ac:dyDescent="0.4">
      <c r="A30" s="352"/>
      <c r="B30" s="352"/>
      <c r="C30" s="352"/>
      <c r="D30" s="352"/>
      <c r="E30" s="352"/>
      <c r="F30" s="352"/>
      <c r="G30" s="352"/>
      <c r="H30" s="352"/>
      <c r="I30" s="352"/>
      <c r="J30" s="353"/>
      <c r="K30" s="353"/>
      <c r="L30" s="353"/>
      <c r="M30" s="354"/>
      <c r="N30" s="355"/>
    </row>
    <row r="31" spans="1:14" ht="71.25" customHeight="1" x14ac:dyDescent="0.4">
      <c r="A31" s="352"/>
      <c r="B31" s="352"/>
      <c r="C31" s="352"/>
      <c r="D31" s="352"/>
      <c r="E31" s="352"/>
      <c r="F31" s="352"/>
      <c r="G31" s="352"/>
      <c r="H31" s="352"/>
      <c r="I31" s="352"/>
      <c r="J31" s="352"/>
      <c r="K31" s="352"/>
      <c r="L31" s="352"/>
      <c r="M31" s="355"/>
      <c r="N31" s="355"/>
    </row>
    <row r="32" spans="1:14" ht="45" customHeight="1" x14ac:dyDescent="0.4">
      <c r="A32" s="18"/>
      <c r="B32" s="18"/>
      <c r="C32" s="18"/>
      <c r="D32" s="18"/>
      <c r="E32" s="18"/>
      <c r="F32" s="18"/>
      <c r="G32" s="18"/>
      <c r="H32" s="18"/>
      <c r="I32" s="18"/>
      <c r="J32" s="18"/>
      <c r="K32" s="18"/>
      <c r="L32" s="18"/>
      <c r="M32" s="131"/>
      <c r="N32" s="131"/>
    </row>
    <row r="33" spans="1:14" ht="45" customHeight="1" x14ac:dyDescent="0.4">
      <c r="A33" s="18"/>
      <c r="B33" s="18"/>
      <c r="C33" s="18"/>
      <c r="D33" s="18"/>
      <c r="E33" s="18"/>
      <c r="F33" s="18"/>
      <c r="G33" s="18"/>
      <c r="H33" s="18"/>
      <c r="I33" s="18"/>
      <c r="J33" s="18"/>
      <c r="K33" s="18"/>
      <c r="L33" s="18"/>
      <c r="M33" s="131"/>
      <c r="N33" s="131"/>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1" t="s">
        <v>40</v>
      </c>
      <c r="B44" s="322"/>
      <c r="C44" s="322"/>
      <c r="D44" s="325">
        <v>0</v>
      </c>
      <c r="E44" s="326"/>
      <c r="F44" s="327"/>
      <c r="G44" s="346" t="s">
        <v>41</v>
      </c>
      <c r="H44" s="347"/>
      <c r="I44" s="347"/>
      <c r="J44" s="348"/>
      <c r="K44" s="347" t="s">
        <v>42</v>
      </c>
      <c r="L44" s="347"/>
      <c r="M44" s="347"/>
      <c r="N44" s="348"/>
    </row>
    <row r="45" spans="1:14" s="20" customFormat="1" ht="30" customHeight="1" thickBot="1" x14ac:dyDescent="0.4">
      <c r="A45" s="323"/>
      <c r="B45" s="324"/>
      <c r="C45" s="324"/>
      <c r="D45" s="331"/>
      <c r="E45" s="332"/>
      <c r="F45" s="333"/>
      <c r="G45" s="349" t="s">
        <v>43</v>
      </c>
      <c r="H45" s="350"/>
      <c r="I45" s="350"/>
      <c r="J45" s="351"/>
      <c r="K45" s="350" t="s">
        <v>44</v>
      </c>
      <c r="L45" s="350"/>
      <c r="M45" s="350"/>
      <c r="N45" s="351"/>
    </row>
    <row r="46" spans="1:14" s="20" customFormat="1" ht="30" customHeight="1" x14ac:dyDescent="0.35">
      <c r="A46" s="321" t="s">
        <v>45</v>
      </c>
      <c r="B46" s="322"/>
      <c r="C46" s="322"/>
      <c r="D46" s="325">
        <v>45060</v>
      </c>
      <c r="E46" s="326"/>
      <c r="F46" s="327"/>
      <c r="G46" s="337" t="s">
        <v>107</v>
      </c>
      <c r="H46" s="338"/>
      <c r="I46" s="338"/>
      <c r="J46" s="339"/>
      <c r="K46" s="340" t="s">
        <v>106</v>
      </c>
      <c r="L46" s="341"/>
      <c r="M46" s="341"/>
      <c r="N46" s="342"/>
    </row>
    <row r="47" spans="1:14" s="20" customFormat="1" ht="30" customHeight="1" thickBot="1" x14ac:dyDescent="0.4">
      <c r="A47" s="323"/>
      <c r="B47" s="324"/>
      <c r="C47" s="324"/>
      <c r="D47" s="328"/>
      <c r="E47" s="329"/>
      <c r="F47" s="330"/>
      <c r="G47" s="337"/>
      <c r="H47" s="338"/>
      <c r="I47" s="338"/>
      <c r="J47" s="339"/>
      <c r="K47" s="340"/>
      <c r="L47" s="341"/>
      <c r="M47" s="341"/>
      <c r="N47" s="342"/>
    </row>
    <row r="48" spans="1:14" s="20" customFormat="1" ht="30" customHeight="1" x14ac:dyDescent="0.35">
      <c r="A48" s="321" t="s">
        <v>46</v>
      </c>
      <c r="B48" s="322"/>
      <c r="C48" s="322"/>
      <c r="D48" s="325">
        <v>45060</v>
      </c>
      <c r="E48" s="326"/>
      <c r="F48" s="327"/>
      <c r="G48" s="337"/>
      <c r="H48" s="338"/>
      <c r="I48" s="338"/>
      <c r="J48" s="339"/>
      <c r="K48" s="340"/>
      <c r="L48" s="341"/>
      <c r="M48" s="341"/>
      <c r="N48" s="342"/>
    </row>
    <row r="49" spans="1:14" s="20" customFormat="1" ht="30" customHeight="1" thickBot="1" x14ac:dyDescent="0.4">
      <c r="A49" s="323"/>
      <c r="B49" s="324"/>
      <c r="C49" s="324"/>
      <c r="D49" s="331"/>
      <c r="E49" s="332"/>
      <c r="F49" s="333"/>
      <c r="G49" s="334"/>
      <c r="H49" s="335"/>
      <c r="I49" s="335"/>
      <c r="J49" s="336"/>
      <c r="K49" s="335"/>
      <c r="L49" s="335"/>
      <c r="M49" s="335"/>
      <c r="N49" s="336"/>
    </row>
    <row r="50" spans="1:14" ht="16.5" customHeight="1" x14ac:dyDescent="0.4">
      <c r="A50" s="311" t="s">
        <v>47</v>
      </c>
      <c r="B50" s="311"/>
      <c r="C50" s="311"/>
      <c r="D50" s="312"/>
      <c r="E50"/>
      <c r="F50"/>
      <c r="G50"/>
      <c r="H50"/>
      <c r="I50"/>
      <c r="J50"/>
      <c r="K50"/>
      <c r="L50"/>
      <c r="M50"/>
    </row>
    <row r="51" spans="1:14" ht="47.25" customHeight="1" x14ac:dyDescent="0.4">
      <c r="C51" s="2"/>
      <c r="E51" s="313" t="s">
        <v>48</v>
      </c>
      <c r="F51" s="313"/>
      <c r="G51" s="313"/>
      <c r="H51" s="313"/>
      <c r="I51" s="313"/>
      <c r="J51" s="313"/>
      <c r="K51" s="313"/>
      <c r="L51"/>
      <c r="M51"/>
    </row>
    <row r="52" spans="1:14" ht="90" customHeight="1" thickBot="1" x14ac:dyDescent="0.45">
      <c r="A52" s="3"/>
      <c r="B52" s="3"/>
      <c r="C52" s="3"/>
      <c r="D52" s="23"/>
      <c r="E52" s="314"/>
      <c r="F52" s="314"/>
      <c r="G52" s="314"/>
      <c r="H52" s="314"/>
      <c r="I52" s="314"/>
      <c r="J52" s="314"/>
      <c r="K52" s="314"/>
      <c r="L52" s="24"/>
      <c r="M52" s="5"/>
      <c r="N52" s="6"/>
    </row>
    <row r="53" spans="1:14" ht="60.75" customHeight="1" thickTop="1" thickBot="1" x14ac:dyDescent="0.45">
      <c r="A53" s="315" t="s">
        <v>1</v>
      </c>
      <c r="B53" s="315"/>
      <c r="C53" s="315"/>
      <c r="D53" s="315"/>
      <c r="E53" s="315"/>
      <c r="F53" s="315"/>
      <c r="G53" s="315"/>
      <c r="H53" s="315"/>
      <c r="I53" s="315"/>
      <c r="J53" s="315"/>
      <c r="K53" s="316" t="s">
        <v>2</v>
      </c>
      <c r="L53" s="316"/>
      <c r="M53" s="316"/>
      <c r="N53" s="316"/>
    </row>
    <row r="54" spans="1:14" ht="38.25" customHeight="1" thickBot="1" x14ac:dyDescent="0.45">
      <c r="A54" s="315"/>
      <c r="B54" s="315"/>
      <c r="C54" s="315"/>
      <c r="D54" s="315"/>
      <c r="E54" s="315"/>
      <c r="F54" s="315"/>
      <c r="G54" s="315"/>
      <c r="H54" s="315"/>
      <c r="I54" s="315"/>
      <c r="J54" s="315"/>
      <c r="K54" s="317" t="s">
        <v>49</v>
      </c>
      <c r="L54" s="318"/>
      <c r="M54" s="319" t="s">
        <v>217</v>
      </c>
      <c r="N54" s="320"/>
    </row>
    <row r="55" spans="1:14" ht="37.5" customHeight="1" thickBot="1" x14ac:dyDescent="0.45">
      <c r="A55" s="303" t="s">
        <v>4</v>
      </c>
      <c r="B55" s="303"/>
      <c r="C55" s="303"/>
      <c r="D55" s="303"/>
      <c r="E55" s="303"/>
      <c r="F55" s="303"/>
      <c r="G55" s="303"/>
      <c r="H55" s="303"/>
      <c r="I55" s="303"/>
      <c r="J55" s="303"/>
      <c r="K55" s="25"/>
      <c r="L55" s="25"/>
      <c r="M55" s="304" t="s">
        <v>50</v>
      </c>
      <c r="N55" s="305"/>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06" t="s">
        <v>51</v>
      </c>
      <c r="B58" s="306"/>
      <c r="C58" s="306"/>
      <c r="D58" s="306"/>
      <c r="E58" s="306"/>
      <c r="F58" s="306"/>
      <c r="G58" s="306"/>
      <c r="H58" s="306"/>
      <c r="I58" s="306"/>
      <c r="J58" s="306"/>
      <c r="K58" s="306"/>
      <c r="L58" s="306"/>
      <c r="M58" s="306"/>
      <c r="N58" s="306"/>
    </row>
    <row r="59" spans="1:14" ht="24" customHeight="1" x14ac:dyDescent="0.4">
      <c r="A59" s="307" t="s">
        <v>52</v>
      </c>
      <c r="B59" s="307"/>
      <c r="C59" s="307"/>
      <c r="D59" s="307"/>
      <c r="E59" s="307"/>
      <c r="F59" s="307"/>
      <c r="G59" s="307"/>
      <c r="H59" s="307"/>
      <c r="I59" s="307"/>
      <c r="J59" s="307"/>
      <c r="K59" s="307"/>
      <c r="L59" s="307"/>
      <c r="M59" s="307"/>
      <c r="N59" s="307"/>
    </row>
    <row r="60" spans="1:14" ht="23.25" customHeight="1" x14ac:dyDescent="0.4">
      <c r="A60" s="308" t="s">
        <v>53</v>
      </c>
      <c r="B60" s="308"/>
      <c r="C60" s="308"/>
      <c r="D60" s="308"/>
      <c r="E60" s="308"/>
      <c r="F60" s="308"/>
      <c r="G60" s="308"/>
      <c r="H60" s="308"/>
      <c r="I60" s="308"/>
      <c r="J60" s="308"/>
      <c r="K60" s="308"/>
      <c r="L60" s="308"/>
      <c r="M60" s="308"/>
      <c r="N60" s="308"/>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09"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0"/>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97"/>
      <c r="B64" s="298"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97"/>
      <c r="B65" s="299"/>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97"/>
      <c r="B66" s="47"/>
      <c r="C66" s="41"/>
      <c r="D66" s="41"/>
      <c r="E66" s="41"/>
      <c r="F66" s="41"/>
      <c r="G66" s="41"/>
      <c r="H66" s="41"/>
      <c r="I66" s="41"/>
      <c r="J66" s="41"/>
      <c r="K66" s="41"/>
      <c r="L66" s="41"/>
      <c r="M66" s="41"/>
    </row>
    <row r="67" spans="1:14" s="13" customFormat="1" ht="24" hidden="1" customHeight="1" x14ac:dyDescent="0.4">
      <c r="A67" s="297"/>
      <c r="B67" s="300"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97"/>
      <c r="B68" s="301"/>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97"/>
      <c r="B69" s="298"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97"/>
      <c r="B70" s="299"/>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97"/>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2"/>
      <c r="B73" s="302"/>
      <c r="C73" s="302"/>
      <c r="D73" s="52" t="s">
        <v>56</v>
      </c>
      <c r="E73" s="52" t="s">
        <v>57</v>
      </c>
      <c r="F73" s="51"/>
      <c r="G73" s="51"/>
      <c r="H73" s="51"/>
      <c r="I73" s="51"/>
      <c r="J73" s="31"/>
      <c r="K73" s="31"/>
      <c r="L73" s="31"/>
      <c r="M73" s="31"/>
    </row>
    <row r="74" spans="1:14" ht="24" hidden="1" customHeight="1" x14ac:dyDescent="0.4">
      <c r="A74" s="283" t="s">
        <v>58</v>
      </c>
      <c r="B74" s="283"/>
      <c r="C74" s="283"/>
      <c r="D74" s="53" t="e">
        <f>MAX(#REF!)</f>
        <v>#REF!</v>
      </c>
      <c r="E74" s="54" t="e">
        <f>D74/25400</f>
        <v>#REF!</v>
      </c>
      <c r="G74" s="284" t="s">
        <v>59</v>
      </c>
      <c r="H74" s="285"/>
      <c r="I74" s="55" t="e">
        <f>#REF!*9.81/1000</f>
        <v>#REF!</v>
      </c>
    </row>
    <row r="75" spans="1:14" ht="6" hidden="1" customHeight="1" x14ac:dyDescent="0.4">
      <c r="A75" s="283" t="s">
        <v>60</v>
      </c>
      <c r="B75" s="283"/>
      <c r="C75" s="283"/>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6"/>
      <c r="B77" s="286"/>
      <c r="C77" s="286"/>
      <c r="D77" s="286"/>
      <c r="E77" s="286"/>
      <c r="F77" s="286"/>
      <c r="G77" s="286"/>
      <c r="H77" s="286"/>
      <c r="I77" s="286"/>
      <c r="J77" s="286"/>
      <c r="K77" s="286"/>
      <c r="L77" s="286"/>
      <c r="M77" s="56"/>
      <c r="N77" s="5"/>
    </row>
    <row r="78" spans="1:14" ht="60" customHeight="1" thickTop="1" thickBot="1" x14ac:dyDescent="0.45">
      <c r="A78" s="282" t="s">
        <v>61</v>
      </c>
      <c r="B78" s="282"/>
      <c r="C78" s="282"/>
      <c r="D78" s="282"/>
      <c r="E78" s="282"/>
      <c r="F78" s="282"/>
      <c r="G78" s="282"/>
      <c r="H78" s="282"/>
      <c r="I78" s="282"/>
      <c r="J78" s="282"/>
      <c r="K78" s="282"/>
      <c r="L78" s="282"/>
      <c r="M78" s="282"/>
      <c r="N78" s="282"/>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93" t="s">
        <v>222</v>
      </c>
      <c r="B81" s="294"/>
      <c r="C81" s="247" t="s">
        <v>227</v>
      </c>
      <c r="D81" s="247" t="s">
        <v>228</v>
      </c>
      <c r="E81" s="247" t="s">
        <v>229</v>
      </c>
      <c r="F81" s="247" t="s">
        <v>230</v>
      </c>
      <c r="G81" s="247" t="s">
        <v>231</v>
      </c>
      <c r="H81" s="247" t="s">
        <v>232</v>
      </c>
      <c r="I81" s="247" t="s">
        <v>233</v>
      </c>
      <c r="J81" s="247" t="s">
        <v>234</v>
      </c>
      <c r="K81" s="247" t="s">
        <v>235</v>
      </c>
      <c r="L81" s="248" t="s">
        <v>236</v>
      </c>
      <c r="M81" s="249" t="s">
        <v>237</v>
      </c>
      <c r="N81"/>
    </row>
    <row r="82" spans="1:14" ht="62.15" customHeight="1" thickBot="1" x14ac:dyDescent="0.45">
      <c r="A82" s="295" t="s">
        <v>221</v>
      </c>
      <c r="B82" s="296"/>
      <c r="C82" s="250" t="s">
        <v>224</v>
      </c>
      <c r="D82" s="250" t="s">
        <v>223</v>
      </c>
      <c r="E82" s="250" t="s">
        <v>225</v>
      </c>
      <c r="F82" s="250" t="s">
        <v>226</v>
      </c>
      <c r="G82" s="250" t="s">
        <v>223</v>
      </c>
      <c r="H82" s="250" t="s">
        <v>226</v>
      </c>
      <c r="I82" s="250" t="s">
        <v>223</v>
      </c>
      <c r="J82" s="250" t="s">
        <v>223</v>
      </c>
      <c r="K82" s="250" t="s">
        <v>223</v>
      </c>
      <c r="L82" s="251" t="s">
        <v>223</v>
      </c>
      <c r="M82" s="252" t="s">
        <v>223</v>
      </c>
      <c r="N82"/>
    </row>
    <row r="83" spans="1:14" ht="8.15" customHeight="1" x14ac:dyDescent="0.5">
      <c r="A83" s="59"/>
      <c r="B83" s="59"/>
      <c r="C83" s="60"/>
      <c r="D83" s="61"/>
      <c r="E83" s="61"/>
      <c r="F83" s="61"/>
      <c r="G83" s="61"/>
      <c r="H83" s="61"/>
      <c r="I83" s="62"/>
      <c r="J83" s="22"/>
      <c r="K83" s="22"/>
      <c r="L83" s="111"/>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7" t="s">
        <v>63</v>
      </c>
      <c r="B89" s="288"/>
      <c r="C89" s="288"/>
      <c r="D89" s="289"/>
      <c r="E89" s="440" t="s">
        <v>240</v>
      </c>
      <c r="F89" s="66"/>
      <c r="G89" s="66"/>
      <c r="H89" s="290" t="s">
        <v>64</v>
      </c>
      <c r="I89" s="291"/>
      <c r="J89" s="292"/>
      <c r="K89" s="253">
        <v>2</v>
      </c>
      <c r="L89" s="22"/>
    </row>
    <row r="90" spans="1:14" ht="38.6" customHeight="1" thickBot="1" x14ac:dyDescent="0.55000000000000004">
      <c r="A90" s="274" t="s">
        <v>65</v>
      </c>
      <c r="B90" s="275"/>
      <c r="C90" s="275"/>
      <c r="D90" s="276"/>
      <c r="E90" s="439" t="s">
        <v>223</v>
      </c>
      <c r="F90" s="66"/>
      <c r="G90" s="66"/>
      <c r="L90" s="22"/>
    </row>
    <row r="91" spans="1:14" ht="9" customHeight="1" x14ac:dyDescent="0.5">
      <c r="A91" s="277"/>
      <c r="B91" s="277"/>
      <c r="C91" s="277"/>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78" t="s">
        <v>66</v>
      </c>
      <c r="B99" s="279"/>
      <c r="C99" s="280" t="s">
        <v>213</v>
      </c>
      <c r="D99" s="280"/>
      <c r="E99" s="280"/>
      <c r="F99" s="281"/>
      <c r="G99" s="281"/>
      <c r="H99" s="281"/>
      <c r="I99" s="281"/>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82" t="s">
        <v>67</v>
      </c>
      <c r="B101" s="282"/>
      <c r="C101" s="282"/>
      <c r="D101" s="282"/>
      <c r="E101" s="282"/>
      <c r="F101" s="282"/>
      <c r="G101" s="282"/>
      <c r="H101" s="282"/>
      <c r="I101" s="282"/>
      <c r="J101" s="282"/>
      <c r="K101" s="282"/>
      <c r="L101" s="282"/>
      <c r="M101" s="282"/>
      <c r="N101" s="282"/>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69" t="s">
        <v>68</v>
      </c>
      <c r="D103" s="269"/>
      <c r="E103" s="269"/>
      <c r="F103" s="71" t="s">
        <v>241</v>
      </c>
      <c r="G103" s="72"/>
      <c r="I103" s="270" t="s">
        <v>69</v>
      </c>
      <c r="J103" s="270"/>
      <c r="K103" s="71" t="s">
        <v>242</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71" t="s">
        <v>70</v>
      </c>
      <c r="B105" s="271"/>
      <c r="C105" s="271"/>
      <c r="D105" s="271"/>
      <c r="E105" s="271"/>
      <c r="F105" s="271"/>
      <c r="G105" s="271"/>
      <c r="H105" s="271"/>
      <c r="I105" s="271"/>
      <c r="J105" s="271"/>
      <c r="K105" s="271"/>
      <c r="L105" s="271"/>
      <c r="M105" s="271"/>
      <c r="N105" s="271"/>
    </row>
    <row r="106" spans="1:16" ht="92.25" customHeight="1" x14ac:dyDescent="0.4">
      <c r="A106" s="272" t="s">
        <v>71</v>
      </c>
      <c r="B106" s="272"/>
      <c r="C106" s="272"/>
      <c r="D106" s="272"/>
      <c r="E106" s="272"/>
      <c r="F106" s="272"/>
      <c r="G106" s="272"/>
      <c r="H106" s="272"/>
      <c r="I106" s="272"/>
      <c r="J106" s="272"/>
      <c r="K106" s="272"/>
      <c r="L106" s="272"/>
      <c r="M106" s="272"/>
      <c r="N106" s="272"/>
      <c r="O106" s="76"/>
      <c r="P106" s="76"/>
    </row>
    <row r="107" spans="1:16" ht="79.5" customHeight="1" x14ac:dyDescent="0.4">
      <c r="A107" s="272" t="s">
        <v>72</v>
      </c>
      <c r="B107" s="272"/>
      <c r="C107" s="272"/>
      <c r="D107" s="272"/>
      <c r="E107" s="272"/>
      <c r="F107" s="272"/>
      <c r="G107" s="272"/>
      <c r="H107" s="272"/>
      <c r="I107" s="272"/>
      <c r="J107" s="272"/>
      <c r="K107" s="272"/>
      <c r="L107" s="272"/>
      <c r="M107" s="272"/>
      <c r="N107" s="272"/>
      <c r="O107" s="76"/>
      <c r="P107" s="76"/>
    </row>
    <row r="108" spans="1:16" ht="39" customHeight="1" x14ac:dyDescent="0.55000000000000004">
      <c r="A108" s="264" t="s">
        <v>73</v>
      </c>
      <c r="B108" s="264"/>
      <c r="C108" s="264"/>
      <c r="D108" s="264"/>
      <c r="F108" s="273"/>
      <c r="G108" s="273"/>
      <c r="H108" s="77"/>
      <c r="I108" s="73"/>
      <c r="J108" s="73"/>
      <c r="K108" s="73"/>
      <c r="L108" s="73"/>
      <c r="M108" s="73"/>
    </row>
    <row r="109" spans="1:16" ht="35.25" customHeight="1" x14ac:dyDescent="0.55000000000000004">
      <c r="A109" s="264" t="s">
        <v>74</v>
      </c>
      <c r="B109" s="264"/>
      <c r="C109" s="264"/>
      <c r="D109" s="264"/>
      <c r="F109" s="265" t="s">
        <v>108</v>
      </c>
      <c r="G109" s="265"/>
      <c r="H109" s="265"/>
      <c r="I109" s="73"/>
      <c r="J109" s="73"/>
      <c r="K109" s="73"/>
      <c r="L109" s="73"/>
      <c r="M109" s="73"/>
    </row>
    <row r="110" spans="1:16" ht="40.5" customHeight="1" x14ac:dyDescent="0.55000000000000004">
      <c r="A110" s="264" t="s">
        <v>75</v>
      </c>
      <c r="B110" s="264"/>
      <c r="C110" s="264"/>
      <c r="D110" s="264"/>
      <c r="E110" s="264"/>
      <c r="F110" s="78" t="s">
        <v>76</v>
      </c>
      <c r="G110" s="79"/>
      <c r="H110" s="72"/>
      <c r="I110" s="73"/>
      <c r="J110" s="73"/>
      <c r="K110" s="73"/>
      <c r="L110" s="73"/>
      <c r="M110" s="73"/>
    </row>
    <row r="111" spans="1:16" s="80" customFormat="1" ht="50.15" customHeight="1" x14ac:dyDescent="0.4"/>
    <row r="112" spans="1:16" s="80" customFormat="1" ht="43.2" customHeight="1" x14ac:dyDescent="0.4">
      <c r="D112" s="266" t="s">
        <v>77</v>
      </c>
      <c r="E112" s="266"/>
      <c r="F112" s="266"/>
      <c r="G112" s="266"/>
      <c r="H112" s="266"/>
      <c r="I112" s="266"/>
      <c r="J112" s="266"/>
      <c r="K112" s="266"/>
      <c r="L112" s="266"/>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67" t="s">
        <v>47</v>
      </c>
      <c r="B130" s="267"/>
      <c r="C130" s="267"/>
      <c r="D130" s="267"/>
      <c r="E130" s="267"/>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68"/>
      <c r="F145" s="268"/>
      <c r="G145" s="268"/>
      <c r="H145" s="268"/>
      <c r="I145" s="268"/>
      <c r="J145" s="268"/>
      <c r="K145" s="90"/>
    </row>
    <row r="146" spans="1:13" x14ac:dyDescent="0.4">
      <c r="A146"/>
      <c r="B146"/>
      <c r="C146"/>
      <c r="D146"/>
      <c r="E146"/>
      <c r="F146"/>
      <c r="G146"/>
      <c r="H146"/>
      <c r="I146"/>
      <c r="J146"/>
      <c r="K146"/>
      <c r="L146"/>
      <c r="M146"/>
    </row>
  </sheetData>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0" zoomScaleNormal="100" workbookViewId="0">
      <selection activeCell="N27" sqref="N27"/>
    </sheetView>
  </sheetViews>
  <sheetFormatPr baseColWidth="10" defaultRowHeight="11.6" x14ac:dyDescent="0.4"/>
  <cols>
    <col min="1" max="1" width="21.69140625" style="132" customWidth="1"/>
    <col min="2" max="2" width="16.3046875" style="132" customWidth="1"/>
    <col min="3" max="3" width="13.69140625" style="133" customWidth="1"/>
    <col min="4" max="4" width="15.84375" style="134" customWidth="1"/>
    <col min="5" max="5" width="11.84375" style="132" customWidth="1"/>
    <col min="6" max="7" width="11.07421875" style="132"/>
    <col min="8" max="9" width="13.4609375" style="132" customWidth="1"/>
    <col min="10" max="10" width="11.07421875" style="132"/>
    <col min="11" max="11" width="11.84375" style="132" customWidth="1"/>
    <col min="12" max="255" width="11.07421875" style="132"/>
    <col min="256" max="256" width="5.69140625" style="132" customWidth="1"/>
    <col min="257" max="257" width="21.69140625" style="132" customWidth="1"/>
    <col min="258" max="258" width="16.3046875" style="132" customWidth="1"/>
    <col min="259" max="259" width="13.69140625" style="132" customWidth="1"/>
    <col min="260" max="260" width="15.84375" style="132" customWidth="1"/>
    <col min="261" max="261" width="11.84375" style="132" customWidth="1"/>
    <col min="262" max="511" width="11.07421875" style="132"/>
    <col min="512" max="512" width="5.69140625" style="132" customWidth="1"/>
    <col min="513" max="513" width="21.69140625" style="132" customWidth="1"/>
    <col min="514" max="514" width="16.3046875" style="132" customWidth="1"/>
    <col min="515" max="515" width="13.69140625" style="132" customWidth="1"/>
    <col min="516" max="516" width="15.84375" style="132" customWidth="1"/>
    <col min="517" max="517" width="11.84375" style="132" customWidth="1"/>
    <col min="518" max="767" width="11.07421875" style="132"/>
    <col min="768" max="768" width="5.69140625" style="132" customWidth="1"/>
    <col min="769" max="769" width="21.69140625" style="132" customWidth="1"/>
    <col min="770" max="770" width="16.3046875" style="132" customWidth="1"/>
    <col min="771" max="771" width="13.69140625" style="132" customWidth="1"/>
    <col min="772" max="772" width="15.84375" style="132" customWidth="1"/>
    <col min="773" max="773" width="11.84375" style="132" customWidth="1"/>
    <col min="774" max="1023" width="11.07421875" style="132"/>
    <col min="1024" max="1024" width="5.69140625" style="132" customWidth="1"/>
    <col min="1025" max="1025" width="21.69140625" style="132" customWidth="1"/>
    <col min="1026" max="1026" width="16.3046875" style="132" customWidth="1"/>
    <col min="1027" max="1027" width="13.69140625" style="132" customWidth="1"/>
    <col min="1028" max="1028" width="15.84375" style="132" customWidth="1"/>
    <col min="1029" max="1029" width="11.84375" style="132" customWidth="1"/>
    <col min="1030" max="1279" width="11.07421875" style="132"/>
    <col min="1280" max="1280" width="5.69140625" style="132" customWidth="1"/>
    <col min="1281" max="1281" width="21.69140625" style="132" customWidth="1"/>
    <col min="1282" max="1282" width="16.3046875" style="132" customWidth="1"/>
    <col min="1283" max="1283" width="13.69140625" style="132" customWidth="1"/>
    <col min="1284" max="1284" width="15.84375" style="132" customWidth="1"/>
    <col min="1285" max="1285" width="11.84375" style="132" customWidth="1"/>
    <col min="1286" max="1535" width="11.07421875" style="132"/>
    <col min="1536" max="1536" width="5.69140625" style="132" customWidth="1"/>
    <col min="1537" max="1537" width="21.69140625" style="132" customWidth="1"/>
    <col min="1538" max="1538" width="16.3046875" style="132" customWidth="1"/>
    <col min="1539" max="1539" width="13.69140625" style="132" customWidth="1"/>
    <col min="1540" max="1540" width="15.84375" style="132" customWidth="1"/>
    <col min="1541" max="1541" width="11.84375" style="132" customWidth="1"/>
    <col min="1542" max="1791" width="11.07421875" style="132"/>
    <col min="1792" max="1792" width="5.69140625" style="132" customWidth="1"/>
    <col min="1793" max="1793" width="21.69140625" style="132" customWidth="1"/>
    <col min="1794" max="1794" width="16.3046875" style="132" customWidth="1"/>
    <col min="1795" max="1795" width="13.69140625" style="132" customWidth="1"/>
    <col min="1796" max="1796" width="15.84375" style="132" customWidth="1"/>
    <col min="1797" max="1797" width="11.84375" style="132" customWidth="1"/>
    <col min="1798" max="2047" width="11.07421875" style="132"/>
    <col min="2048" max="2048" width="5.69140625" style="132" customWidth="1"/>
    <col min="2049" max="2049" width="21.69140625" style="132" customWidth="1"/>
    <col min="2050" max="2050" width="16.3046875" style="132" customWidth="1"/>
    <col min="2051" max="2051" width="13.69140625" style="132" customWidth="1"/>
    <col min="2052" max="2052" width="15.84375" style="132" customWidth="1"/>
    <col min="2053" max="2053" width="11.84375" style="132" customWidth="1"/>
    <col min="2054" max="2303" width="11.07421875" style="132"/>
    <col min="2304" max="2304" width="5.69140625" style="132" customWidth="1"/>
    <col min="2305" max="2305" width="21.69140625" style="132" customWidth="1"/>
    <col min="2306" max="2306" width="16.3046875" style="132" customWidth="1"/>
    <col min="2307" max="2307" width="13.69140625" style="132" customWidth="1"/>
    <col min="2308" max="2308" width="15.84375" style="132" customWidth="1"/>
    <col min="2309" max="2309" width="11.84375" style="132" customWidth="1"/>
    <col min="2310" max="2559" width="11.07421875" style="132"/>
    <col min="2560" max="2560" width="5.69140625" style="132" customWidth="1"/>
    <col min="2561" max="2561" width="21.69140625" style="132" customWidth="1"/>
    <col min="2562" max="2562" width="16.3046875" style="132" customWidth="1"/>
    <col min="2563" max="2563" width="13.69140625" style="132" customWidth="1"/>
    <col min="2564" max="2564" width="15.84375" style="132" customWidth="1"/>
    <col min="2565" max="2565" width="11.84375" style="132" customWidth="1"/>
    <col min="2566" max="2815" width="11.07421875" style="132"/>
    <col min="2816" max="2816" width="5.69140625" style="132" customWidth="1"/>
    <col min="2817" max="2817" width="21.69140625" style="132" customWidth="1"/>
    <col min="2818" max="2818" width="16.3046875" style="132" customWidth="1"/>
    <col min="2819" max="2819" width="13.69140625" style="132" customWidth="1"/>
    <col min="2820" max="2820" width="15.84375" style="132" customWidth="1"/>
    <col min="2821" max="2821" width="11.84375" style="132" customWidth="1"/>
    <col min="2822" max="3071" width="11.07421875" style="132"/>
    <col min="3072" max="3072" width="5.69140625" style="132" customWidth="1"/>
    <col min="3073" max="3073" width="21.69140625" style="132" customWidth="1"/>
    <col min="3074" max="3074" width="16.3046875" style="132" customWidth="1"/>
    <col min="3075" max="3075" width="13.69140625" style="132" customWidth="1"/>
    <col min="3076" max="3076" width="15.84375" style="132" customWidth="1"/>
    <col min="3077" max="3077" width="11.84375" style="132" customWidth="1"/>
    <col min="3078" max="3327" width="11.07421875" style="132"/>
    <col min="3328" max="3328" width="5.69140625" style="132" customWidth="1"/>
    <col min="3329" max="3329" width="21.69140625" style="132" customWidth="1"/>
    <col min="3330" max="3330" width="16.3046875" style="132" customWidth="1"/>
    <col min="3331" max="3331" width="13.69140625" style="132" customWidth="1"/>
    <col min="3332" max="3332" width="15.84375" style="132" customWidth="1"/>
    <col min="3333" max="3333" width="11.84375" style="132" customWidth="1"/>
    <col min="3334" max="3583" width="11.07421875" style="132"/>
    <col min="3584" max="3584" width="5.69140625" style="132" customWidth="1"/>
    <col min="3585" max="3585" width="21.69140625" style="132" customWidth="1"/>
    <col min="3586" max="3586" width="16.3046875" style="132" customWidth="1"/>
    <col min="3587" max="3587" width="13.69140625" style="132" customWidth="1"/>
    <col min="3588" max="3588" width="15.84375" style="132" customWidth="1"/>
    <col min="3589" max="3589" width="11.84375" style="132" customWidth="1"/>
    <col min="3590" max="3839" width="11.07421875" style="132"/>
    <col min="3840" max="3840" width="5.69140625" style="132" customWidth="1"/>
    <col min="3841" max="3841" width="21.69140625" style="132" customWidth="1"/>
    <col min="3842" max="3842" width="16.3046875" style="132" customWidth="1"/>
    <col min="3843" max="3843" width="13.69140625" style="132" customWidth="1"/>
    <col min="3844" max="3844" width="15.84375" style="132" customWidth="1"/>
    <col min="3845" max="3845" width="11.84375" style="132" customWidth="1"/>
    <col min="3846" max="4095" width="11.07421875" style="132"/>
    <col min="4096" max="4096" width="5.69140625" style="132" customWidth="1"/>
    <col min="4097" max="4097" width="21.69140625" style="132" customWidth="1"/>
    <col min="4098" max="4098" width="16.3046875" style="132" customWidth="1"/>
    <col min="4099" max="4099" width="13.69140625" style="132" customWidth="1"/>
    <col min="4100" max="4100" width="15.84375" style="132" customWidth="1"/>
    <col min="4101" max="4101" width="11.84375" style="132" customWidth="1"/>
    <col min="4102" max="4351" width="11.07421875" style="132"/>
    <col min="4352" max="4352" width="5.69140625" style="132" customWidth="1"/>
    <col min="4353" max="4353" width="21.69140625" style="132" customWidth="1"/>
    <col min="4354" max="4354" width="16.3046875" style="132" customWidth="1"/>
    <col min="4355" max="4355" width="13.69140625" style="132" customWidth="1"/>
    <col min="4356" max="4356" width="15.84375" style="132" customWidth="1"/>
    <col min="4357" max="4357" width="11.84375" style="132" customWidth="1"/>
    <col min="4358" max="4607" width="11.07421875" style="132"/>
    <col min="4608" max="4608" width="5.69140625" style="132" customWidth="1"/>
    <col min="4609" max="4609" width="21.69140625" style="132" customWidth="1"/>
    <col min="4610" max="4610" width="16.3046875" style="132" customWidth="1"/>
    <col min="4611" max="4611" width="13.69140625" style="132" customWidth="1"/>
    <col min="4612" max="4612" width="15.84375" style="132" customWidth="1"/>
    <col min="4613" max="4613" width="11.84375" style="132" customWidth="1"/>
    <col min="4614" max="4863" width="11.07421875" style="132"/>
    <col min="4864" max="4864" width="5.69140625" style="132" customWidth="1"/>
    <col min="4865" max="4865" width="21.69140625" style="132" customWidth="1"/>
    <col min="4866" max="4866" width="16.3046875" style="132" customWidth="1"/>
    <col min="4867" max="4867" width="13.69140625" style="132" customWidth="1"/>
    <col min="4868" max="4868" width="15.84375" style="132" customWidth="1"/>
    <col min="4869" max="4869" width="11.84375" style="132" customWidth="1"/>
    <col min="4870" max="5119" width="11.07421875" style="132"/>
    <col min="5120" max="5120" width="5.69140625" style="132" customWidth="1"/>
    <col min="5121" max="5121" width="21.69140625" style="132" customWidth="1"/>
    <col min="5122" max="5122" width="16.3046875" style="132" customWidth="1"/>
    <col min="5123" max="5123" width="13.69140625" style="132" customWidth="1"/>
    <col min="5124" max="5124" width="15.84375" style="132" customWidth="1"/>
    <col min="5125" max="5125" width="11.84375" style="132" customWidth="1"/>
    <col min="5126" max="5375" width="11.07421875" style="132"/>
    <col min="5376" max="5376" width="5.69140625" style="132" customWidth="1"/>
    <col min="5377" max="5377" width="21.69140625" style="132" customWidth="1"/>
    <col min="5378" max="5378" width="16.3046875" style="132" customWidth="1"/>
    <col min="5379" max="5379" width="13.69140625" style="132" customWidth="1"/>
    <col min="5380" max="5380" width="15.84375" style="132" customWidth="1"/>
    <col min="5381" max="5381" width="11.84375" style="132" customWidth="1"/>
    <col min="5382" max="5631" width="11.07421875" style="132"/>
    <col min="5632" max="5632" width="5.69140625" style="132" customWidth="1"/>
    <col min="5633" max="5633" width="21.69140625" style="132" customWidth="1"/>
    <col min="5634" max="5634" width="16.3046875" style="132" customWidth="1"/>
    <col min="5635" max="5635" width="13.69140625" style="132" customWidth="1"/>
    <col min="5636" max="5636" width="15.84375" style="132" customWidth="1"/>
    <col min="5637" max="5637" width="11.84375" style="132" customWidth="1"/>
    <col min="5638" max="5887" width="11.07421875" style="132"/>
    <col min="5888" max="5888" width="5.69140625" style="132" customWidth="1"/>
    <col min="5889" max="5889" width="21.69140625" style="132" customWidth="1"/>
    <col min="5890" max="5890" width="16.3046875" style="132" customWidth="1"/>
    <col min="5891" max="5891" width="13.69140625" style="132" customWidth="1"/>
    <col min="5892" max="5892" width="15.84375" style="132" customWidth="1"/>
    <col min="5893" max="5893" width="11.84375" style="132" customWidth="1"/>
    <col min="5894" max="6143" width="11.07421875" style="132"/>
    <col min="6144" max="6144" width="5.69140625" style="132" customWidth="1"/>
    <col min="6145" max="6145" width="21.69140625" style="132" customWidth="1"/>
    <col min="6146" max="6146" width="16.3046875" style="132" customWidth="1"/>
    <col min="6147" max="6147" width="13.69140625" style="132" customWidth="1"/>
    <col min="6148" max="6148" width="15.84375" style="132" customWidth="1"/>
    <col min="6149" max="6149" width="11.84375" style="132" customWidth="1"/>
    <col min="6150" max="6399" width="11.07421875" style="132"/>
    <col min="6400" max="6400" width="5.69140625" style="132" customWidth="1"/>
    <col min="6401" max="6401" width="21.69140625" style="132" customWidth="1"/>
    <col min="6402" max="6402" width="16.3046875" style="132" customWidth="1"/>
    <col min="6403" max="6403" width="13.69140625" style="132" customWidth="1"/>
    <col min="6404" max="6404" width="15.84375" style="132" customWidth="1"/>
    <col min="6405" max="6405" width="11.84375" style="132" customWidth="1"/>
    <col min="6406" max="6655" width="11.07421875" style="132"/>
    <col min="6656" max="6656" width="5.69140625" style="132" customWidth="1"/>
    <col min="6657" max="6657" width="21.69140625" style="132" customWidth="1"/>
    <col min="6658" max="6658" width="16.3046875" style="132" customWidth="1"/>
    <col min="6659" max="6659" width="13.69140625" style="132" customWidth="1"/>
    <col min="6660" max="6660" width="15.84375" style="132" customWidth="1"/>
    <col min="6661" max="6661" width="11.84375" style="132" customWidth="1"/>
    <col min="6662" max="6911" width="11.07421875" style="132"/>
    <col min="6912" max="6912" width="5.69140625" style="132" customWidth="1"/>
    <col min="6913" max="6913" width="21.69140625" style="132" customWidth="1"/>
    <col min="6914" max="6914" width="16.3046875" style="132" customWidth="1"/>
    <col min="6915" max="6915" width="13.69140625" style="132" customWidth="1"/>
    <col min="6916" max="6916" width="15.84375" style="132" customWidth="1"/>
    <col min="6917" max="6917" width="11.84375" style="132" customWidth="1"/>
    <col min="6918" max="7167" width="11.07421875" style="132"/>
    <col min="7168" max="7168" width="5.69140625" style="132" customWidth="1"/>
    <col min="7169" max="7169" width="21.69140625" style="132" customWidth="1"/>
    <col min="7170" max="7170" width="16.3046875" style="132" customWidth="1"/>
    <col min="7171" max="7171" width="13.69140625" style="132" customWidth="1"/>
    <col min="7172" max="7172" width="15.84375" style="132" customWidth="1"/>
    <col min="7173" max="7173" width="11.84375" style="132" customWidth="1"/>
    <col min="7174" max="7423" width="11.07421875" style="132"/>
    <col min="7424" max="7424" width="5.69140625" style="132" customWidth="1"/>
    <col min="7425" max="7425" width="21.69140625" style="132" customWidth="1"/>
    <col min="7426" max="7426" width="16.3046875" style="132" customWidth="1"/>
    <col min="7427" max="7427" width="13.69140625" style="132" customWidth="1"/>
    <col min="7428" max="7428" width="15.84375" style="132" customWidth="1"/>
    <col min="7429" max="7429" width="11.84375" style="132" customWidth="1"/>
    <col min="7430" max="7679" width="11.07421875" style="132"/>
    <col min="7680" max="7680" width="5.69140625" style="132" customWidth="1"/>
    <col min="7681" max="7681" width="21.69140625" style="132" customWidth="1"/>
    <col min="7682" max="7682" width="16.3046875" style="132" customWidth="1"/>
    <col min="7683" max="7683" width="13.69140625" style="132" customWidth="1"/>
    <col min="7684" max="7684" width="15.84375" style="132" customWidth="1"/>
    <col min="7685" max="7685" width="11.84375" style="132" customWidth="1"/>
    <col min="7686" max="7935" width="11.07421875" style="132"/>
    <col min="7936" max="7936" width="5.69140625" style="132" customWidth="1"/>
    <col min="7937" max="7937" width="21.69140625" style="132" customWidth="1"/>
    <col min="7938" max="7938" width="16.3046875" style="132" customWidth="1"/>
    <col min="7939" max="7939" width="13.69140625" style="132" customWidth="1"/>
    <col min="7940" max="7940" width="15.84375" style="132" customWidth="1"/>
    <col min="7941" max="7941" width="11.84375" style="132" customWidth="1"/>
    <col min="7942" max="8191" width="11.07421875" style="132"/>
    <col min="8192" max="8192" width="5.69140625" style="132" customWidth="1"/>
    <col min="8193" max="8193" width="21.69140625" style="132" customWidth="1"/>
    <col min="8194" max="8194" width="16.3046875" style="132" customWidth="1"/>
    <col min="8195" max="8195" width="13.69140625" style="132" customWidth="1"/>
    <col min="8196" max="8196" width="15.84375" style="132" customWidth="1"/>
    <col min="8197" max="8197" width="11.84375" style="132" customWidth="1"/>
    <col min="8198" max="8447" width="11.07421875" style="132"/>
    <col min="8448" max="8448" width="5.69140625" style="132" customWidth="1"/>
    <col min="8449" max="8449" width="21.69140625" style="132" customWidth="1"/>
    <col min="8450" max="8450" width="16.3046875" style="132" customWidth="1"/>
    <col min="8451" max="8451" width="13.69140625" style="132" customWidth="1"/>
    <col min="8452" max="8452" width="15.84375" style="132" customWidth="1"/>
    <col min="8453" max="8453" width="11.84375" style="132" customWidth="1"/>
    <col min="8454" max="8703" width="11.07421875" style="132"/>
    <col min="8704" max="8704" width="5.69140625" style="132" customWidth="1"/>
    <col min="8705" max="8705" width="21.69140625" style="132" customWidth="1"/>
    <col min="8706" max="8706" width="16.3046875" style="132" customWidth="1"/>
    <col min="8707" max="8707" width="13.69140625" style="132" customWidth="1"/>
    <col min="8708" max="8708" width="15.84375" style="132" customWidth="1"/>
    <col min="8709" max="8709" width="11.84375" style="132" customWidth="1"/>
    <col min="8710" max="8959" width="11.07421875" style="132"/>
    <col min="8960" max="8960" width="5.69140625" style="132" customWidth="1"/>
    <col min="8961" max="8961" width="21.69140625" style="132" customWidth="1"/>
    <col min="8962" max="8962" width="16.3046875" style="132" customWidth="1"/>
    <col min="8963" max="8963" width="13.69140625" style="132" customWidth="1"/>
    <col min="8964" max="8964" width="15.84375" style="132" customWidth="1"/>
    <col min="8965" max="8965" width="11.84375" style="132" customWidth="1"/>
    <col min="8966" max="9215" width="11.07421875" style="132"/>
    <col min="9216" max="9216" width="5.69140625" style="132" customWidth="1"/>
    <col min="9217" max="9217" width="21.69140625" style="132" customWidth="1"/>
    <col min="9218" max="9218" width="16.3046875" style="132" customWidth="1"/>
    <col min="9219" max="9219" width="13.69140625" style="132" customWidth="1"/>
    <col min="9220" max="9220" width="15.84375" style="132" customWidth="1"/>
    <col min="9221" max="9221" width="11.84375" style="132" customWidth="1"/>
    <col min="9222" max="9471" width="11.07421875" style="132"/>
    <col min="9472" max="9472" width="5.69140625" style="132" customWidth="1"/>
    <col min="9473" max="9473" width="21.69140625" style="132" customWidth="1"/>
    <col min="9474" max="9474" width="16.3046875" style="132" customWidth="1"/>
    <col min="9475" max="9475" width="13.69140625" style="132" customWidth="1"/>
    <col min="9476" max="9476" width="15.84375" style="132" customWidth="1"/>
    <col min="9477" max="9477" width="11.84375" style="132" customWidth="1"/>
    <col min="9478" max="9727" width="11.07421875" style="132"/>
    <col min="9728" max="9728" width="5.69140625" style="132" customWidth="1"/>
    <col min="9729" max="9729" width="21.69140625" style="132" customWidth="1"/>
    <col min="9730" max="9730" width="16.3046875" style="132" customWidth="1"/>
    <col min="9731" max="9731" width="13.69140625" style="132" customWidth="1"/>
    <col min="9732" max="9732" width="15.84375" style="132" customWidth="1"/>
    <col min="9733" max="9733" width="11.84375" style="132" customWidth="1"/>
    <col min="9734" max="9983" width="11.07421875" style="132"/>
    <col min="9984" max="9984" width="5.69140625" style="132" customWidth="1"/>
    <col min="9985" max="9985" width="21.69140625" style="132" customWidth="1"/>
    <col min="9986" max="9986" width="16.3046875" style="132" customWidth="1"/>
    <col min="9987" max="9987" width="13.69140625" style="132" customWidth="1"/>
    <col min="9988" max="9988" width="15.84375" style="132" customWidth="1"/>
    <col min="9989" max="9989" width="11.84375" style="132" customWidth="1"/>
    <col min="9990" max="10239" width="11.07421875" style="132"/>
    <col min="10240" max="10240" width="5.69140625" style="132" customWidth="1"/>
    <col min="10241" max="10241" width="21.69140625" style="132" customWidth="1"/>
    <col min="10242" max="10242" width="16.3046875" style="132" customWidth="1"/>
    <col min="10243" max="10243" width="13.69140625" style="132" customWidth="1"/>
    <col min="10244" max="10244" width="15.84375" style="132" customWidth="1"/>
    <col min="10245" max="10245" width="11.84375" style="132" customWidth="1"/>
    <col min="10246" max="10495" width="11.07421875" style="132"/>
    <col min="10496" max="10496" width="5.69140625" style="132" customWidth="1"/>
    <col min="10497" max="10497" width="21.69140625" style="132" customWidth="1"/>
    <col min="10498" max="10498" width="16.3046875" style="132" customWidth="1"/>
    <col min="10499" max="10499" width="13.69140625" style="132" customWidth="1"/>
    <col min="10500" max="10500" width="15.84375" style="132" customWidth="1"/>
    <col min="10501" max="10501" width="11.84375" style="132" customWidth="1"/>
    <col min="10502" max="10751" width="11.07421875" style="132"/>
    <col min="10752" max="10752" width="5.69140625" style="132" customWidth="1"/>
    <col min="10753" max="10753" width="21.69140625" style="132" customWidth="1"/>
    <col min="10754" max="10754" width="16.3046875" style="132" customWidth="1"/>
    <col min="10755" max="10755" width="13.69140625" style="132" customWidth="1"/>
    <col min="10756" max="10756" width="15.84375" style="132" customWidth="1"/>
    <col min="10757" max="10757" width="11.84375" style="132" customWidth="1"/>
    <col min="10758" max="11007" width="11.07421875" style="132"/>
    <col min="11008" max="11008" width="5.69140625" style="132" customWidth="1"/>
    <col min="11009" max="11009" width="21.69140625" style="132" customWidth="1"/>
    <col min="11010" max="11010" width="16.3046875" style="132" customWidth="1"/>
    <col min="11011" max="11011" width="13.69140625" style="132" customWidth="1"/>
    <col min="11012" max="11012" width="15.84375" style="132" customWidth="1"/>
    <col min="11013" max="11013" width="11.84375" style="132" customWidth="1"/>
    <col min="11014" max="11263" width="11.07421875" style="132"/>
    <col min="11264" max="11264" width="5.69140625" style="132" customWidth="1"/>
    <col min="11265" max="11265" width="21.69140625" style="132" customWidth="1"/>
    <col min="11266" max="11266" width="16.3046875" style="132" customWidth="1"/>
    <col min="11267" max="11267" width="13.69140625" style="132" customWidth="1"/>
    <col min="11268" max="11268" width="15.84375" style="132" customWidth="1"/>
    <col min="11269" max="11269" width="11.84375" style="132" customWidth="1"/>
    <col min="11270" max="11519" width="11.07421875" style="132"/>
    <col min="11520" max="11520" width="5.69140625" style="132" customWidth="1"/>
    <col min="11521" max="11521" width="21.69140625" style="132" customWidth="1"/>
    <col min="11522" max="11522" width="16.3046875" style="132" customWidth="1"/>
    <col min="11523" max="11523" width="13.69140625" style="132" customWidth="1"/>
    <col min="11524" max="11524" width="15.84375" style="132" customWidth="1"/>
    <col min="11525" max="11525" width="11.84375" style="132" customWidth="1"/>
    <col min="11526" max="11775" width="11.07421875" style="132"/>
    <col min="11776" max="11776" width="5.69140625" style="132" customWidth="1"/>
    <col min="11777" max="11777" width="21.69140625" style="132" customWidth="1"/>
    <col min="11778" max="11778" width="16.3046875" style="132" customWidth="1"/>
    <col min="11779" max="11779" width="13.69140625" style="132" customWidth="1"/>
    <col min="11780" max="11780" width="15.84375" style="132" customWidth="1"/>
    <col min="11781" max="11781" width="11.84375" style="132" customWidth="1"/>
    <col min="11782" max="12031" width="11.07421875" style="132"/>
    <col min="12032" max="12032" width="5.69140625" style="132" customWidth="1"/>
    <col min="12033" max="12033" width="21.69140625" style="132" customWidth="1"/>
    <col min="12034" max="12034" width="16.3046875" style="132" customWidth="1"/>
    <col min="12035" max="12035" width="13.69140625" style="132" customWidth="1"/>
    <col min="12036" max="12036" width="15.84375" style="132" customWidth="1"/>
    <col min="12037" max="12037" width="11.84375" style="132" customWidth="1"/>
    <col min="12038" max="12287" width="11.07421875" style="132"/>
    <col min="12288" max="12288" width="5.69140625" style="132" customWidth="1"/>
    <col min="12289" max="12289" width="21.69140625" style="132" customWidth="1"/>
    <col min="12290" max="12290" width="16.3046875" style="132" customWidth="1"/>
    <col min="12291" max="12291" width="13.69140625" style="132" customWidth="1"/>
    <col min="12292" max="12292" width="15.84375" style="132" customWidth="1"/>
    <col min="12293" max="12293" width="11.84375" style="132" customWidth="1"/>
    <col min="12294" max="12543" width="11.07421875" style="132"/>
    <col min="12544" max="12544" width="5.69140625" style="132" customWidth="1"/>
    <col min="12545" max="12545" width="21.69140625" style="132" customWidth="1"/>
    <col min="12546" max="12546" width="16.3046875" style="132" customWidth="1"/>
    <col min="12547" max="12547" width="13.69140625" style="132" customWidth="1"/>
    <col min="12548" max="12548" width="15.84375" style="132" customWidth="1"/>
    <col min="12549" max="12549" width="11.84375" style="132" customWidth="1"/>
    <col min="12550" max="12799" width="11.07421875" style="132"/>
    <col min="12800" max="12800" width="5.69140625" style="132" customWidth="1"/>
    <col min="12801" max="12801" width="21.69140625" style="132" customWidth="1"/>
    <col min="12802" max="12802" width="16.3046875" style="132" customWidth="1"/>
    <col min="12803" max="12803" width="13.69140625" style="132" customWidth="1"/>
    <col min="12804" max="12804" width="15.84375" style="132" customWidth="1"/>
    <col min="12805" max="12805" width="11.84375" style="132" customWidth="1"/>
    <col min="12806" max="13055" width="11.07421875" style="132"/>
    <col min="13056" max="13056" width="5.69140625" style="132" customWidth="1"/>
    <col min="13057" max="13057" width="21.69140625" style="132" customWidth="1"/>
    <col min="13058" max="13058" width="16.3046875" style="132" customWidth="1"/>
    <col min="13059" max="13059" width="13.69140625" style="132" customWidth="1"/>
    <col min="13060" max="13060" width="15.84375" style="132" customWidth="1"/>
    <col min="13061" max="13061" width="11.84375" style="132" customWidth="1"/>
    <col min="13062" max="13311" width="11.07421875" style="132"/>
    <col min="13312" max="13312" width="5.69140625" style="132" customWidth="1"/>
    <col min="13313" max="13313" width="21.69140625" style="132" customWidth="1"/>
    <col min="13314" max="13314" width="16.3046875" style="132" customWidth="1"/>
    <col min="13315" max="13315" width="13.69140625" style="132" customWidth="1"/>
    <col min="13316" max="13316" width="15.84375" style="132" customWidth="1"/>
    <col min="13317" max="13317" width="11.84375" style="132" customWidth="1"/>
    <col min="13318" max="13567" width="11.07421875" style="132"/>
    <col min="13568" max="13568" width="5.69140625" style="132" customWidth="1"/>
    <col min="13569" max="13569" width="21.69140625" style="132" customWidth="1"/>
    <col min="13570" max="13570" width="16.3046875" style="132" customWidth="1"/>
    <col min="13571" max="13571" width="13.69140625" style="132" customWidth="1"/>
    <col min="13572" max="13572" width="15.84375" style="132" customWidth="1"/>
    <col min="13573" max="13573" width="11.84375" style="132" customWidth="1"/>
    <col min="13574" max="13823" width="11.07421875" style="132"/>
    <col min="13824" max="13824" width="5.69140625" style="132" customWidth="1"/>
    <col min="13825" max="13825" width="21.69140625" style="132" customWidth="1"/>
    <col min="13826" max="13826" width="16.3046875" style="132" customWidth="1"/>
    <col min="13827" max="13827" width="13.69140625" style="132" customWidth="1"/>
    <col min="13828" max="13828" width="15.84375" style="132" customWidth="1"/>
    <col min="13829" max="13829" width="11.84375" style="132" customWidth="1"/>
    <col min="13830" max="14079" width="11.07421875" style="132"/>
    <col min="14080" max="14080" width="5.69140625" style="132" customWidth="1"/>
    <col min="14081" max="14081" width="21.69140625" style="132" customWidth="1"/>
    <col min="14082" max="14082" width="16.3046875" style="132" customWidth="1"/>
    <col min="14083" max="14083" width="13.69140625" style="132" customWidth="1"/>
    <col min="14084" max="14084" width="15.84375" style="132" customWidth="1"/>
    <col min="14085" max="14085" width="11.84375" style="132" customWidth="1"/>
    <col min="14086" max="14335" width="11.07421875" style="132"/>
    <col min="14336" max="14336" width="5.69140625" style="132" customWidth="1"/>
    <col min="14337" max="14337" width="21.69140625" style="132" customWidth="1"/>
    <col min="14338" max="14338" width="16.3046875" style="132" customWidth="1"/>
    <col min="14339" max="14339" width="13.69140625" style="132" customWidth="1"/>
    <col min="14340" max="14340" width="15.84375" style="132" customWidth="1"/>
    <col min="14341" max="14341" width="11.84375" style="132" customWidth="1"/>
    <col min="14342" max="14591" width="11.07421875" style="132"/>
    <col min="14592" max="14592" width="5.69140625" style="132" customWidth="1"/>
    <col min="14593" max="14593" width="21.69140625" style="132" customWidth="1"/>
    <col min="14594" max="14594" width="16.3046875" style="132" customWidth="1"/>
    <col min="14595" max="14595" width="13.69140625" style="132" customWidth="1"/>
    <col min="14596" max="14596" width="15.84375" style="132" customWidth="1"/>
    <col min="14597" max="14597" width="11.84375" style="132" customWidth="1"/>
    <col min="14598" max="14847" width="11.07421875" style="132"/>
    <col min="14848" max="14848" width="5.69140625" style="132" customWidth="1"/>
    <col min="14849" max="14849" width="21.69140625" style="132" customWidth="1"/>
    <col min="14850" max="14850" width="16.3046875" style="132" customWidth="1"/>
    <col min="14851" max="14851" width="13.69140625" style="132" customWidth="1"/>
    <col min="14852" max="14852" width="15.84375" style="132" customWidth="1"/>
    <col min="14853" max="14853" width="11.84375" style="132" customWidth="1"/>
    <col min="14854" max="15103" width="11.07421875" style="132"/>
    <col min="15104" max="15104" width="5.69140625" style="132" customWidth="1"/>
    <col min="15105" max="15105" width="21.69140625" style="132" customWidth="1"/>
    <col min="15106" max="15106" width="16.3046875" style="132" customWidth="1"/>
    <col min="15107" max="15107" width="13.69140625" style="132" customWidth="1"/>
    <col min="15108" max="15108" width="15.84375" style="132" customWidth="1"/>
    <col min="15109" max="15109" width="11.84375" style="132" customWidth="1"/>
    <col min="15110" max="15359" width="11.07421875" style="132"/>
    <col min="15360" max="15360" width="5.69140625" style="132" customWidth="1"/>
    <col min="15361" max="15361" width="21.69140625" style="132" customWidth="1"/>
    <col min="15362" max="15362" width="16.3046875" style="132" customWidth="1"/>
    <col min="15363" max="15363" width="13.69140625" style="132" customWidth="1"/>
    <col min="15364" max="15364" width="15.84375" style="132" customWidth="1"/>
    <col min="15365" max="15365" width="11.84375" style="132" customWidth="1"/>
    <col min="15366" max="15615" width="11.07421875" style="132"/>
    <col min="15616" max="15616" width="5.69140625" style="132" customWidth="1"/>
    <col min="15617" max="15617" width="21.69140625" style="132" customWidth="1"/>
    <col min="15618" max="15618" width="16.3046875" style="132" customWidth="1"/>
    <col min="15619" max="15619" width="13.69140625" style="132" customWidth="1"/>
    <col min="15620" max="15620" width="15.84375" style="132" customWidth="1"/>
    <col min="15621" max="15621" width="11.84375" style="132" customWidth="1"/>
    <col min="15622" max="15871" width="11.07421875" style="132"/>
    <col min="15872" max="15872" width="5.69140625" style="132" customWidth="1"/>
    <col min="15873" max="15873" width="21.69140625" style="132" customWidth="1"/>
    <col min="15874" max="15874" width="16.3046875" style="132" customWidth="1"/>
    <col min="15875" max="15875" width="13.69140625" style="132" customWidth="1"/>
    <col min="15876" max="15876" width="15.84375" style="132" customWidth="1"/>
    <col min="15877" max="15877" width="11.84375" style="132" customWidth="1"/>
    <col min="15878" max="16127" width="11.07421875" style="132"/>
    <col min="16128" max="16128" width="5.69140625" style="132" customWidth="1"/>
    <col min="16129" max="16129" width="21.69140625" style="132" customWidth="1"/>
    <col min="16130" max="16130" width="16.3046875" style="132" customWidth="1"/>
    <col min="16131" max="16131" width="13.69140625" style="132" customWidth="1"/>
    <col min="16132" max="16132" width="15.84375" style="132" customWidth="1"/>
    <col min="16133" max="16133" width="11.84375" style="132" customWidth="1"/>
    <col min="16134" max="16384" width="11.07421875" style="132"/>
  </cols>
  <sheetData>
    <row r="1" spans="1:15" ht="11.15" customHeight="1" x14ac:dyDescent="0.25">
      <c r="H1" s="135" t="s">
        <v>110</v>
      </c>
      <c r="I1" s="135"/>
      <c r="J1" s="135"/>
      <c r="K1" s="135"/>
      <c r="L1" s="136"/>
      <c r="M1" s="136"/>
    </row>
    <row r="2" spans="1:15" ht="11.15" customHeight="1" x14ac:dyDescent="0.25">
      <c r="A2" s="425" t="s">
        <v>111</v>
      </c>
      <c r="B2" s="425"/>
      <c r="C2" s="425"/>
      <c r="D2" s="425"/>
      <c r="H2" s="135" t="s">
        <v>112</v>
      </c>
      <c r="I2" s="135" t="s">
        <v>113</v>
      </c>
      <c r="J2" s="135" t="s">
        <v>114</v>
      </c>
      <c r="K2" s="135" t="s">
        <v>115</v>
      </c>
      <c r="L2" s="136"/>
      <c r="M2" s="136"/>
    </row>
    <row r="3" spans="1:15" s="137" customFormat="1" ht="11.15" customHeight="1" x14ac:dyDescent="0.25">
      <c r="B3" s="138"/>
      <c r="C3" s="138"/>
      <c r="D3" s="139"/>
      <c r="H3" s="135" t="s">
        <v>116</v>
      </c>
      <c r="I3" s="135" t="s">
        <v>117</v>
      </c>
      <c r="J3" s="135" t="s">
        <v>117</v>
      </c>
      <c r="K3" s="135" t="s">
        <v>117</v>
      </c>
      <c r="L3" s="136" t="s">
        <v>118</v>
      </c>
      <c r="M3" s="136" t="s">
        <v>119</v>
      </c>
    </row>
    <row r="4" spans="1:15" s="140" customFormat="1" ht="11.15" customHeight="1" x14ac:dyDescent="0.3">
      <c r="B4" s="141" t="s">
        <v>120</v>
      </c>
      <c r="D4" s="139"/>
      <c r="H4" s="142">
        <v>1</v>
      </c>
      <c r="I4" s="143">
        <v>30</v>
      </c>
      <c r="J4" s="143">
        <v>1</v>
      </c>
      <c r="K4" s="143">
        <v>1</v>
      </c>
      <c r="L4" s="144">
        <f>AVERAGE(I4:K4)</f>
        <v>10.666666666666666</v>
      </c>
      <c r="M4" s="145">
        <f>STDEV(I4:K4)</f>
        <v>16.743157806499148</v>
      </c>
    </row>
    <row r="5" spans="1:15" s="140" customFormat="1" ht="11.15" customHeight="1" x14ac:dyDescent="0.3">
      <c r="B5" s="141"/>
      <c r="D5" s="139"/>
      <c r="H5" s="142">
        <v>1.105</v>
      </c>
      <c r="I5" s="143">
        <v>1</v>
      </c>
      <c r="J5" s="143">
        <v>1</v>
      </c>
      <c r="K5" s="143">
        <v>1</v>
      </c>
      <c r="L5" s="144">
        <f t="shared" ref="L5:L14" si="0">AVERAGE(I5:K5)</f>
        <v>1</v>
      </c>
      <c r="M5" s="145">
        <f t="shared" ref="M5:M14" si="1">STDEV(I5:K5)</f>
        <v>0</v>
      </c>
    </row>
    <row r="6" spans="1:15" s="140" customFormat="1" ht="11.15" customHeight="1" x14ac:dyDescent="0.3">
      <c r="B6" s="141"/>
      <c r="D6" s="139"/>
      <c r="H6" s="142">
        <v>1.21</v>
      </c>
      <c r="I6" s="143">
        <v>1</v>
      </c>
      <c r="J6" s="143">
        <v>3</v>
      </c>
      <c r="K6" s="143">
        <v>1</v>
      </c>
      <c r="L6" s="144">
        <f t="shared" si="0"/>
        <v>1.6666666666666667</v>
      </c>
      <c r="M6" s="145">
        <f t="shared" si="1"/>
        <v>1.1547005383792515</v>
      </c>
    </row>
    <row r="7" spans="1:15" s="137" customFormat="1" ht="11.15" customHeight="1" x14ac:dyDescent="0.3">
      <c r="B7" s="146" t="s">
        <v>121</v>
      </c>
      <c r="C7" s="147">
        <f>M16</f>
        <v>16743.157806499148</v>
      </c>
      <c r="D7" s="139"/>
      <c r="H7" s="142">
        <v>1.3149999999999999</v>
      </c>
      <c r="I7" s="143">
        <v>1</v>
      </c>
      <c r="J7" s="143">
        <v>2</v>
      </c>
      <c r="K7" s="143">
        <v>1</v>
      </c>
      <c r="L7" s="144">
        <f t="shared" si="0"/>
        <v>1.3333333333333333</v>
      </c>
      <c r="M7" s="145">
        <f t="shared" si="1"/>
        <v>0.57735026918962584</v>
      </c>
    </row>
    <row r="8" spans="1:15" s="137" customFormat="1" ht="11.15" customHeight="1" x14ac:dyDescent="0.3">
      <c r="B8" s="146" t="s">
        <v>122</v>
      </c>
      <c r="C8" s="147">
        <v>3</v>
      </c>
      <c r="D8" s="139"/>
      <c r="H8" s="142">
        <v>1.42</v>
      </c>
      <c r="I8" s="143">
        <v>1</v>
      </c>
      <c r="J8" s="143">
        <v>1</v>
      </c>
      <c r="K8" s="143">
        <v>1</v>
      </c>
      <c r="L8" s="144">
        <f t="shared" si="0"/>
        <v>1</v>
      </c>
      <c r="M8" s="145">
        <f t="shared" si="1"/>
        <v>0</v>
      </c>
    </row>
    <row r="9" spans="1:15" s="137" customFormat="1" ht="11.15" customHeight="1" x14ac:dyDescent="0.3">
      <c r="B9" s="146" t="s">
        <v>123</v>
      </c>
      <c r="C9" s="147">
        <v>2.2999999999999998</v>
      </c>
      <c r="D9" s="139"/>
      <c r="H9" s="142">
        <v>1.5</v>
      </c>
      <c r="I9" s="143">
        <v>1</v>
      </c>
      <c r="J9" s="143">
        <v>2</v>
      </c>
      <c r="K9" s="143">
        <v>1</v>
      </c>
      <c r="L9" s="144">
        <f t="shared" si="0"/>
        <v>1.3333333333333333</v>
      </c>
      <c r="M9" s="145">
        <f t="shared" si="1"/>
        <v>0.57735026918962584</v>
      </c>
    </row>
    <row r="10" spans="1:15" s="137" customFormat="1" ht="11.15" customHeight="1" x14ac:dyDescent="0.3">
      <c r="B10" s="148" t="s">
        <v>124</v>
      </c>
      <c r="C10" s="149">
        <f>((C7/SQRT(C8)))*C9</f>
        <v>22233.333333333336</v>
      </c>
      <c r="D10" s="139"/>
      <c r="H10" s="142">
        <v>1.605</v>
      </c>
      <c r="I10" s="143">
        <v>1</v>
      </c>
      <c r="J10" s="143">
        <v>1</v>
      </c>
      <c r="K10" s="143">
        <v>1</v>
      </c>
      <c r="L10" s="144">
        <f t="shared" si="0"/>
        <v>1</v>
      </c>
      <c r="M10" s="145">
        <f t="shared" si="1"/>
        <v>0</v>
      </c>
      <c r="N10" s="426"/>
    </row>
    <row r="11" spans="1:15" s="137" customFormat="1" ht="11.15" customHeight="1" x14ac:dyDescent="0.3">
      <c r="C11" s="139"/>
      <c r="D11" s="139"/>
      <c r="H11" s="142">
        <v>1.71</v>
      </c>
      <c r="I11" s="143">
        <v>1</v>
      </c>
      <c r="J11" s="143">
        <v>1</v>
      </c>
      <c r="K11" s="143">
        <v>1</v>
      </c>
      <c r="L11" s="144">
        <f t="shared" si="0"/>
        <v>1</v>
      </c>
      <c r="M11" s="145">
        <f t="shared" si="1"/>
        <v>0</v>
      </c>
      <c r="N11" s="426"/>
    </row>
    <row r="12" spans="1:15" s="137" customFormat="1" ht="11.15" customHeight="1" x14ac:dyDescent="0.3">
      <c r="C12" s="139"/>
      <c r="D12" s="139"/>
      <c r="H12" s="142">
        <v>1.8149999999999999</v>
      </c>
      <c r="I12" s="143">
        <v>1</v>
      </c>
      <c r="J12" s="143">
        <v>1</v>
      </c>
      <c r="K12" s="143">
        <v>1</v>
      </c>
      <c r="L12" s="144">
        <f t="shared" si="0"/>
        <v>1</v>
      </c>
      <c r="M12" s="145">
        <f t="shared" si="1"/>
        <v>0</v>
      </c>
      <c r="N12" s="426"/>
    </row>
    <row r="13" spans="1:15" s="137" customFormat="1" ht="11.15" customHeight="1" x14ac:dyDescent="0.3">
      <c r="B13" s="150"/>
      <c r="C13" s="151"/>
      <c r="D13" s="139"/>
      <c r="H13" s="142">
        <v>1.92</v>
      </c>
      <c r="I13" s="143">
        <v>1</v>
      </c>
      <c r="J13" s="143">
        <v>1</v>
      </c>
      <c r="K13" s="143">
        <v>1</v>
      </c>
      <c r="L13" s="144">
        <f t="shared" si="0"/>
        <v>1</v>
      </c>
      <c r="M13" s="145">
        <f t="shared" si="1"/>
        <v>0</v>
      </c>
      <c r="N13" s="152"/>
      <c r="O13" s="152"/>
    </row>
    <row r="14" spans="1:15" s="137" customFormat="1" ht="11.15" customHeight="1" x14ac:dyDescent="0.3">
      <c r="B14" s="153" t="s">
        <v>125</v>
      </c>
      <c r="C14" s="154">
        <f>H14</f>
        <v>2</v>
      </c>
      <c r="D14" s="139"/>
      <c r="H14" s="142">
        <v>2</v>
      </c>
      <c r="I14" s="143">
        <v>1</v>
      </c>
      <c r="J14" s="143">
        <v>1</v>
      </c>
      <c r="K14" s="143">
        <v>1</v>
      </c>
      <c r="L14" s="144">
        <f t="shared" si="0"/>
        <v>1</v>
      </c>
      <c r="M14" s="145">
        <f t="shared" si="1"/>
        <v>0</v>
      </c>
      <c r="N14" s="152"/>
      <c r="O14" s="152"/>
    </row>
    <row r="15" spans="1:15" s="137" customFormat="1" ht="11.15" customHeight="1" x14ac:dyDescent="0.3">
      <c r="D15" s="139"/>
      <c r="H15" s="155"/>
      <c r="I15" s="156"/>
      <c r="J15" s="156"/>
      <c r="K15" s="156"/>
      <c r="L15" s="144"/>
      <c r="M15" s="144"/>
      <c r="N15" s="152"/>
      <c r="O15" s="152"/>
    </row>
    <row r="16" spans="1:15" s="137" customFormat="1" ht="11.15" customHeight="1" x14ac:dyDescent="0.3">
      <c r="D16" s="139"/>
      <c r="H16" s="155"/>
      <c r="I16" s="156"/>
      <c r="J16" s="156"/>
      <c r="K16" s="156"/>
      <c r="L16" s="137" t="s">
        <v>126</v>
      </c>
      <c r="M16" s="152">
        <f>MAX(M4:M14)*1000</f>
        <v>16743.157806499148</v>
      </c>
      <c r="N16" s="152"/>
      <c r="O16" s="152"/>
    </row>
    <row r="17" spans="2:15" s="137" customFormat="1" ht="11.15" customHeight="1" x14ac:dyDescent="0.3">
      <c r="C17" s="139"/>
      <c r="D17" s="139"/>
      <c r="E17" s="150"/>
      <c r="H17" s="155"/>
      <c r="I17" s="156"/>
      <c r="J17" s="156"/>
      <c r="K17" s="156"/>
      <c r="L17" s="144"/>
      <c r="M17" s="144"/>
      <c r="N17" s="152"/>
      <c r="O17" s="152"/>
    </row>
    <row r="18" spans="2:15" s="137" customFormat="1" ht="11.15" customHeight="1" x14ac:dyDescent="0.3">
      <c r="B18" s="427" t="s">
        <v>127</v>
      </c>
      <c r="C18" s="427"/>
      <c r="D18" s="139"/>
      <c r="E18" s="150"/>
      <c r="H18" s="155"/>
      <c r="I18" s="156"/>
      <c r="J18" s="156"/>
      <c r="K18" s="156"/>
      <c r="L18" s="144"/>
      <c r="M18" s="144"/>
      <c r="N18" s="152"/>
      <c r="O18" s="152"/>
    </row>
    <row r="19" spans="2:15" s="137" customFormat="1" ht="11.15" customHeight="1" x14ac:dyDescent="0.3">
      <c r="B19" s="137" t="s">
        <v>128</v>
      </c>
      <c r="C19" s="157">
        <f>H25</f>
        <v>0.35919493314911888</v>
      </c>
      <c r="D19" s="139"/>
      <c r="G19" s="147" t="s">
        <v>129</v>
      </c>
      <c r="H19" s="147" t="s">
        <v>130</v>
      </c>
      <c r="I19" s="158" t="s">
        <v>131</v>
      </c>
      <c r="J19" s="156"/>
      <c r="K19" s="156"/>
      <c r="L19" s="144"/>
      <c r="M19" s="144"/>
      <c r="N19" s="152"/>
      <c r="O19" s="152"/>
    </row>
    <row r="20" spans="2:15" s="137" customFormat="1" ht="11.15" customHeight="1" thickBot="1" x14ac:dyDescent="0.35">
      <c r="B20" s="137" t="s">
        <v>132</v>
      </c>
      <c r="C20" s="157">
        <f>C19/2</f>
        <v>0.17959746657455944</v>
      </c>
      <c r="D20" s="159" t="s">
        <v>133</v>
      </c>
      <c r="E20" s="160"/>
      <c r="F20" s="160"/>
      <c r="G20" s="161" t="s">
        <v>134</v>
      </c>
      <c r="H20" s="147">
        <v>0.12</v>
      </c>
      <c r="I20" s="162">
        <v>0.2</v>
      </c>
      <c r="J20" s="156"/>
      <c r="K20" s="156"/>
      <c r="L20" s="144"/>
      <c r="M20" s="144"/>
      <c r="N20" s="152"/>
      <c r="O20" s="152"/>
    </row>
    <row r="21" spans="2:15" s="137" customFormat="1" ht="11.15" customHeight="1" thickBot="1" x14ac:dyDescent="0.35">
      <c r="B21" s="163" t="s">
        <v>135</v>
      </c>
      <c r="C21" s="164">
        <f>D24/((1)*2*SQRT(3))</f>
        <v>0.23094010767585033</v>
      </c>
      <c r="D21" s="139" t="s">
        <v>136</v>
      </c>
      <c r="E21" s="137" t="s">
        <v>137</v>
      </c>
      <c r="F21" s="137">
        <v>0.8</v>
      </c>
      <c r="G21" s="161" t="s">
        <v>138</v>
      </c>
      <c r="H21" s="147">
        <v>0.05</v>
      </c>
      <c r="I21" s="165">
        <v>0.1</v>
      </c>
      <c r="J21" s="156">
        <v>0</v>
      </c>
      <c r="K21" s="156">
        <v>0</v>
      </c>
      <c r="L21" s="144"/>
      <c r="M21" s="144"/>
      <c r="O21" s="152"/>
    </row>
    <row r="22" spans="2:15" s="137" customFormat="1" ht="11.15" customHeight="1" thickBot="1" x14ac:dyDescent="0.45">
      <c r="B22" s="166" t="s">
        <v>139</v>
      </c>
      <c r="C22" s="167">
        <f>SQRT(C21^2+C20^2)</f>
        <v>0.29255526543429933</v>
      </c>
      <c r="D22" s="139" t="s">
        <v>136</v>
      </c>
      <c r="E22" s="137" t="s">
        <v>140</v>
      </c>
      <c r="F22" s="137">
        <v>2.6</v>
      </c>
      <c r="G22" s="161" t="s">
        <v>141</v>
      </c>
      <c r="H22" s="147">
        <v>0.12</v>
      </c>
      <c r="I22" s="168">
        <v>0.1</v>
      </c>
      <c r="O22" s="152"/>
    </row>
    <row r="23" spans="2:15" s="137" customFormat="1" ht="11.15" customHeight="1" x14ac:dyDescent="0.4">
      <c r="C23" s="139"/>
      <c r="D23" s="139" t="s">
        <v>136</v>
      </c>
      <c r="E23" s="137" t="s">
        <v>142</v>
      </c>
      <c r="F23" s="137">
        <v>4.2</v>
      </c>
      <c r="G23" s="161" t="s">
        <v>105</v>
      </c>
      <c r="H23" s="147">
        <v>0.28000000000000003</v>
      </c>
      <c r="I23" s="147">
        <v>0.09</v>
      </c>
      <c r="O23" s="152"/>
    </row>
    <row r="24" spans="2:15" s="137" customFormat="1" ht="11.15" customHeight="1" x14ac:dyDescent="0.4">
      <c r="C24" s="139"/>
      <c r="D24" s="139">
        <f>IF(C14&lt;=150,F21,IF(C14&lt;=600,F22,F23))</f>
        <v>0.8</v>
      </c>
      <c r="G24" s="161" t="s">
        <v>143</v>
      </c>
      <c r="H24" s="147">
        <v>0.13900000000000001</v>
      </c>
      <c r="I24" s="147">
        <v>7.0000000000000007E-2</v>
      </c>
      <c r="O24" s="152"/>
    </row>
    <row r="25" spans="2:15" s="137" customFormat="1" ht="11.15" customHeight="1" x14ac:dyDescent="0.4">
      <c r="C25" s="139"/>
      <c r="D25" s="139"/>
      <c r="G25" s="169"/>
      <c r="H25" s="137">
        <f>SQRT(H20^2+H21^2+H22^2+H23^2+H24^2)</f>
        <v>0.35919493314911888</v>
      </c>
      <c r="I25" s="139"/>
      <c r="O25" s="152"/>
    </row>
    <row r="26" spans="2:15" s="137" customFormat="1" ht="11.15" customHeight="1" x14ac:dyDescent="0.3">
      <c r="B26" s="170" t="s">
        <v>144</v>
      </c>
      <c r="D26" s="171"/>
      <c r="G26" s="169"/>
      <c r="I26" s="139"/>
      <c r="O26" s="152"/>
    </row>
    <row r="27" spans="2:15" s="137" customFormat="1" ht="11.15" customHeight="1" thickBot="1" x14ac:dyDescent="0.45">
      <c r="B27" s="137" t="s">
        <v>131</v>
      </c>
      <c r="C27" s="139">
        <f>I20</f>
        <v>0.2</v>
      </c>
      <c r="G27" s="169"/>
      <c r="I27" s="139"/>
      <c r="O27" s="152"/>
    </row>
    <row r="28" spans="2:15" s="137" customFormat="1" ht="11.15" customHeight="1" thickBot="1" x14ac:dyDescent="0.45">
      <c r="B28" s="172" t="s">
        <v>145</v>
      </c>
      <c r="C28" s="173">
        <f>C27/SQRT(3)</f>
        <v>0.11547005383792516</v>
      </c>
      <c r="D28" s="174" t="s">
        <v>62</v>
      </c>
      <c r="G28" s="169"/>
      <c r="I28" s="139"/>
      <c r="O28" s="152"/>
    </row>
    <row r="29" spans="2:15" s="137" customFormat="1" ht="11.15" customHeight="1" x14ac:dyDescent="0.3">
      <c r="B29" s="150"/>
      <c r="D29" s="171"/>
      <c r="G29" s="169"/>
      <c r="I29" s="139"/>
      <c r="O29" s="152"/>
    </row>
    <row r="30" spans="2:15" s="137" customFormat="1" ht="11.15" customHeight="1" x14ac:dyDescent="0.3">
      <c r="B30" s="170" t="s">
        <v>146</v>
      </c>
      <c r="D30" s="171"/>
      <c r="G30" s="169"/>
      <c r="I30" s="139"/>
      <c r="O30" s="152"/>
    </row>
    <row r="31" spans="2:15" s="137" customFormat="1" ht="11.15" customHeight="1" thickBot="1" x14ac:dyDescent="0.45">
      <c r="B31" s="137" t="s">
        <v>131</v>
      </c>
      <c r="C31" s="139">
        <f>I21</f>
        <v>0.1</v>
      </c>
      <c r="G31" s="169"/>
      <c r="I31" s="139"/>
      <c r="O31" s="152"/>
    </row>
    <row r="32" spans="2:15" s="137" customFormat="1" ht="11.15" customHeight="1" thickBot="1" x14ac:dyDescent="0.45">
      <c r="B32" s="172" t="s">
        <v>145</v>
      </c>
      <c r="C32" s="173">
        <f>C31/SQRT(3)</f>
        <v>5.7735026918962581E-2</v>
      </c>
      <c r="D32" s="174" t="s">
        <v>62</v>
      </c>
      <c r="G32" s="169"/>
      <c r="I32" s="139"/>
      <c r="O32" s="152"/>
    </row>
    <row r="33" spans="2:15" s="137" customFormat="1" ht="11.15" customHeight="1" x14ac:dyDescent="0.3">
      <c r="B33" s="150"/>
      <c r="D33" s="171"/>
      <c r="G33" s="169"/>
      <c r="I33" s="139"/>
      <c r="O33" s="152"/>
    </row>
    <row r="34" spans="2:15" s="137" customFormat="1" ht="11.15" customHeight="1" x14ac:dyDescent="0.3">
      <c r="B34" s="170" t="s">
        <v>147</v>
      </c>
      <c r="D34" s="171"/>
      <c r="G34" s="169"/>
      <c r="I34" s="139"/>
      <c r="O34" s="152"/>
    </row>
    <row r="35" spans="2:15" s="137" customFormat="1" ht="11.15" customHeight="1" thickBot="1" x14ac:dyDescent="0.45">
      <c r="B35" s="137" t="s">
        <v>131</v>
      </c>
      <c r="C35" s="139">
        <f>I22</f>
        <v>0.1</v>
      </c>
      <c r="G35" s="169"/>
      <c r="I35" s="139"/>
      <c r="O35" s="152"/>
    </row>
    <row r="36" spans="2:15" s="137" customFormat="1" ht="11.15" customHeight="1" thickBot="1" x14ac:dyDescent="0.45">
      <c r="B36" s="172" t="s">
        <v>145</v>
      </c>
      <c r="C36" s="173">
        <f>C35/SQRT(3)</f>
        <v>5.7735026918962581E-2</v>
      </c>
      <c r="D36" s="174" t="s">
        <v>62</v>
      </c>
      <c r="G36" s="169"/>
      <c r="I36" s="139"/>
      <c r="O36" s="152"/>
    </row>
    <row r="37" spans="2:15" s="137" customFormat="1" ht="11.15" customHeight="1" x14ac:dyDescent="0.3">
      <c r="B37" s="150"/>
      <c r="D37" s="171"/>
      <c r="G37" s="169"/>
      <c r="I37" s="139"/>
      <c r="O37" s="152"/>
    </row>
    <row r="38" spans="2:15" s="137" customFormat="1" ht="11.15" customHeight="1" x14ac:dyDescent="0.3">
      <c r="B38" s="170" t="s">
        <v>148</v>
      </c>
      <c r="D38" s="171"/>
      <c r="G38" s="169"/>
      <c r="I38" s="139"/>
      <c r="O38" s="152"/>
    </row>
    <row r="39" spans="2:15" s="137" customFormat="1" ht="11.15" customHeight="1" thickBot="1" x14ac:dyDescent="0.45">
      <c r="B39" s="137" t="s">
        <v>131</v>
      </c>
      <c r="C39" s="139">
        <f>I23</f>
        <v>0.09</v>
      </c>
      <c r="G39" s="169"/>
      <c r="I39" s="139"/>
      <c r="O39" s="152"/>
    </row>
    <row r="40" spans="2:15" s="137" customFormat="1" ht="11.15" customHeight="1" thickBot="1" x14ac:dyDescent="0.45">
      <c r="B40" s="172" t="s">
        <v>145</v>
      </c>
      <c r="C40" s="173">
        <f>C39/SQRT(3)</f>
        <v>5.1961524227066319E-2</v>
      </c>
      <c r="D40" s="174" t="s">
        <v>62</v>
      </c>
      <c r="G40" s="169"/>
      <c r="I40" s="139"/>
      <c r="O40" s="152"/>
    </row>
    <row r="41" spans="2:15" s="137" customFormat="1" ht="11.15" customHeight="1" x14ac:dyDescent="0.3">
      <c r="B41" s="150"/>
      <c r="D41" s="171"/>
      <c r="G41" s="169"/>
      <c r="I41" s="139"/>
      <c r="O41" s="152"/>
    </row>
    <row r="42" spans="2:15" s="137" customFormat="1" ht="11.15" customHeight="1" x14ac:dyDescent="0.3">
      <c r="B42" s="170" t="s">
        <v>149</v>
      </c>
      <c r="D42" s="171"/>
      <c r="G42" s="169"/>
      <c r="I42" s="139"/>
      <c r="O42" s="152"/>
    </row>
    <row r="43" spans="2:15" s="137" customFormat="1" ht="11.15" customHeight="1" thickBot="1" x14ac:dyDescent="0.45">
      <c r="B43" s="137" t="s">
        <v>131</v>
      </c>
      <c r="C43" s="139">
        <f>I24</f>
        <v>7.0000000000000007E-2</v>
      </c>
      <c r="G43" s="169"/>
      <c r="I43" s="139"/>
      <c r="O43" s="152"/>
    </row>
    <row r="44" spans="2:15" s="137" customFormat="1" ht="11.15" customHeight="1" thickBot="1" x14ac:dyDescent="0.45">
      <c r="B44" s="172" t="s">
        <v>145</v>
      </c>
      <c r="C44" s="173">
        <f>C43/SQRT(3)</f>
        <v>4.0414518843273808E-2</v>
      </c>
      <c r="D44" s="174" t="s">
        <v>62</v>
      </c>
      <c r="G44" s="169"/>
      <c r="I44" s="139"/>
      <c r="O44" s="152"/>
    </row>
    <row r="45" spans="2:15" s="137" customFormat="1" ht="11.15" customHeight="1" x14ac:dyDescent="0.4">
      <c r="D45" s="139"/>
      <c r="O45" s="152"/>
    </row>
    <row r="46" spans="2:15" s="137" customFormat="1" ht="11.15" customHeight="1" x14ac:dyDescent="0.4">
      <c r="B46" s="428" t="s">
        <v>150</v>
      </c>
      <c r="C46" s="428"/>
      <c r="D46" s="139" t="s">
        <v>130</v>
      </c>
      <c r="O46" s="152"/>
    </row>
    <row r="47" spans="2:15" s="137" customFormat="1" ht="11.15" customHeight="1" x14ac:dyDescent="0.4">
      <c r="B47" s="175" t="s">
        <v>151</v>
      </c>
      <c r="C47" s="176">
        <v>2</v>
      </c>
      <c r="D47" s="177">
        <f>C47/SQRT(3)</f>
        <v>1.1547005383792517</v>
      </c>
      <c r="E47" s="178"/>
      <c r="O47" s="152"/>
    </row>
    <row r="48" spans="2:15" s="137" customFormat="1" ht="11.15" customHeight="1" x14ac:dyDescent="0.4">
      <c r="B48" s="175" t="s">
        <v>152</v>
      </c>
      <c r="C48" s="177">
        <v>2</v>
      </c>
      <c r="D48" s="177">
        <f>C48/SQRT(3)</f>
        <v>1.1547005383792517</v>
      </c>
      <c r="E48" s="178"/>
      <c r="O48" s="152"/>
    </row>
    <row r="49" spans="2:16" s="137" customFormat="1" ht="11.15" customHeight="1" x14ac:dyDescent="0.4">
      <c r="B49" s="175" t="s">
        <v>153</v>
      </c>
      <c r="C49" s="176">
        <v>0.2</v>
      </c>
      <c r="D49" s="177">
        <f>C49/2</f>
        <v>0.1</v>
      </c>
      <c r="E49" s="178"/>
      <c r="O49" s="152"/>
    </row>
    <row r="50" spans="2:16" s="137" customFormat="1" ht="11.15" customHeight="1" x14ac:dyDescent="0.4">
      <c r="B50" s="175" t="s">
        <v>154</v>
      </c>
      <c r="C50" s="176">
        <v>0.5</v>
      </c>
      <c r="D50" s="177">
        <f>C50/SQRT(3)</f>
        <v>0.28867513459481292</v>
      </c>
      <c r="E50" s="178"/>
      <c r="O50" s="152"/>
    </row>
    <row r="51" spans="2:16" s="137" customFormat="1" ht="11.15" customHeight="1" x14ac:dyDescent="0.5">
      <c r="B51" s="175"/>
      <c r="C51" s="179" t="s">
        <v>130</v>
      </c>
      <c r="D51" s="177">
        <f>SQRT(POWER(D50,2)+POWER(D49,2))</f>
        <v>0.30550504633038938</v>
      </c>
      <c r="E51" s="178"/>
      <c r="F51" s="180"/>
      <c r="G51" s="180"/>
      <c r="H51" s="181"/>
      <c r="I51" s="180"/>
      <c r="J51" s="171"/>
      <c r="K51" s="171"/>
      <c r="L51" s="180"/>
      <c r="M51" s="180"/>
      <c r="N51" s="180"/>
      <c r="O51" s="171"/>
      <c r="P51" s="171"/>
    </row>
    <row r="52" spans="2:16" s="137" customFormat="1" ht="11.15" customHeight="1" x14ac:dyDescent="0.5">
      <c r="B52" s="175" t="s">
        <v>155</v>
      </c>
      <c r="C52" s="176">
        <v>0.5</v>
      </c>
      <c r="D52" s="177">
        <f>C52/SQRT(3)</f>
        <v>0.28867513459481292</v>
      </c>
      <c r="E52" s="178"/>
      <c r="F52" s="180"/>
      <c r="G52" s="429" t="s">
        <v>87</v>
      </c>
      <c r="H52" s="429"/>
      <c r="I52" s="429"/>
      <c r="J52" s="429"/>
      <c r="K52" s="182"/>
      <c r="L52" s="429" t="s">
        <v>88</v>
      </c>
      <c r="M52" s="429"/>
      <c r="N52" s="429"/>
      <c r="O52" s="429"/>
      <c r="P52" s="429"/>
    </row>
    <row r="53" spans="2:16" s="137" customFormat="1" ht="11.15" customHeight="1" x14ac:dyDescent="0.3">
      <c r="B53" s="175" t="s">
        <v>156</v>
      </c>
      <c r="C53" s="176">
        <v>11.8</v>
      </c>
      <c r="D53" s="157"/>
      <c r="E53" s="178"/>
      <c r="F53" s="171"/>
      <c r="G53" s="183" t="s">
        <v>89</v>
      </c>
      <c r="H53" s="184">
        <v>1</v>
      </c>
      <c r="I53" s="183" t="s">
        <v>90</v>
      </c>
      <c r="J53" s="184">
        <v>1</v>
      </c>
      <c r="K53" s="182"/>
      <c r="L53" s="183" t="s">
        <v>91</v>
      </c>
      <c r="M53" s="184">
        <v>1</v>
      </c>
      <c r="N53" s="184">
        <v>2</v>
      </c>
      <c r="O53" s="184">
        <v>0</v>
      </c>
      <c r="P53" s="184">
        <v>0</v>
      </c>
    </row>
    <row r="54" spans="2:16" s="137" customFormat="1" ht="11.15" customHeight="1" x14ac:dyDescent="0.3">
      <c r="B54" s="175" t="s">
        <v>157</v>
      </c>
      <c r="C54" s="176">
        <v>11.8</v>
      </c>
      <c r="D54" s="157"/>
      <c r="E54" s="178"/>
      <c r="F54" s="171"/>
      <c r="G54" s="171"/>
      <c r="H54" s="171"/>
      <c r="I54" s="171"/>
      <c r="J54" s="171"/>
      <c r="K54" s="171"/>
      <c r="L54" s="171"/>
      <c r="M54" s="171"/>
      <c r="N54" s="171"/>
      <c r="O54" s="171"/>
      <c r="P54" s="171"/>
    </row>
    <row r="55" spans="2:16" s="137" customFormat="1" ht="11.15" customHeight="1" x14ac:dyDescent="0.3">
      <c r="B55" s="175" t="s">
        <v>158</v>
      </c>
      <c r="C55" s="177">
        <f>(C53+C54)/2</f>
        <v>11.8</v>
      </c>
      <c r="D55" s="157"/>
      <c r="E55" s="178"/>
      <c r="F55" s="171"/>
      <c r="G55" s="171"/>
      <c r="H55" s="171"/>
      <c r="I55" s="171"/>
      <c r="J55" s="185">
        <f>MAX(H53,J53)</f>
        <v>1</v>
      </c>
      <c r="K55" s="171"/>
      <c r="L55" s="185">
        <f>MAX(M53,N53,O53,P53)</f>
        <v>2</v>
      </c>
      <c r="M55" s="171"/>
      <c r="N55" s="171"/>
      <c r="O55" s="171"/>
      <c r="P55" s="171"/>
    </row>
    <row r="56" spans="2:16" s="137" customFormat="1" ht="11.15" customHeight="1" x14ac:dyDescent="0.4">
      <c r="B56" s="175" t="s">
        <v>159</v>
      </c>
      <c r="C56" s="176">
        <v>20</v>
      </c>
      <c r="D56" s="157"/>
      <c r="E56" s="178"/>
    </row>
    <row r="57" spans="2:16" s="137" customFormat="1" ht="11.15" customHeight="1" x14ac:dyDescent="0.4">
      <c r="B57" s="175" t="s">
        <v>160</v>
      </c>
      <c r="C57" s="177">
        <f>C14/1000</f>
        <v>2E-3</v>
      </c>
      <c r="D57" s="157"/>
      <c r="E57" s="178"/>
    </row>
    <row r="58" spans="2:16" s="137" customFormat="1" ht="16.5" customHeight="1" x14ac:dyDescent="0.4">
      <c r="C58" s="157"/>
      <c r="D58" s="157"/>
      <c r="E58" s="178"/>
      <c r="H58" s="186"/>
      <c r="I58" s="186"/>
    </row>
    <row r="59" spans="2:16" s="137" customFormat="1" ht="15" customHeight="1" x14ac:dyDescent="0.25">
      <c r="B59" s="175" t="s">
        <v>161</v>
      </c>
      <c r="C59" s="187">
        <f>(C57*C50*D48)/SQRT(3)</f>
        <v>6.6666666666666686E-4</v>
      </c>
      <c r="D59" s="188">
        <f>C59*SQRT(3)</f>
        <v>1.1547005383792518E-3</v>
      </c>
      <c r="E59" s="178"/>
      <c r="F59" s="432"/>
      <c r="G59" s="432"/>
      <c r="H59" s="189"/>
      <c r="I59" s="189"/>
      <c r="J59" s="189"/>
      <c r="K59" s="189"/>
      <c r="L59" s="189"/>
      <c r="M59" s="189"/>
    </row>
    <row r="60" spans="2:16" s="137" customFormat="1" ht="12" customHeight="1" thickBot="1" x14ac:dyDescent="0.3">
      <c r="C60" s="157"/>
      <c r="D60" s="188"/>
      <c r="E60" s="178"/>
      <c r="F60" s="433"/>
      <c r="G60" s="433"/>
      <c r="H60" s="189"/>
      <c r="I60" s="432"/>
      <c r="J60" s="432"/>
      <c r="K60" s="432"/>
      <c r="L60" s="432"/>
      <c r="M60" s="432"/>
    </row>
    <row r="61" spans="2:16" s="137" customFormat="1" ht="13.5" customHeight="1" thickBot="1" x14ac:dyDescent="0.3">
      <c r="B61" s="190" t="s">
        <v>162</v>
      </c>
      <c r="C61" s="191">
        <f>(C57*C55*C50)/(SQRT(3))</f>
        <v>6.8127331764375855E-3</v>
      </c>
      <c r="D61" s="188">
        <f>C61*SQRT(3)</f>
        <v>1.1800000000000001E-2</v>
      </c>
      <c r="E61" s="178"/>
      <c r="F61" s="433"/>
      <c r="G61" s="433"/>
      <c r="H61" s="189"/>
      <c r="I61" s="192"/>
      <c r="J61" s="192"/>
      <c r="K61" s="193"/>
      <c r="L61" s="434"/>
      <c r="M61" s="434"/>
    </row>
    <row r="62" spans="2:16" s="137" customFormat="1" ht="15" customHeight="1" thickBot="1" x14ac:dyDescent="0.3">
      <c r="C62" s="157"/>
      <c r="D62" s="177"/>
      <c r="E62" s="178"/>
      <c r="F62" s="433"/>
      <c r="G62" s="433"/>
      <c r="H62" s="189"/>
      <c r="I62" s="192"/>
      <c r="J62" s="192"/>
      <c r="K62" s="193"/>
      <c r="L62" s="434"/>
      <c r="M62" s="434"/>
    </row>
    <row r="63" spans="2:16" s="137" customFormat="1" ht="15" customHeight="1" x14ac:dyDescent="0.3">
      <c r="B63" s="195" t="s">
        <v>163</v>
      </c>
      <c r="C63" s="196">
        <f>C57*D48*D51</f>
        <v>7.0553368295055781E-4</v>
      </c>
      <c r="D63" s="177">
        <f>C63/SQRT(3)</f>
        <v>4.0734006177385265E-4</v>
      </c>
      <c r="E63" s="178"/>
      <c r="F63" s="155"/>
      <c r="G63" s="155"/>
      <c r="H63" s="189"/>
      <c r="I63" s="192"/>
      <c r="J63" s="192"/>
      <c r="K63" s="193"/>
      <c r="L63" s="194"/>
      <c r="M63" s="155"/>
    </row>
    <row r="64" spans="2:16" s="137" customFormat="1" ht="16.5" customHeight="1" x14ac:dyDescent="0.3">
      <c r="B64" s="175" t="s">
        <v>164</v>
      </c>
      <c r="C64" s="187">
        <f>C57*D47*D52</f>
        <v>6.6666666666666697E-4</v>
      </c>
      <c r="D64" s="177">
        <f>C64/SQRT(3)</f>
        <v>3.8490017945975069E-4</v>
      </c>
      <c r="E64" s="178"/>
      <c r="F64" s="155"/>
      <c r="G64" s="155"/>
      <c r="H64" s="189"/>
      <c r="I64" s="197"/>
      <c r="J64" s="155"/>
      <c r="K64" s="194"/>
      <c r="L64" s="194"/>
      <c r="M64" s="155"/>
    </row>
    <row r="65" spans="2:13" s="137" customFormat="1" ht="17.25" customHeight="1" thickBot="1" x14ac:dyDescent="0.35">
      <c r="C65" s="157"/>
      <c r="D65" s="157"/>
      <c r="E65" s="178"/>
      <c r="F65" s="155"/>
      <c r="G65" s="155"/>
      <c r="H65" s="189"/>
      <c r="I65" s="197"/>
      <c r="J65" s="155"/>
      <c r="K65" s="194"/>
      <c r="L65" s="194"/>
      <c r="M65" s="155"/>
    </row>
    <row r="66" spans="2:13" s="139" customFormat="1" ht="15" customHeight="1" thickBot="1" x14ac:dyDescent="0.35">
      <c r="B66" s="198" t="s">
        <v>165</v>
      </c>
      <c r="C66" s="167">
        <f>SQRT(POWER(C59,2)+POWER(C61,2)+POWER(D63,2)+POWER(D64,2))</f>
        <v>6.8681767487341122E-3</v>
      </c>
      <c r="D66" s="157"/>
      <c r="E66" s="157"/>
      <c r="F66" s="155"/>
      <c r="G66" s="155"/>
      <c r="H66" s="199"/>
      <c r="I66" s="197"/>
      <c r="J66" s="155"/>
      <c r="K66" s="194"/>
      <c r="L66" s="194"/>
      <c r="M66" s="155"/>
    </row>
    <row r="67" spans="2:13" s="139" customFormat="1" ht="11.15" customHeight="1" x14ac:dyDescent="0.3">
      <c r="F67" s="155"/>
      <c r="G67" s="155"/>
      <c r="H67" s="199"/>
      <c r="I67" s="197"/>
      <c r="J67" s="155"/>
      <c r="K67" s="194"/>
      <c r="L67" s="194"/>
      <c r="M67" s="155"/>
    </row>
    <row r="68" spans="2:13" s="139" customFormat="1" ht="11.15" customHeight="1" x14ac:dyDescent="0.4">
      <c r="F68" s="199"/>
      <c r="G68" s="199"/>
      <c r="H68" s="199"/>
      <c r="I68" s="199"/>
      <c r="J68" s="199"/>
      <c r="K68" s="199"/>
      <c r="L68" s="199"/>
      <c r="M68" s="199"/>
    </row>
    <row r="69" spans="2:13" s="139" customFormat="1" ht="11.15" customHeight="1" x14ac:dyDescent="0.4"/>
    <row r="70" spans="2:13" s="139" customFormat="1" ht="11.15" customHeight="1" x14ac:dyDescent="0.4">
      <c r="B70" s="427" t="s">
        <v>166</v>
      </c>
      <c r="C70" s="427"/>
    </row>
    <row r="71" spans="2:13" s="139" customFormat="1" ht="11.15" customHeight="1" x14ac:dyDescent="0.4"/>
    <row r="72" spans="2:13" s="139" customFormat="1" ht="11.15" customHeight="1" x14ac:dyDescent="0.4">
      <c r="B72" s="139" t="s">
        <v>167</v>
      </c>
      <c r="C72" s="200">
        <v>0</v>
      </c>
    </row>
    <row r="73" spans="2:13" s="139" customFormat="1" ht="11.15" customHeight="1" x14ac:dyDescent="0.4">
      <c r="B73" s="199" t="s">
        <v>168</v>
      </c>
      <c r="C73" s="201" t="str">
        <f>[4]Datos!J12</f>
        <v/>
      </c>
    </row>
    <row r="74" spans="2:13" s="139" customFormat="1" ht="11.15" customHeight="1" thickBot="1" x14ac:dyDescent="0.45">
      <c r="C74" s="202"/>
    </row>
    <row r="75" spans="2:13" s="139" customFormat="1" ht="11.15" customHeight="1" thickBot="1" x14ac:dyDescent="0.45">
      <c r="B75" s="198" t="s">
        <v>169</v>
      </c>
      <c r="C75" s="167">
        <f>(C72)/(2*SQRT(3))</f>
        <v>0</v>
      </c>
    </row>
    <row r="76" spans="2:13" s="139" customFormat="1" ht="11.15" customHeight="1" x14ac:dyDescent="0.4"/>
    <row r="77" spans="2:13" s="139" customFormat="1" ht="11.15" customHeight="1" x14ac:dyDescent="0.4">
      <c r="B77" s="169" t="s">
        <v>170</v>
      </c>
    </row>
    <row r="78" spans="2:13" s="139" customFormat="1" ht="11.15" customHeight="1" thickBot="1" x14ac:dyDescent="0.45">
      <c r="B78" s="139" t="s">
        <v>171</v>
      </c>
      <c r="C78" s="139">
        <f>J55</f>
        <v>1</v>
      </c>
    </row>
    <row r="79" spans="2:13" s="139" customFormat="1" ht="11.15" customHeight="1" thickBot="1" x14ac:dyDescent="0.45">
      <c r="B79" s="198" t="s">
        <v>172</v>
      </c>
      <c r="C79" s="167">
        <f>C78/SQRT(6)</f>
        <v>0.40824829046386307</v>
      </c>
    </row>
    <row r="80" spans="2:13" s="139" customFormat="1" ht="11.15" customHeight="1" thickBot="1" x14ac:dyDescent="0.45"/>
    <row r="81" spans="2:14" s="139" customFormat="1" ht="11.15" customHeight="1" thickTop="1" x14ac:dyDescent="0.4">
      <c r="B81" s="169" t="s">
        <v>173</v>
      </c>
      <c r="I81" s="203" t="s">
        <v>174</v>
      </c>
      <c r="J81" s="204"/>
      <c r="K81" s="204" t="s">
        <v>175</v>
      </c>
      <c r="L81" s="205"/>
      <c r="M81" s="204"/>
      <c r="N81" s="206"/>
    </row>
    <row r="82" spans="2:14" s="139" customFormat="1" ht="11.15" customHeight="1" thickBot="1" x14ac:dyDescent="0.45">
      <c r="B82" s="139" t="s">
        <v>176</v>
      </c>
      <c r="C82" s="139">
        <f>L55</f>
        <v>2</v>
      </c>
      <c r="I82" s="207"/>
      <c r="J82" s="208"/>
      <c r="K82" s="209" t="s">
        <v>177</v>
      </c>
      <c r="L82" s="210">
        <f>C83</f>
        <v>0.81649658092772615</v>
      </c>
      <c r="M82" s="208" t="s">
        <v>62</v>
      </c>
      <c r="N82" s="211"/>
    </row>
    <row r="83" spans="2:14" s="139" customFormat="1" ht="11.15" customHeight="1" thickBot="1" x14ac:dyDescent="0.45">
      <c r="B83" s="198" t="s">
        <v>178</v>
      </c>
      <c r="C83" s="167">
        <f>C82/SQRT(6)</f>
        <v>0.81649658092772615</v>
      </c>
      <c r="I83" s="207" t="s">
        <v>179</v>
      </c>
      <c r="J83" s="208"/>
      <c r="K83" s="209" t="s">
        <v>180</v>
      </c>
      <c r="L83" s="210">
        <f>C22</f>
        <v>0.29255526543429933</v>
      </c>
      <c r="M83" s="208" t="s">
        <v>62</v>
      </c>
      <c r="N83" s="211"/>
    </row>
    <row r="84" spans="2:14" s="137" customFormat="1" ht="11.15" customHeight="1" x14ac:dyDescent="0.4">
      <c r="C84" s="139"/>
      <c r="D84" s="139"/>
      <c r="I84" s="212">
        <f>C10</f>
        <v>22233.333333333336</v>
      </c>
      <c r="J84" s="208" t="s">
        <v>62</v>
      </c>
      <c r="K84" s="209" t="s">
        <v>150</v>
      </c>
      <c r="L84" s="210">
        <f>C66</f>
        <v>6.8681767487341122E-3</v>
      </c>
      <c r="M84" s="208" t="s">
        <v>62</v>
      </c>
      <c r="N84" s="213"/>
    </row>
    <row r="85" spans="2:14" s="139" customFormat="1" ht="11.15" customHeight="1" x14ac:dyDescent="0.4">
      <c r="B85" s="169" t="s">
        <v>181</v>
      </c>
      <c r="D85" s="137"/>
      <c r="E85" s="137"/>
      <c r="F85" s="137" t="s">
        <v>182</v>
      </c>
      <c r="G85" s="137"/>
      <c r="H85" s="137"/>
      <c r="I85" s="207" t="s">
        <v>183</v>
      </c>
      <c r="J85" s="208"/>
      <c r="K85" s="209" t="s">
        <v>60</v>
      </c>
      <c r="L85" s="210">
        <f>C79</f>
        <v>0.40824829046386307</v>
      </c>
      <c r="M85" s="208" t="s">
        <v>62</v>
      </c>
      <c r="N85" s="211"/>
    </row>
    <row r="86" spans="2:14" s="139" customFormat="1" ht="11.15" customHeight="1" x14ac:dyDescent="0.4">
      <c r="B86" s="139" t="s">
        <v>184</v>
      </c>
      <c r="C86" s="214">
        <f>C72/4</f>
        <v>0</v>
      </c>
      <c r="D86" s="137"/>
      <c r="E86" s="137"/>
      <c r="F86" s="435" t="s">
        <v>185</v>
      </c>
      <c r="G86" s="435"/>
      <c r="H86" s="436"/>
      <c r="I86" s="212">
        <f>C75</f>
        <v>0</v>
      </c>
      <c r="J86" s="208" t="s">
        <v>62</v>
      </c>
      <c r="K86" s="210" t="s">
        <v>186</v>
      </c>
      <c r="L86" s="215">
        <f>C87</f>
        <v>0</v>
      </c>
      <c r="M86" s="208" t="s">
        <v>62</v>
      </c>
      <c r="N86" s="213"/>
    </row>
    <row r="87" spans="2:14" s="139" customFormat="1" ht="11.15" customHeight="1" x14ac:dyDescent="0.4">
      <c r="B87" s="149" t="s">
        <v>178</v>
      </c>
      <c r="C87" s="149">
        <f>C86/SQRT(3)</f>
        <v>0</v>
      </c>
      <c r="D87" s="137"/>
      <c r="E87" s="137"/>
      <c r="F87" s="435"/>
      <c r="G87" s="435"/>
      <c r="H87" s="436"/>
      <c r="I87" s="207"/>
      <c r="J87" s="208"/>
      <c r="K87" s="216"/>
      <c r="L87" s="216"/>
      <c r="M87" s="208"/>
      <c r="N87" s="213"/>
    </row>
    <row r="88" spans="2:14" s="139" customFormat="1" ht="11.15" customHeight="1" x14ac:dyDescent="0.4">
      <c r="D88" s="137"/>
      <c r="E88" s="137"/>
      <c r="F88" s="137"/>
      <c r="G88" s="137"/>
      <c r="H88" s="137"/>
      <c r="I88" s="207" t="s">
        <v>187</v>
      </c>
      <c r="J88" s="214">
        <f>SQRT(I84^2+I86^2)</f>
        <v>22233.333333333336</v>
      </c>
      <c r="K88" s="217" t="s">
        <v>187</v>
      </c>
      <c r="L88" s="214">
        <f>SQRT(L83^2+L84^2+L85^2+L82^2+L86^2)</f>
        <v>0.95862875427274696</v>
      </c>
      <c r="M88" s="215"/>
      <c r="N88" s="213"/>
    </row>
    <row r="89" spans="2:14" s="139" customFormat="1" ht="11.15" customHeight="1" x14ac:dyDescent="0.4">
      <c r="B89" s="218" t="s">
        <v>188</v>
      </c>
      <c r="C89" s="218">
        <f>SQRT(POWER(C75,2) + POWER(C66,2) + POWER(C10,2) +POWER(C83,2) + POWER(C87,2) + POWER(C22,2) + POWER(C79,2)+ POWER(C28,2)+ POWER(C32,2)+ POWER(C36,2)+ POWER(C40,2)+ POWER(C44,2))</f>
        <v>22233.333354547034</v>
      </c>
      <c r="I89" s="207" t="s">
        <v>189</v>
      </c>
      <c r="J89" s="214">
        <f>J88*2</f>
        <v>44466.666666666672</v>
      </c>
      <c r="K89" s="208" t="s">
        <v>189</v>
      </c>
      <c r="L89" s="214">
        <f>L88*2</f>
        <v>1.9172575085454939</v>
      </c>
      <c r="M89" s="215"/>
      <c r="N89" s="213"/>
    </row>
    <row r="90" spans="2:14" s="137" customFormat="1" ht="11.15" customHeight="1" thickBot="1" x14ac:dyDescent="0.45">
      <c r="C90" s="139"/>
      <c r="D90" s="139"/>
      <c r="I90" s="207"/>
      <c r="J90" s="208"/>
      <c r="K90" s="214"/>
      <c r="L90" s="216"/>
      <c r="M90" s="208"/>
      <c r="N90" s="213"/>
    </row>
    <row r="91" spans="2:14" s="137" customFormat="1" ht="11.15" customHeight="1" thickBot="1" x14ac:dyDescent="0.45">
      <c r="B91" s="219" t="s">
        <v>190</v>
      </c>
      <c r="C91" s="220">
        <f>C89*2</f>
        <v>44466.666709094068</v>
      </c>
      <c r="D91" s="139"/>
      <c r="I91" s="207"/>
      <c r="J91" s="221" t="s">
        <v>191</v>
      </c>
      <c r="K91" s="222">
        <f>SQRT(J89^2+L89^2)</f>
        <v>44466.666707999611</v>
      </c>
      <c r="L91" s="208" t="s">
        <v>62</v>
      </c>
      <c r="M91" s="223"/>
      <c r="N91" s="213"/>
    </row>
    <row r="92" spans="2:14" s="137" customFormat="1" ht="11.15" customHeight="1" x14ac:dyDescent="0.4">
      <c r="C92" s="139"/>
      <c r="D92" s="139"/>
      <c r="I92" s="207"/>
      <c r="J92" s="208"/>
      <c r="K92" s="216"/>
      <c r="L92" s="216"/>
      <c r="M92" s="208"/>
      <c r="N92" s="213"/>
    </row>
    <row r="93" spans="2:14" s="137" customFormat="1" ht="11.15" hidden="1" customHeight="1" x14ac:dyDescent="0.4">
      <c r="C93" s="139"/>
      <c r="D93" s="139"/>
      <c r="I93" s="224"/>
      <c r="J93" s="225"/>
      <c r="K93" s="226"/>
      <c r="L93" s="216"/>
      <c r="M93" s="208"/>
      <c r="N93" s="227"/>
    </row>
    <row r="94" spans="2:14" ht="11.15" hidden="1" customHeight="1" x14ac:dyDescent="0.4">
      <c r="I94" s="224"/>
      <c r="J94" s="225"/>
      <c r="K94" s="226"/>
      <c r="L94" s="216"/>
      <c r="M94" s="208"/>
      <c r="N94" s="227"/>
    </row>
    <row r="95" spans="2:14" ht="11.15" hidden="1" customHeight="1" x14ac:dyDescent="0.4">
      <c r="C95" s="133" t="s">
        <v>192</v>
      </c>
      <c r="D95" s="134" t="s">
        <v>193</v>
      </c>
      <c r="I95" s="228"/>
      <c r="J95" s="137"/>
      <c r="K95" s="137"/>
      <c r="L95" s="137"/>
      <c r="M95" s="137"/>
      <c r="N95" s="227"/>
    </row>
    <row r="96" spans="2:14" ht="11.15" hidden="1" customHeight="1" x14ac:dyDescent="0.4">
      <c r="B96" s="132" t="s">
        <v>194</v>
      </c>
      <c r="C96" s="133">
        <v>5.8</v>
      </c>
      <c r="D96" s="134">
        <v>0</v>
      </c>
      <c r="I96" s="228"/>
      <c r="J96" s="137"/>
      <c r="K96" s="137"/>
      <c r="L96" s="137"/>
      <c r="M96" s="137"/>
      <c r="N96" s="227"/>
    </row>
    <row r="97" spans="1:14" ht="11.15" hidden="1" customHeight="1" x14ac:dyDescent="0.4">
      <c r="B97" s="132" t="s">
        <v>195</v>
      </c>
      <c r="C97" s="133">
        <v>24</v>
      </c>
      <c r="D97" s="134">
        <v>1500</v>
      </c>
      <c r="I97" s="228"/>
      <c r="J97" s="229"/>
      <c r="K97" s="137"/>
      <c r="L97" s="229"/>
      <c r="M97" s="178"/>
      <c r="N97" s="227"/>
    </row>
    <row r="98" spans="1:14" ht="11.15" hidden="1" customHeight="1" x14ac:dyDescent="0.4">
      <c r="B98" s="132" t="s">
        <v>196</v>
      </c>
      <c r="C98" s="230">
        <f>C97-C96</f>
        <v>18.2</v>
      </c>
      <c r="D98" s="231">
        <f>D97-D96</f>
        <v>1500</v>
      </c>
      <c r="I98" s="228" t="s">
        <v>197</v>
      </c>
      <c r="J98" s="137"/>
      <c r="K98" s="137" t="s">
        <v>198</v>
      </c>
      <c r="L98" s="137"/>
      <c r="M98" s="137"/>
      <c r="N98" s="227"/>
    </row>
    <row r="99" spans="1:14" ht="11.15" hidden="1" customHeight="1" x14ac:dyDescent="0.4">
      <c r="B99" s="232" t="s">
        <v>199</v>
      </c>
      <c r="C99" s="133">
        <f>C96-C98*D96/D98</f>
        <v>5.8</v>
      </c>
      <c r="I99" s="233">
        <f>C17</f>
        <v>0</v>
      </c>
      <c r="J99" s="137"/>
      <c r="K99" s="137">
        <f>C54</f>
        <v>11.8</v>
      </c>
      <c r="L99" s="137"/>
      <c r="M99" s="137" t="s">
        <v>200</v>
      </c>
      <c r="N99" s="227">
        <v>1.02</v>
      </c>
    </row>
    <row r="100" spans="1:14" ht="11.15" hidden="1" customHeight="1" x14ac:dyDescent="0.4">
      <c r="I100" s="228">
        <f>C87</f>
        <v>0</v>
      </c>
      <c r="J100" s="137"/>
      <c r="K100" s="137" t="str">
        <f>C73</f>
        <v/>
      </c>
      <c r="L100" s="137"/>
      <c r="M100" s="140"/>
      <c r="N100" s="227"/>
    </row>
    <row r="101" spans="1:14" ht="11.15" hidden="1" customHeight="1" x14ac:dyDescent="0.4">
      <c r="B101" s="234" t="s">
        <v>199</v>
      </c>
      <c r="C101" s="230">
        <f>C99</f>
        <v>5.8</v>
      </c>
      <c r="I101" s="228"/>
      <c r="J101" s="137"/>
      <c r="K101" s="137">
        <f>E54</f>
        <v>0</v>
      </c>
      <c r="L101" s="137"/>
      <c r="M101" s="137" t="s">
        <v>201</v>
      </c>
      <c r="N101" s="227">
        <v>2.4</v>
      </c>
    </row>
    <row r="102" spans="1:14" ht="11.15" hidden="1" customHeight="1" x14ac:dyDescent="0.4">
      <c r="B102" s="234" t="s">
        <v>202</v>
      </c>
      <c r="C102" s="133">
        <f>C98/D98</f>
        <v>1.2133333333333333E-2</v>
      </c>
      <c r="I102" s="228">
        <f>SQRT(I100^2+I99^2)</f>
        <v>0</v>
      </c>
      <c r="J102" s="137"/>
      <c r="K102" s="137" t="e">
        <f>SQRT(K100^2+K99^2+K101^2)</f>
        <v>#VALUE!</v>
      </c>
      <c r="L102" s="137"/>
      <c r="M102" s="137"/>
      <c r="N102" s="227"/>
    </row>
    <row r="103" spans="1:14" ht="11.15" hidden="1" customHeight="1" x14ac:dyDescent="0.4">
      <c r="B103" s="234" t="s">
        <v>203</v>
      </c>
      <c r="C103" s="133">
        <v>1500</v>
      </c>
      <c r="I103" s="228">
        <f>I102*2</f>
        <v>0</v>
      </c>
      <c r="J103" s="137"/>
      <c r="K103" s="137" t="e">
        <f>K102*2</f>
        <v>#VALUE!</v>
      </c>
      <c r="L103" s="137"/>
      <c r="M103" s="137"/>
      <c r="N103" s="227"/>
    </row>
    <row r="104" spans="1:14" ht="11.15" hidden="1" customHeight="1" x14ac:dyDescent="0.4">
      <c r="B104" s="234" t="s">
        <v>130</v>
      </c>
      <c r="C104" s="133">
        <f>C101+C103*C102</f>
        <v>24</v>
      </c>
      <c r="I104" s="228"/>
      <c r="J104" s="137"/>
      <c r="K104" s="137"/>
      <c r="L104" s="137"/>
      <c r="M104" s="137"/>
      <c r="N104" s="227"/>
    </row>
    <row r="105" spans="1:14" hidden="1" x14ac:dyDescent="0.4">
      <c r="A105" s="437" t="e">
        <f>#REF!</f>
        <v>#REF!</v>
      </c>
      <c r="B105" s="438"/>
      <c r="C105" s="235" t="s">
        <v>204</v>
      </c>
      <c r="D105" s="236" t="e">
        <f>#REF!</f>
        <v>#REF!</v>
      </c>
      <c r="I105" s="237"/>
      <c r="J105" s="229"/>
      <c r="N105" s="238"/>
    </row>
    <row r="106" spans="1:14" hidden="1" x14ac:dyDescent="0.4">
      <c r="A106" s="437" t="e">
        <f>#REF!</f>
        <v>#REF!</v>
      </c>
      <c r="B106" s="438"/>
      <c r="C106" s="235" t="s">
        <v>205</v>
      </c>
      <c r="D106" s="236" t="e">
        <f>#REF!</f>
        <v>#REF!</v>
      </c>
      <c r="I106" s="237"/>
      <c r="J106" s="229"/>
      <c r="N106" s="238"/>
    </row>
    <row r="107" spans="1:14" hidden="1" x14ac:dyDescent="0.4">
      <c r="A107" s="437" t="e">
        <f>#REF!</f>
        <v>#REF!</v>
      </c>
      <c r="B107" s="438"/>
      <c r="C107" s="235" t="s">
        <v>206</v>
      </c>
      <c r="D107" s="236" t="e">
        <f>#REF!</f>
        <v>#REF!</v>
      </c>
      <c r="I107" s="237"/>
      <c r="J107" s="229"/>
      <c r="N107" s="238"/>
    </row>
    <row r="108" spans="1:14" hidden="1" x14ac:dyDescent="0.4">
      <c r="I108" s="237" t="s">
        <v>207</v>
      </c>
      <c r="J108" s="229"/>
      <c r="N108" s="238"/>
    </row>
    <row r="109" spans="1:14" x14ac:dyDescent="0.4">
      <c r="C109" s="133" t="str">
        <f>"± "&amp;IF(C89*2&lt;(1.4+(0.005*C14)),"(1.4+0.005 L) µm, L en mm ",ROUND(C91,1)&amp;" μm ")</f>
        <v xml:space="preserve">± 44466.7 μm </v>
      </c>
      <c r="I109" s="237"/>
      <c r="J109" s="229"/>
      <c r="N109" s="238"/>
    </row>
    <row r="110" spans="1:14" x14ac:dyDescent="0.4">
      <c r="I110" s="430" t="s">
        <v>208</v>
      </c>
      <c r="J110" s="431"/>
      <c r="K110" s="431"/>
      <c r="L110" s="208"/>
      <c r="M110" s="208"/>
      <c r="N110" s="239"/>
    </row>
    <row r="111" spans="1:14" x14ac:dyDescent="0.4">
      <c r="I111" s="207" t="s">
        <v>207</v>
      </c>
      <c r="J111" s="214">
        <v>1.304</v>
      </c>
      <c r="K111" s="240">
        <f>(J112-J111)/600</f>
        <v>5.4083333333333336E-3</v>
      </c>
      <c r="L111" s="208"/>
      <c r="M111" s="208"/>
      <c r="N111" s="239"/>
    </row>
    <row r="112" spans="1:14" x14ac:dyDescent="0.4">
      <c r="I112" s="241" t="s">
        <v>209</v>
      </c>
      <c r="J112" s="214">
        <v>4.5490000000000004</v>
      </c>
      <c r="K112" s="214"/>
      <c r="L112" s="208"/>
      <c r="M112" s="208"/>
      <c r="N112" s="239"/>
    </row>
    <row r="113" spans="5:14" x14ac:dyDescent="0.4">
      <c r="I113" s="241"/>
      <c r="J113" s="214"/>
      <c r="K113" s="214"/>
      <c r="L113" s="208"/>
      <c r="M113" s="208"/>
      <c r="N113" s="239"/>
    </row>
    <row r="114" spans="5:14" ht="12" thickBot="1" x14ac:dyDescent="0.45">
      <c r="I114" s="242"/>
      <c r="J114" s="243" t="s">
        <v>210</v>
      </c>
      <c r="K114" s="243"/>
      <c r="L114" s="244"/>
      <c r="M114" s="244"/>
      <c r="N114" s="245"/>
    </row>
    <row r="115" spans="5:14" ht="12" thickTop="1" x14ac:dyDescent="0.4">
      <c r="E115" s="139"/>
      <c r="F115" s="139"/>
      <c r="G115" s="139"/>
    </row>
    <row r="116" spans="5:14" x14ac:dyDescent="0.4">
      <c r="E116" s="139"/>
      <c r="G116" s="139"/>
    </row>
    <row r="117" spans="5:14" x14ac:dyDescent="0.4">
      <c r="F117" s="229"/>
    </row>
    <row r="118" spans="5:14" x14ac:dyDescent="0.4">
      <c r="F118" s="229"/>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2023-05-14T22:45:53Z</dcterms:modified>
</cp:coreProperties>
</file>