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A5E0FF54-3E47-472A-B521-33D6B8A6CAAE}"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<sst xmlns="http://schemas.openxmlformats.org/spreadsheetml/2006/main" count="258" uniqueCount="210">
  <si>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</si>
  <si>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</si>
  <si>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</si>
  <si>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</si>
  <si>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</si>
  <si>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</si>
  <si>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</si>
  <si>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</si>
  <si>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</si>
  <si>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</si>
  <si>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</si>
  <si>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</si>
  <si>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</si>
  <si>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</si>
  <si>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</si>
  <si>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</si>
  <si>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</si>
  <si>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</si>
  <si>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</si>
  <si>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</si>
  <si>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</si>
  <si>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</si>
  <si>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</si>
  <si>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</si>
  <si>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</si>
  <si>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</si>
  <si>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</si>
  <si>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</si>
  <si>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</si>
  <si>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</si>
  <si>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</si>
  <si>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</si>
  <si>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</si>
  <si>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</si>
  <si>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</si>
  <si>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</si>
  <si>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</si>
  <si>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</si>
  <si>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</si>
  <si>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</si>
  <si>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</si>
  <si>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</si>
  <si>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</si>
  <si>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</si>
  <si>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</si>
  <si>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</si>
  <si>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</si>
  <si>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</si>
  <si>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</si>
  <si>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</si>
  <si>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</si>
  <si>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</si>
  <si>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</si>
  <si>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</si>
  <si>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</si>
  <si>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</si>
  <si>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</si>
  <si>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</si>
  <si>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</si>
  <si>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</si>
  <si>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</si>
  <si>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</si>
  <si>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</si>
  <si>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</si>
  <si>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</si>
  <si>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</si>
  <si>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</si>
  <si>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</si>
  <si>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</si>
  <si>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</si>
  <si>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</si>
  <si>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</si>
  <si>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</si>
  <si>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</si>
  <si>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</si>
  <si>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</si>
  <si>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</si>
  <si>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</si>
  <si>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</si>
  <si>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</si>
  <si>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</si>
  <si>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</si>
  <si>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</si>
  <si>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</si>
  <si>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</si>
  <si>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</si>
  <si>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</si>
  <si>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</si>
  <si>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</si>
  <si>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</si>
  <si>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</si>
  <si>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</si>
  <si>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</si>
  <si>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</si>
  <si>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</si>
  <si>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</si>
  <si>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</si>
  <si>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</si>
  <si>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</si>
  <si>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</si>
  <si>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</si>
  <si>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</si>
  <si>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</si>
  <si>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</si>
  <si>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</si>
  <si>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</si>
  <si>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</si>
  <si>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</si>
  <si>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</si>
  <si>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</si>
  <si>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</si>
  <si>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</si>
  <si>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</si>
  <si>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</si>
  <si>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</si>
  <si>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</si>
  <si>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</si>
  <si>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</si>
  <si>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</si>
  <si>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</si>
  <si>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</si>
  <si>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</si>
  <si>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</si>
  <si>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</si>
  <si>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</si>
  <si>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</si>
  <si>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</si>
  <si>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</si>
  <si>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</si>
  <si>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</si>
  <si>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</si>
  <si>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</si>
  <si>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</si>
  <si>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</si>
  <si>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</si>
  <si>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</si>
  <si>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</si>
  <si>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</si>
  <si>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</si>
  <si>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</si>
  <si>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</si>
  <si>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</si>
  <si>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</si>
  <si>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</si>
  <si>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</si>
  <si>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</si>
  <si>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</si>
  <si>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</si>
  <si>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</si>
  <si>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</si>
  <si>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</si>
  <si>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</si>
  <si>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</si>
  <si>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</si>
  <si>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</si>
  <si>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</si>
  <si>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</si>
  <si>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</si>
  <si>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</si>
  <si>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</si>
  <si>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</si>
  <si>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</si>
  <si>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</si>
  <si>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</si>
  <si>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</si>
  <si>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</si>
  <si>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</si>
  <si>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</si>
  <si>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</si>
  <si>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</si>
  <si>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</si>
  <si>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</si>
  <si>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</si>
  <si>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</si>
  <si>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</si>
  <si>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</si>
  <si>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</si>
  <si>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</si>
  <si>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</si>
  <si>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</si>
  <si>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</si>
  <si>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</si>
  <si>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</si>
  <si>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</si>
  <si>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</si>
  <si>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</si>
  <si>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</si>
  <si>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</si>
  <si>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</si>
  <si>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</si>
  <si>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</si>
  <si>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</si>
  <si>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</si>
  <si>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</si>
  <si>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</si>
  <si>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</si>
  <si>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</si>
  <si>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</si>
  <si>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</si>
  <si>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</si>
  <si>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</si>
  <si>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</si>
  <si>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</si>
  <si>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0.00 ± 0 % HR</t>
  </si>
  <si>
    <t>Ing. Paloma Ortiz</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</si>
  <si>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</si>
  <si>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</si>
  <si>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t xml:space="preserve">± (1.4+0.005 L) µm, L en mm </t>
  </si>
  <si>
    <t>0.00 ± 0 °C</t>
  </si>
  <si>
    <t>Ing. Francisco Vaez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</si>
</sst>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42">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169" fontId="92" fillId="0" borderId="74" xfId="0" applyNumberFormat="1" applyFont="1" applyBorder="1" applyAlignment="1">
      <alignment horizontal="center" vertical="center" wrapText="1"/>
    </xf>
    <xf numFmtId="169" fontId="92" fillId="0" borderId="81" xfId="0" applyNumberFormat="1" applyFont="1" applyBorder="1" applyAlignment="1">
      <alignment horizontal="center" vertical="center" wrapText="1"/>
    </xf>
    <xf numFmtId="169" fontId="92" fillId="0" borderId="85" xfId="0" applyNumberFormat="1" applyFont="1" applyBorder="1" applyAlignment="1">
      <alignment horizontal="center" vertical="center" wrapText="1"/>
    </xf>
    <xf numFmtId="169" fontId="9" fillId="0" borderId="60" xfId="0" applyNumberFormat="1" applyFont="1" applyBorder="1" applyAlignment="1" applyProtection="1">
      <alignment horizontal="center" vertical="center" wrapText="1"/>
      <protection locked="0"/>
    </xf>
    <xf numFmtId="169" fontId="9" fillId="0" borderId="67" xfId="0" applyNumberFormat="1" applyFont="1" applyBorder="1" applyAlignment="1" applyProtection="1">
      <alignment horizontal="center" vertical="center" wrapText="1"/>
      <protection locked="0"/>
    </xf>
    <xf numFmtId="169" fontId="9" fillId="0" borderId="63" xfId="0" applyNumberFormat="1" applyFont="1" applyBorder="1" applyAlignment="1" applyProtection="1">
      <alignment horizontal="center" vertical="center"/>
      <protection locked="0"/>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14" borderId="69" xfId="0" applyFont="1" applyFill="1" applyBorder="1" applyAlignment="1">
      <alignment horizont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4" fillId="14" borderId="83" xfId="0" applyFont="1" applyFill="1" applyBorder="1" applyAlignment="1">
      <alignment horizont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29" fillId="0" borderId="0" xfId="0"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2" fontId="82" fillId="0" borderId="0" xfId="1" applyNumberFormat="1" applyFont="1" applyAlignment="1">
      <alignment horizontal="left" vertic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21" fillId="0" borderId="0" xfId="0" applyFont="1" applyFill="1" applyBorder="1" applyAlignment="1">
      <alignment horizontal="center" vertical="center"/>
    </xf>
    <xf numFmtId="164" fontId="21" fillId="0" borderId="0" xfId="0" applyNumberFormat="1" applyFont="1" applyFill="1" applyBorder="1" applyAlignment="1">
      <alignment horizontal="center" vertical="center"/>
    </xf>
    <xf numFmtId="0" fontId="0" fillId="0" borderId="0" xfId="0" applyBorder="1"/>
    <xf numFmtId="0" fontId="21" fillId="0" borderId="0" xfId="0" applyFont="1" applyBorder="1" applyAlignment="1">
      <alignment horizontal="center" vertical="center"/>
    </xf>
    <xf numFmtId="164" fontId="21" fillId="0" borderId="0" xfId="0" applyNumberFormat="1" applyFont="1" applyBorder="1" applyAlignment="1">
      <alignment horizontal="center" vertical="center"/>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5.emf"/><Relationship Id="rId7" Type="http://schemas.openxmlformats.org/officeDocument/2006/relationships/image" Target="../media/image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A3" sqref="A3"/>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35"/>
      <c r="B1" s="267" t="s">
        <v>198</v>
      </c>
      <c r="C1" s="267"/>
    </row>
    <row r="2" spans="1:13" ht="18.899999999999999" thickBot="1" x14ac:dyDescent="0.55000000000000004">
      <c r="A2" s="235"/>
      <c r="B2" s="267" t="s">
        <v>199</v>
      </c>
      <c r="C2" s="267"/>
      <c r="E2" s="245" t="s">
        <v>76</v>
      </c>
      <c r="F2" s="246"/>
      <c r="G2" s="247"/>
    </row>
    <row r="3" spans="1:13" ht="18.899999999999999" thickBot="1" x14ac:dyDescent="0.55000000000000004">
      <c r="A3" s="235"/>
      <c r="B3" s="267" t="s">
        <v>200</v>
      </c>
      <c r="C3" s="267"/>
      <c r="E3" s="239" t="s">
        <v>77</v>
      </c>
      <c r="F3" s="239"/>
      <c r="G3" s="93">
        <v>0</v>
      </c>
    </row>
    <row r="4" spans="1:13" ht="18.45" x14ac:dyDescent="0.5">
      <c r="E4" s="264" t="s">
        <v>78</v>
      </c>
      <c r="F4" s="264"/>
      <c r="G4" s="244">
        <v>0</v>
      </c>
    </row>
    <row r="5" spans="1:13" ht="18.45" x14ac:dyDescent="0.5">
      <c r="A5" s="253" t="s">
        <v>81</v>
      </c>
      <c r="B5" s="265"/>
      <c r="C5" s="265"/>
      <c r="E5" s="264" t="s">
        <v>79</v>
      </c>
      <c r="F5" s="264"/>
      <c r="G5" s="93">
        <v>0</v>
      </c>
    </row>
    <row r="6" spans="1:13" ht="18.45" x14ac:dyDescent="0.5">
      <c r="A6" s="253" t="s">
        <v>82</v>
      </c>
      <c r="B6" s="266"/>
      <c r="C6" s="266"/>
      <c r="E6" s="264" t="s">
        <v>80</v>
      </c>
      <c r="F6" s="264"/>
      <c r="G6" s="93">
        <v>0</v>
      </c>
      <c r="I6" s="106"/>
    </row>
    <row r="7" spans="1:13" ht="19.75" x14ac:dyDescent="0.4">
      <c r="C7" s="109"/>
      <c r="D7" s="109"/>
      <c r="E7" s="91"/>
      <c r="I7" s="92"/>
    </row>
    <row r="8" spans="1:13" ht="18.45" customHeight="1" x14ac:dyDescent="0.4">
      <c r="C8" s="115"/>
      <c r="D8" s="116"/>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43"/>
      <c r="C12" s="242"/>
      <c r="D12" s="241"/>
      <c r="E12" s="241"/>
      <c r="F12" s="241"/>
      <c r="G12" s="240"/>
      <c r="H12" s="96"/>
      <c r="I12" s="96"/>
      <c r="K12" s="85"/>
      <c r="M12" s="94"/>
    </row>
    <row r="13" spans="1:13" ht="20.6" x14ac:dyDescent="0.5">
      <c r="B13" s="249"/>
      <c r="C13" s="249">
        <v>1</v>
      </c>
      <c r="D13" s="249">
        <v>2</v>
      </c>
      <c r="E13" s="249">
        <v>3</v>
      </c>
      <c r="F13" s="248" t="s">
        <v>83</v>
      </c>
      <c r="G13" s="254" t="s">
        <v>90</v>
      </c>
      <c r="H13" s="238"/>
      <c r="I13" s="96"/>
      <c r="K13" s="111"/>
    </row>
    <row r="14" spans="1:13" ht="18.45" x14ac:dyDescent="0.5">
      <c r="B14" s="236">
        <v>0</v>
      </c>
      <c r="C14" s="97">
        <v>0</v>
      </c>
      <c r="D14" s="97">
        <v>0</v>
      </c>
      <c r="E14" s="97">
        <v>0</v>
      </c>
      <c r="F14" s="237">
        <v>0</v>
      </c>
      <c r="G14" s="96"/>
      <c r="H14" s="96"/>
      <c r="I14" s="96"/>
      <c r="M14" s="85"/>
    </row>
    <row r="15" spans="1:13" ht="18.45" x14ac:dyDescent="0.5">
      <c r="B15" s="236">
        <v>0</v>
      </c>
      <c r="C15" s="97">
        <v>0</v>
      </c>
      <c r="D15" s="97">
        <v>0</v>
      </c>
      <c r="E15" s="97">
        <v>0</v>
      </c>
      <c r="F15" s="237">
        <v>0</v>
      </c>
      <c r="G15" s="96"/>
      <c r="H15" s="96"/>
      <c r="I15" s="96"/>
      <c r="M15" s="85"/>
    </row>
    <row r="16" spans="1:13" ht="18.45" x14ac:dyDescent="0.5">
      <c r="B16" s="236">
        <v>0</v>
      </c>
      <c r="C16" s="97">
        <v>0</v>
      </c>
      <c r="D16" s="97">
        <v>0</v>
      </c>
      <c r="E16" s="97">
        <v>0</v>
      </c>
      <c r="F16" s="237">
        <v>0</v>
      </c>
      <c r="K16" s="95"/>
      <c r="M16" s="85"/>
    </row>
    <row r="17" spans="2:13" ht="18.45" x14ac:dyDescent="0.5">
      <c r="B17" s="236">
        <v>0</v>
      </c>
      <c r="C17" s="97">
        <v>0</v>
      </c>
      <c r="D17" s="97">
        <v>0</v>
      </c>
      <c r="E17" s="97">
        <v>0</v>
      </c>
      <c r="F17" s="237">
        <v>0</v>
      </c>
      <c r="K17" s="91"/>
      <c r="M17" s="85"/>
    </row>
    <row r="18" spans="2:13" ht="18.45" x14ac:dyDescent="0.5">
      <c r="B18" s="236">
        <v>0</v>
      </c>
      <c r="C18" s="97">
        <v>0</v>
      </c>
      <c r="D18" s="97">
        <v>0</v>
      </c>
      <c r="E18" s="97">
        <v>0</v>
      </c>
      <c r="F18" s="237">
        <v>0</v>
      </c>
      <c r="K18" s="91"/>
      <c r="M18" s="85"/>
    </row>
    <row r="19" spans="2:13" ht="18.45" x14ac:dyDescent="0.5">
      <c r="B19" s="236">
        <v>0</v>
      </c>
      <c r="C19" s="97">
        <v>0</v>
      </c>
      <c r="D19" s="97">
        <v>0</v>
      </c>
      <c r="E19" s="97">
        <v>0</v>
      </c>
      <c r="F19" s="237">
        <v>0</v>
      </c>
      <c r="K19" s="85"/>
      <c r="M19" s="85"/>
    </row>
    <row r="20" spans="2:13" ht="18.45" x14ac:dyDescent="0.5">
      <c r="B20" s="236">
        <v>0</v>
      </c>
      <c r="C20" s="97">
        <v>0</v>
      </c>
      <c r="D20" s="97">
        <v>0</v>
      </c>
      <c r="E20" s="97">
        <v>0</v>
      </c>
      <c r="F20" s="237">
        <v>0</v>
      </c>
      <c r="G20" s="96"/>
      <c r="H20" s="96"/>
      <c r="I20" s="96"/>
      <c r="K20" s="85"/>
      <c r="M20" s="85"/>
    </row>
    <row r="21" spans="2:13" ht="18.45" x14ac:dyDescent="0.5">
      <c r="B21" s="236">
        <v>0</v>
      </c>
      <c r="C21" s="97">
        <v>0</v>
      </c>
      <c r="D21" s="97">
        <v>0</v>
      </c>
      <c r="E21" s="97">
        <v>0</v>
      </c>
      <c r="F21" s="237">
        <v>0</v>
      </c>
      <c r="G21" s="96"/>
      <c r="H21" s="96"/>
      <c r="I21" s="96"/>
    </row>
    <row r="22" spans="2:13" ht="18.45" x14ac:dyDescent="0.5">
      <c r="B22" s="236">
        <v>0</v>
      </c>
      <c r="C22" s="97">
        <v>0</v>
      </c>
      <c r="D22" s="97">
        <v>0</v>
      </c>
      <c r="E22" s="97">
        <v>0</v>
      </c>
      <c r="F22" s="237">
        <v>0</v>
      </c>
      <c r="G22" s="96"/>
      <c r="H22" s="96"/>
      <c r="I22" s="114"/>
      <c r="J22" s="110"/>
    </row>
    <row r="23" spans="2:13" ht="18.45" x14ac:dyDescent="0.5">
      <c r="B23" s="236">
        <v>0</v>
      </c>
      <c r="C23" s="97">
        <v>0</v>
      </c>
      <c r="D23" s="97">
        <v>0</v>
      </c>
      <c r="E23" s="97">
        <v>0</v>
      </c>
      <c r="F23" s="237">
        <v>0</v>
      </c>
      <c r="G23" s="96"/>
      <c r="H23" s="96"/>
      <c r="I23" s="96"/>
    </row>
    <row r="24" spans="2:13" ht="18.45" x14ac:dyDescent="0.5">
      <c r="B24" s="236">
        <v>0</v>
      </c>
      <c r="C24" s="97">
        <v>0</v>
      </c>
      <c r="D24" s="97">
        <v>0</v>
      </c>
      <c r="E24" s="97">
        <v>0</v>
      </c>
      <c r="F24" s="237">
        <v>0</v>
      </c>
      <c r="G24" s="96"/>
      <c r="H24" s="96"/>
      <c r="I24" s="96"/>
      <c r="M24" s="85"/>
    </row>
    <row r="25" spans="2:13" ht="18.45" x14ac:dyDescent="0.5">
      <c r="B25" s="96"/>
      <c r="C25" s="98"/>
      <c r="D25" s="96"/>
      <c r="G25" s="96"/>
      <c r="H25" s="96"/>
      <c r="I25" s="96"/>
    </row>
    <row r="26" spans="2:13" x14ac:dyDescent="0.4">
      <c r="B26" s="261" t="s">
        <v>84</v>
      </c>
      <c r="C26" s="262"/>
      <c r="D26" s="262"/>
      <c r="E26" s="263"/>
      <c r="F26" s="99"/>
      <c r="G26" s="261" t="s">
        <v>85</v>
      </c>
      <c r="H26" s="262"/>
      <c r="I26" s="262"/>
      <c r="J26" s="262"/>
      <c r="K26" s="263"/>
    </row>
    <row r="27" spans="2:13" x14ac:dyDescent="0.4">
      <c r="B27" s="252" t="s">
        <v>86</v>
      </c>
      <c r="C27" s="101" t="s">
        <v>197</v>
      </c>
      <c r="D27" s="100" t="s">
        <v>87</v>
      </c>
      <c r="E27" s="101" t="s">
        <v>197</v>
      </c>
      <c r="F27" s="99"/>
      <c r="G27" s="252" t="s">
        <v>88</v>
      </c>
      <c r="H27" s="101">
        <v>0</v>
      </c>
      <c r="I27" s="101">
        <v>0</v>
      </c>
      <c r="J27" s="101">
        <v>0</v>
      </c>
      <c r="K27" s="101">
        <v>0</v>
      </c>
    </row>
    <row r="29" spans="2:13" x14ac:dyDescent="0.4">
      <c r="E29" s="102">
        <v>0</v>
      </c>
      <c r="G29" s="102">
        <v>0</v>
      </c>
    </row>
    <row r="31" spans="2:13" x14ac:dyDescent="0.4">
      <c r="B31" s="250" t="s">
        <v>89</v>
      </c>
      <c r="C31" s="251"/>
      <c r="D31" s="103">
        <v>0</v>
      </c>
      <c r="J31" s="104"/>
    </row>
    <row r="33" spans="7:7" x14ac:dyDescent="0.4">
      <c r="G33" s="113"/>
    </row>
  </sheetData>
  <sheetProtection selectLockedCells="1" selectUnlockedCells="1"/>
  <dataConsolidate/>
  <mergeCells count="10">
    <mergeCell ref="E4:F4"/>
    <mergeCell ref="E5:F5"/>
    <mergeCell ref="B1:C1"/>
    <mergeCell ref="B2:C2"/>
    <mergeCell ref="B3:C3"/>
    <mergeCell ref="B26:E26"/>
    <mergeCell ref="G26:K26"/>
    <mergeCell ref="E6:F6"/>
    <mergeCell ref="B5:C5"/>
    <mergeCell ref="B6:C6"/>
  </mergeCells>
  <dataValidations count="3">
    <dataValidation type="list" allowBlank="1" showInputMessage="1" showErrorMessage="1" sqref="A3" xr:uid="{DBA7DB5A-4A94-48EA-A234-A6FC70554E53}">
      <formula1>"KAL016,KAL018,KAL019,KAL021,KAL026,KAL032,KAL033,KAL037,KAL-D-014,KAL-D-037"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0" r:id="rId4" name="Borrar">
          <controlPr defaultSize="0" autoLine="0" r:id="rId5">
            <anchor moveWithCells="1">
              <from>
                <xdr:col>10</xdr:col>
                <xdr:colOff>16329</xdr:colOff>
                <xdr:row>18</xdr:row>
                <xdr:rowOff>92529</xdr:rowOff>
              </from>
              <to>
                <xdr:col>11</xdr:col>
                <xdr:colOff>440871</xdr:colOff>
                <xdr:row>20</xdr:row>
                <xdr:rowOff>16329</xdr:rowOff>
              </to>
            </anchor>
          </controlPr>
        </control>
      </mc:Choice>
      <mc:Fallback>
        <control shapeId="2080" r:id="rId4" name="Borrar"/>
      </mc:Fallback>
    </mc:AlternateContent>
    <mc:AlternateContent xmlns:mc="http://schemas.openxmlformats.org/markup-compatibility/2006">
      <mc:Choice Requires="x14">
        <control shapeId="2079" r:id="rId6" name="GuardarArchivo">
          <controlPr defaultSize="0" autoLine="0" r:id="rId7">
            <anchor moveWithCells="1">
              <from>
                <xdr:col>9</xdr:col>
                <xdr:colOff>778329</xdr:colOff>
                <xdr:row>16</xdr:row>
                <xdr:rowOff>59871</xdr:rowOff>
              </from>
              <to>
                <xdr:col>11</xdr:col>
                <xdr:colOff>419100</xdr:colOff>
                <xdr:row>17</xdr:row>
                <xdr:rowOff>223157</xdr:rowOff>
              </to>
            </anchor>
          </controlPr>
        </control>
      </mc:Choice>
      <mc:Fallback>
        <control shapeId="2079" r:id="rId6" name="GuardarArchivo"/>
      </mc:Fallback>
    </mc:AlternateContent>
    <mc:AlternateContent xmlns:mc="http://schemas.openxmlformats.org/markup-compatibility/2006">
      <mc:Choice Requires="x14">
        <control shapeId="2078" r:id="rId8" name="LlenarCampos">
          <controlPr defaultSize="0" autoLine="0" r:id="rId9">
            <anchor moveWithCells="1">
              <from>
                <xdr:col>9</xdr:col>
                <xdr:colOff>778329</xdr:colOff>
                <xdr:row>14</xdr:row>
                <xdr:rowOff>38100</xdr:rowOff>
              </from>
              <to>
                <xdr:col>11</xdr:col>
                <xdr:colOff>419100</xdr:colOff>
                <xdr:row>15</xdr:row>
                <xdr:rowOff>201386</xdr:rowOff>
              </to>
            </anchor>
          </controlPr>
        </control>
      </mc:Choice>
      <mc:Fallback>
        <control shapeId="2078" r:id="rId8" name="LlenarCampos"/>
      </mc:Fallback>
    </mc:AlternateContent>
    <mc:AlternateContent xmlns:mc="http://schemas.openxmlformats.org/markup-compatibility/2006">
      <mc:Choice Requires="x14">
        <control shapeId="2070" r:id="rId10" name="Borrarpatron">
          <controlPr defaultSize="0" autoLine="0" r:id="rId11">
            <anchor moveWithCells="1">
              <from>
                <xdr:col>11</xdr:col>
                <xdr:colOff>762000</xdr:colOff>
                <xdr:row>11</xdr:row>
                <xdr:rowOff>179614</xdr:rowOff>
              </from>
              <to>
                <xdr:col>13</xdr:col>
                <xdr:colOff>402771</xdr:colOff>
                <xdr:row>13</xdr:row>
                <xdr:rowOff>81643</xdr:rowOff>
              </to>
            </anchor>
          </controlPr>
        </control>
      </mc:Choice>
      <mc:Fallback>
        <control shapeId="2070" r:id="rId10" name="Borrarpatron"/>
      </mc:Fallback>
    </mc:AlternateContent>
    <mc:AlternateContent xmlns:mc="http://schemas.openxmlformats.org/markup-compatibility/2006">
      <mc:Choice Requires="x14">
        <control shapeId="2051" r:id="rId12" name="BuscarEquipo">
          <controlPr defaultSize="0" autoLine="0" r:id="rId13">
            <anchor moveWithCells="1">
              <from>
                <xdr:col>9</xdr:col>
                <xdr:colOff>767443</xdr:colOff>
                <xdr:row>8</xdr:row>
                <xdr:rowOff>223157</xdr:rowOff>
              </from>
              <to>
                <xdr:col>11</xdr:col>
                <xdr:colOff>408214</xdr:colOff>
                <xdr:row>10</xdr:row>
                <xdr:rowOff>201386</xdr:rowOff>
              </to>
            </anchor>
          </controlPr>
        </control>
      </mc:Choice>
      <mc:Fallback>
        <control shapeId="2051" r:id="rId12" name="BuscarEquipo"/>
      </mc:Fallback>
    </mc:AlternateContent>
    <mc:AlternateContent xmlns:mc="http://schemas.openxmlformats.org/markup-compatibility/2006">
      <mc:Choice Requires="x14">
        <control shapeId="2050" r:id="rId14" name="BuscarCliente">
          <controlPr defaultSize="0" autoLine="0" r:id="rId15">
            <anchor moveWithCells="1">
              <from>
                <xdr:col>9</xdr:col>
                <xdr:colOff>778329</xdr:colOff>
                <xdr:row>6</xdr:row>
                <xdr:rowOff>0</xdr:rowOff>
              </from>
              <to>
                <xdr:col>11</xdr:col>
                <xdr:colOff>429986</xdr:colOff>
                <xdr:row>7</xdr:row>
                <xdr:rowOff>185057</xdr:rowOff>
              </to>
            </anchor>
          </controlPr>
        </control>
      </mc:Choice>
      <mc:Fallback>
        <control shapeId="2050" r:id="rId14" name="BuscarCliente"/>
      </mc:Fallback>
    </mc:AlternateContent>
    <mc:AlternateContent xmlns:mc="http://schemas.openxmlformats.org/markup-compatibility/2006">
      <mc:Choice Requires="x14">
        <control shapeId="2049" r:id="rId16" name="BuscarRutas">
          <controlPr defaultSize="0" autoLine="0" r:id="rId17">
            <anchor moveWithCells="1">
              <from>
                <xdr:col>10</xdr:col>
                <xdr:colOff>0</xdr:colOff>
                <xdr:row>3</xdr:row>
                <xdr:rowOff>38100</xdr:rowOff>
              </from>
              <to>
                <xdr:col>11</xdr:col>
                <xdr:colOff>696686</xdr:colOff>
                <xdr:row>5</xdr:row>
                <xdr:rowOff>21771</xdr:rowOff>
              </to>
            </anchor>
          </controlPr>
        </control>
      </mc:Choice>
      <mc:Fallback>
        <control shapeId="2049" r:id="rId16" name="BuscarRutas"/>
      </mc:Fallback>
    </mc:AlternateContent>
    <mc:AlternateContent xmlns:mc="http://schemas.openxmlformats.org/markup-compatibility/2006">
      <mc:Choice Requires="x14">
        <control shapeId="2059" r:id="rId18" name="BuscarPatron">
          <controlPr defaultSize="0" autoLine="0" r:id="rId19">
            <anchor moveWithCells="1">
              <from>
                <xdr:col>9</xdr:col>
                <xdr:colOff>772886</xdr:colOff>
                <xdr:row>11</xdr:row>
                <xdr:rowOff>190500</xdr:rowOff>
              </from>
              <to>
                <xdr:col>11</xdr:col>
                <xdr:colOff>413657</xdr:colOff>
                <xdr:row>13</xdr:row>
                <xdr:rowOff>92529</xdr:rowOff>
              </to>
            </anchor>
          </controlPr>
        </control>
      </mc:Choice>
      <mc:Fallback>
        <control shapeId="2059" r:id="rId18"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5" zoomScale="55" zoomScaleNormal="40" zoomScaleSheetLayoutView="55" zoomScalePageLayoutView="40" workbookViewId="0">
      <selection activeCell="E28" sqref="E28:I28"/>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282" t="s">
        <v>0</v>
      </c>
      <c r="F1" s="282"/>
      <c r="G1" s="282"/>
      <c r="H1" s="282"/>
      <c r="I1" s="282"/>
      <c r="J1" s="282"/>
      <c r="K1" s="282"/>
      <c r="L1"/>
      <c r="M1"/>
    </row>
    <row r="2" spans="1:14" ht="90" customHeight="1" thickBot="1" x14ac:dyDescent="0.45">
      <c r="A2" s="3"/>
      <c r="B2" s="3"/>
      <c r="C2" s="3"/>
      <c r="D2" s="4"/>
      <c r="E2" s="283"/>
      <c r="F2" s="283"/>
      <c r="G2" s="283"/>
      <c r="H2" s="283"/>
      <c r="I2" s="283"/>
      <c r="J2" s="283"/>
      <c r="K2" s="283"/>
      <c r="L2" s="5"/>
      <c r="M2" s="5"/>
      <c r="N2" s="6"/>
    </row>
    <row r="3" spans="1:14" ht="60.75" customHeight="1" thickTop="1" thickBot="1" x14ac:dyDescent="0.45">
      <c r="A3" s="284" t="s">
        <v>196</v>
      </c>
      <c r="B3" s="284"/>
      <c r="C3" s="284"/>
      <c r="D3" s="284"/>
      <c r="E3" s="284"/>
      <c r="F3" s="284"/>
      <c r="G3" s="284"/>
      <c r="H3" s="284"/>
      <c r="I3" s="284"/>
      <c r="J3" s="284"/>
      <c r="K3" s="285" t="s">
        <v>2</v>
      </c>
      <c r="L3" s="285"/>
      <c r="M3" s="285"/>
      <c r="N3" s="285"/>
    </row>
    <row r="4" spans="1:14" ht="38.25" customHeight="1" thickBot="1" x14ac:dyDescent="0.45">
      <c r="A4" s="284"/>
      <c r="B4" s="284"/>
      <c r="C4" s="284"/>
      <c r="D4" s="284"/>
      <c r="E4" s="284"/>
      <c r="F4" s="284"/>
      <c r="G4" s="284"/>
      <c r="H4" s="284"/>
      <c r="I4" s="284"/>
      <c r="J4" s="284"/>
      <c r="K4" s="286" t="s">
        <v>3</v>
      </c>
      <c r="L4" s="287"/>
      <c r="M4" s="288"/>
      <c r="N4" s="289"/>
    </row>
    <row r="5" spans="1:14" ht="37.5" customHeight="1" thickBot="1" x14ac:dyDescent="0.45">
      <c r="A5" s="290" t="s">
        <v>4</v>
      </c>
      <c r="B5" s="290"/>
      <c r="C5" s="290"/>
      <c r="D5" s="290"/>
      <c r="E5" s="290"/>
      <c r="F5" s="290"/>
      <c r="G5" s="290"/>
      <c r="H5" s="290"/>
      <c r="I5" s="290"/>
      <c r="J5" s="290"/>
      <c r="K5" s="7"/>
      <c r="L5" s="7"/>
      <c r="M5" s="291" t="s">
        <v>5</v>
      </c>
      <c r="N5" s="292"/>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8" t="s">
        <v>6</v>
      </c>
      <c r="B7" s="268"/>
      <c r="C7" s="268"/>
      <c r="D7" s="268"/>
      <c r="E7" s="268"/>
      <c r="F7" s="268"/>
      <c r="G7" s="268"/>
      <c r="H7" s="268"/>
      <c r="I7" s="268"/>
      <c r="J7" s="268"/>
      <c r="K7" s="268"/>
      <c r="L7" s="268"/>
      <c r="M7" s="268"/>
      <c r="N7" s="268"/>
    </row>
    <row r="8" spans="1:14" s="13" customFormat="1" ht="57" customHeight="1" thickBot="1" x14ac:dyDescent="0.45">
      <c r="A8" s="269" t="s">
        <v>7</v>
      </c>
      <c r="B8" s="270"/>
      <c r="C8" s="271"/>
      <c r="D8" s="272"/>
      <c r="E8" s="273"/>
      <c r="F8" s="273"/>
      <c r="G8" s="273"/>
      <c r="H8" s="273"/>
      <c r="I8" s="273"/>
      <c r="J8" s="273"/>
      <c r="K8" s="273"/>
      <c r="L8" s="273"/>
      <c r="M8" s="273"/>
      <c r="N8" s="274"/>
    </row>
    <row r="9" spans="1:14" ht="57" customHeight="1" thickBot="1" x14ac:dyDescent="0.45">
      <c r="A9" s="275" t="s">
        <v>8</v>
      </c>
      <c r="B9" s="276"/>
      <c r="C9" s="277"/>
      <c r="D9" s="278"/>
      <c r="E9" s="279"/>
      <c r="F9" s="279"/>
      <c r="G9" s="279"/>
      <c r="H9" s="279"/>
      <c r="I9" s="279"/>
      <c r="J9" s="279"/>
      <c r="K9" s="279"/>
      <c r="L9" s="279"/>
      <c r="M9" s="279"/>
      <c r="N9" s="280"/>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281" t="s">
        <v>9</v>
      </c>
      <c r="B11" s="281"/>
      <c r="C11" s="281"/>
      <c r="D11" s="281"/>
      <c r="E11" s="281"/>
      <c r="F11" s="281"/>
      <c r="G11" s="281"/>
      <c r="H11" s="281"/>
      <c r="I11" s="281"/>
      <c r="J11" s="281"/>
      <c r="K11" s="281"/>
      <c r="L11" s="281"/>
      <c r="M11" s="281"/>
      <c r="N11" s="281"/>
    </row>
    <row r="12" spans="1:14" ht="23.15" customHeight="1" x14ac:dyDescent="0.45">
      <c r="A12" s="301" t="s">
        <v>10</v>
      </c>
      <c r="B12" s="302"/>
      <c r="C12" s="302"/>
      <c r="D12" s="316"/>
      <c r="E12" s="317"/>
      <c r="F12" s="317"/>
      <c r="G12" s="318"/>
      <c r="I12" s="309" t="s">
        <v>11</v>
      </c>
      <c r="J12" s="310"/>
      <c r="K12" s="293"/>
      <c r="L12" s="293"/>
      <c r="M12" s="293"/>
      <c r="N12" s="294"/>
    </row>
    <row r="13" spans="1:14" ht="23.15" customHeight="1" thickBot="1" x14ac:dyDescent="0.5">
      <c r="A13" s="297" t="s">
        <v>12</v>
      </c>
      <c r="B13" s="298"/>
      <c r="C13" s="298"/>
      <c r="D13" s="319"/>
      <c r="E13" s="320"/>
      <c r="F13" s="320"/>
      <c r="G13" s="321"/>
      <c r="I13" s="299" t="s">
        <v>13</v>
      </c>
      <c r="J13" s="300"/>
      <c r="K13" s="295"/>
      <c r="L13" s="295"/>
      <c r="M13" s="295"/>
      <c r="N13" s="296"/>
    </row>
    <row r="14" spans="1:14" ht="23.15" customHeight="1" x14ac:dyDescent="0.45">
      <c r="A14" s="301" t="s">
        <v>14</v>
      </c>
      <c r="B14" s="302"/>
      <c r="C14" s="302"/>
      <c r="D14" s="303"/>
      <c r="E14" s="304"/>
      <c r="F14" s="304"/>
      <c r="G14" s="305"/>
      <c r="I14" s="309" t="s">
        <v>15</v>
      </c>
      <c r="J14" s="312"/>
      <c r="K14" s="313"/>
      <c r="L14" s="293"/>
      <c r="M14" s="293"/>
      <c r="N14" s="294"/>
    </row>
    <row r="15" spans="1:14" ht="23.15" customHeight="1" thickBot="1" x14ac:dyDescent="0.5">
      <c r="A15" s="297" t="s">
        <v>16</v>
      </c>
      <c r="B15" s="298"/>
      <c r="C15" s="298"/>
      <c r="D15" s="306"/>
      <c r="E15" s="307"/>
      <c r="F15" s="307"/>
      <c r="G15" s="308"/>
      <c r="I15" s="299" t="s">
        <v>17</v>
      </c>
      <c r="J15" s="315"/>
      <c r="K15" s="314"/>
      <c r="L15" s="295"/>
      <c r="M15" s="295"/>
      <c r="N15" s="296"/>
    </row>
    <row r="16" spans="1:14" ht="23.15" customHeight="1" x14ac:dyDescent="0.45">
      <c r="A16" s="301" t="s">
        <v>18</v>
      </c>
      <c r="B16" s="302"/>
      <c r="C16" s="302"/>
      <c r="D16" s="303"/>
      <c r="E16" s="304"/>
      <c r="F16" s="304"/>
      <c r="G16" s="305"/>
      <c r="I16" s="309" t="s">
        <v>19</v>
      </c>
      <c r="J16" s="310"/>
      <c r="K16" s="311"/>
      <c r="L16" s="293"/>
      <c r="M16" s="293"/>
      <c r="N16" s="294"/>
    </row>
    <row r="17" spans="1:14" ht="23.15" customHeight="1" thickBot="1" x14ac:dyDescent="0.5">
      <c r="A17" s="297" t="s">
        <v>20</v>
      </c>
      <c r="B17" s="298"/>
      <c r="C17" s="298"/>
      <c r="D17" s="306"/>
      <c r="E17" s="307"/>
      <c r="F17" s="307"/>
      <c r="G17" s="308"/>
      <c r="I17" s="299" t="s">
        <v>21</v>
      </c>
      <c r="J17" s="300"/>
      <c r="K17" s="295"/>
      <c r="L17" s="295"/>
      <c r="M17" s="295"/>
      <c r="N17" s="296"/>
    </row>
    <row r="18" spans="1:14" ht="23.15" customHeight="1" x14ac:dyDescent="0.45">
      <c r="A18" s="301" t="s">
        <v>22</v>
      </c>
      <c r="B18" s="302"/>
      <c r="C18" s="302"/>
      <c r="D18" s="303"/>
      <c r="E18" s="304"/>
      <c r="F18" s="304"/>
      <c r="G18" s="305"/>
      <c r="I18" s="309" t="s">
        <v>23</v>
      </c>
      <c r="J18" s="310"/>
      <c r="K18" s="311"/>
      <c r="L18" s="293"/>
      <c r="M18" s="293"/>
      <c r="N18" s="294"/>
    </row>
    <row r="19" spans="1:14" ht="23.15" customHeight="1" thickBot="1" x14ac:dyDescent="0.5">
      <c r="A19" s="297" t="s">
        <v>24</v>
      </c>
      <c r="B19" s="298"/>
      <c r="C19" s="298"/>
      <c r="D19" s="306"/>
      <c r="E19" s="307"/>
      <c r="F19" s="307"/>
      <c r="G19" s="308"/>
      <c r="I19" s="299" t="s">
        <v>25</v>
      </c>
      <c r="J19" s="300"/>
      <c r="K19" s="295"/>
      <c r="L19" s="295"/>
      <c r="M19" s="295"/>
      <c r="N19" s="296"/>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22" t="s">
        <v>26</v>
      </c>
      <c r="B21" s="322"/>
      <c r="C21" s="322"/>
      <c r="D21" s="322"/>
      <c r="E21" s="322"/>
      <c r="F21" s="322"/>
      <c r="G21" s="322"/>
      <c r="H21" s="322"/>
      <c r="I21" s="322"/>
      <c r="J21" s="322"/>
      <c r="K21" s="322"/>
      <c r="L21" s="322"/>
      <c r="M21" s="322"/>
      <c r="N21" s="322"/>
    </row>
    <row r="22" spans="1:14" ht="38.25" customHeight="1" x14ac:dyDescent="0.5">
      <c r="A22" s="323" t="s">
        <v>27</v>
      </c>
      <c r="B22" s="324"/>
      <c r="C22" s="324"/>
      <c r="D22" s="325"/>
      <c r="E22" s="327" t="s">
        <v>91</v>
      </c>
      <c r="F22" s="324"/>
      <c r="G22" s="325"/>
      <c r="H22" s="325"/>
      <c r="I22" s="325"/>
      <c r="J22" s="327" t="s">
        <v>28</v>
      </c>
      <c r="K22" s="324"/>
      <c r="L22" s="324"/>
      <c r="M22" s="328"/>
      <c r="N22" s="329"/>
    </row>
    <row r="23" spans="1:14" ht="38.25" customHeight="1" thickBot="1" x14ac:dyDescent="0.45">
      <c r="A23" s="332" t="s">
        <v>29</v>
      </c>
      <c r="B23" s="333"/>
      <c r="C23" s="333"/>
      <c r="D23" s="326"/>
      <c r="E23" s="334" t="s">
        <v>92</v>
      </c>
      <c r="F23" s="333"/>
      <c r="G23" s="326"/>
      <c r="H23" s="326"/>
      <c r="I23" s="326"/>
      <c r="J23" s="334" t="s">
        <v>30</v>
      </c>
      <c r="K23" s="333"/>
      <c r="L23" s="333"/>
      <c r="M23" s="330"/>
      <c r="N23" s="331"/>
    </row>
    <row r="24" spans="1:14" ht="45" customHeight="1" thickBot="1" x14ac:dyDescent="0.45">
      <c r="A24" s="17"/>
      <c r="B24" s="335"/>
      <c r="C24" s="335"/>
      <c r="D24" s="335"/>
      <c r="E24" s="335"/>
      <c r="F24" s="336"/>
      <c r="G24" s="336"/>
      <c r="H24" s="5"/>
      <c r="I24" s="5"/>
      <c r="J24" s="5"/>
      <c r="K24" s="5"/>
      <c r="L24" s="5"/>
      <c r="M24" s="5"/>
      <c r="N24" s="6"/>
    </row>
    <row r="25" spans="1:14" ht="60" customHeight="1" thickTop="1" x14ac:dyDescent="0.4">
      <c r="A25" s="281" t="s">
        <v>31</v>
      </c>
      <c r="B25" s="281"/>
      <c r="C25" s="281"/>
      <c r="D25" s="281"/>
      <c r="E25" s="281"/>
      <c r="F25" s="281"/>
      <c r="G25" s="281"/>
      <c r="H25" s="281"/>
      <c r="I25" s="281"/>
      <c r="J25" s="281"/>
      <c r="K25" s="281"/>
      <c r="L25" s="281"/>
      <c r="M25" s="281"/>
      <c r="N25" s="281"/>
    </row>
    <row r="26" spans="1:14" ht="29.25" customHeight="1" x14ac:dyDescent="0.5">
      <c r="A26" s="337" t="s">
        <v>32</v>
      </c>
      <c r="B26" s="338"/>
      <c r="C26" s="338"/>
      <c r="D26" s="339"/>
      <c r="E26" s="340" t="s">
        <v>33</v>
      </c>
      <c r="F26" s="338"/>
      <c r="G26" s="338"/>
      <c r="H26" s="338"/>
      <c r="I26" s="338"/>
      <c r="J26" s="337" t="s">
        <v>34</v>
      </c>
      <c r="K26" s="338"/>
      <c r="L26" s="341"/>
      <c r="M26" s="338" t="s">
        <v>35</v>
      </c>
      <c r="N26" s="341"/>
    </row>
    <row r="27" spans="1:14" ht="23.25" customHeight="1" x14ac:dyDescent="0.4">
      <c r="A27" s="342" t="s">
        <v>36</v>
      </c>
      <c r="B27" s="342"/>
      <c r="C27" s="342"/>
      <c r="D27" s="342"/>
      <c r="E27" s="342" t="s">
        <v>37</v>
      </c>
      <c r="F27" s="342"/>
      <c r="G27" s="342"/>
      <c r="H27" s="342"/>
      <c r="I27" s="342"/>
      <c r="J27" s="342" t="s">
        <v>38</v>
      </c>
      <c r="K27" s="342"/>
      <c r="L27" s="342"/>
      <c r="M27" s="342" t="s">
        <v>39</v>
      </c>
      <c r="N27" s="342"/>
    </row>
    <row r="28" spans="1:14" s="439" customFormat="1" ht="71.25" customHeight="1" x14ac:dyDescent="0.4">
      <c r="A28" s="437"/>
      <c r="B28" s="437"/>
      <c r="C28" s="437"/>
      <c r="D28" s="437"/>
      <c r="E28" s="437"/>
      <c r="F28" s="437"/>
      <c r="G28" s="437"/>
      <c r="H28" s="437"/>
      <c r="I28" s="437"/>
      <c r="J28" s="437"/>
      <c r="K28" s="437"/>
      <c r="L28" s="437"/>
      <c r="M28" s="438"/>
      <c r="N28" s="437"/>
    </row>
    <row r="29" spans="1:14" s="439" customFormat="1" ht="71.25" customHeight="1" x14ac:dyDescent="0.4">
      <c r="A29" s="437"/>
      <c r="B29" s="437"/>
      <c r="C29" s="437"/>
      <c r="D29" s="437"/>
      <c r="E29" s="437"/>
      <c r="F29" s="437"/>
      <c r="G29" s="437"/>
      <c r="H29" s="437"/>
      <c r="I29" s="437"/>
      <c r="J29" s="437"/>
      <c r="K29" s="437"/>
      <c r="L29" s="437"/>
      <c r="M29" s="438"/>
      <c r="N29" s="437"/>
    </row>
    <row r="30" spans="1:14" s="439" customFormat="1" ht="71.25" customHeight="1" x14ac:dyDescent="0.4">
      <c r="A30" s="440"/>
      <c r="B30" s="440"/>
      <c r="C30" s="440"/>
      <c r="D30" s="440"/>
      <c r="E30" s="440"/>
      <c r="F30" s="440"/>
      <c r="G30" s="440"/>
      <c r="H30" s="440"/>
      <c r="I30" s="440"/>
      <c r="J30" s="440"/>
      <c r="K30" s="440"/>
      <c r="L30" s="440"/>
      <c r="M30" s="441"/>
      <c r="N30" s="440"/>
    </row>
    <row r="31" spans="1:14" s="439" customFormat="1" ht="71.25" customHeight="1" x14ac:dyDescent="0.4">
      <c r="A31" s="440"/>
      <c r="B31" s="440"/>
      <c r="C31" s="440"/>
      <c r="D31" s="440"/>
      <c r="E31" s="440"/>
      <c r="F31" s="440"/>
      <c r="G31" s="440"/>
      <c r="H31" s="440"/>
      <c r="I31" s="440"/>
      <c r="J31" s="440"/>
      <c r="K31" s="440"/>
      <c r="L31" s="440"/>
      <c r="M31" s="441"/>
      <c r="N31" s="440"/>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43.7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51" t="s">
        <v>40</v>
      </c>
      <c r="B44" s="352"/>
      <c r="C44" s="352"/>
      <c r="D44" s="355"/>
      <c r="E44" s="356"/>
      <c r="F44" s="357"/>
      <c r="G44" s="370" t="s">
        <v>41</v>
      </c>
      <c r="H44" s="371"/>
      <c r="I44" s="371"/>
      <c r="J44" s="372"/>
      <c r="K44" s="371" t="s">
        <v>42</v>
      </c>
      <c r="L44" s="371"/>
      <c r="M44" s="371"/>
      <c r="N44" s="372"/>
    </row>
    <row r="45" spans="1:14" s="20" customFormat="1" ht="30" customHeight="1" thickBot="1" x14ac:dyDescent="0.4">
      <c r="A45" s="353"/>
      <c r="B45" s="354"/>
      <c r="C45" s="354"/>
      <c r="D45" s="361"/>
      <c r="E45" s="362"/>
      <c r="F45" s="363"/>
      <c r="G45" s="373" t="s">
        <v>43</v>
      </c>
      <c r="H45" s="374"/>
      <c r="I45" s="374"/>
      <c r="J45" s="375"/>
      <c r="K45" s="374" t="s">
        <v>44</v>
      </c>
      <c r="L45" s="374"/>
      <c r="M45" s="374"/>
      <c r="N45" s="375"/>
    </row>
    <row r="46" spans="1:14" s="20" customFormat="1" ht="30" customHeight="1" x14ac:dyDescent="0.35">
      <c r="A46" s="351" t="s">
        <v>45</v>
      </c>
      <c r="B46" s="352"/>
      <c r="C46" s="352"/>
      <c r="D46" s="355"/>
      <c r="E46" s="356"/>
      <c r="F46" s="357"/>
      <c r="G46" s="364"/>
      <c r="H46" s="365"/>
      <c r="I46" s="365"/>
      <c r="J46" s="366"/>
      <c r="K46" s="367"/>
      <c r="L46" s="368"/>
      <c r="M46" s="368"/>
      <c r="N46" s="369"/>
    </row>
    <row r="47" spans="1:14" s="20" customFormat="1" ht="30" customHeight="1" thickBot="1" x14ac:dyDescent="0.4">
      <c r="A47" s="353"/>
      <c r="B47" s="354"/>
      <c r="C47" s="354"/>
      <c r="D47" s="358"/>
      <c r="E47" s="359"/>
      <c r="F47" s="360"/>
      <c r="G47" s="364"/>
      <c r="H47" s="365"/>
      <c r="I47" s="365"/>
      <c r="J47" s="366"/>
      <c r="K47" s="367"/>
      <c r="L47" s="368"/>
      <c r="M47" s="368"/>
      <c r="N47" s="369"/>
    </row>
    <row r="48" spans="1:14" s="20" customFormat="1" ht="30" customHeight="1" x14ac:dyDescent="0.35">
      <c r="A48" s="351" t="s">
        <v>46</v>
      </c>
      <c r="B48" s="352"/>
      <c r="C48" s="352"/>
      <c r="D48" s="355"/>
      <c r="E48" s="356"/>
      <c r="F48" s="357"/>
      <c r="G48" s="364"/>
      <c r="H48" s="365"/>
      <c r="I48" s="365"/>
      <c r="J48" s="366"/>
      <c r="K48" s="367"/>
      <c r="L48" s="368"/>
      <c r="M48" s="368"/>
      <c r="N48" s="369"/>
    </row>
    <row r="49" spans="1:14" s="20" customFormat="1" ht="30" customHeight="1" thickBot="1" x14ac:dyDescent="0.4">
      <c r="A49" s="353"/>
      <c r="B49" s="354"/>
      <c r="C49" s="354"/>
      <c r="D49" s="361"/>
      <c r="E49" s="362"/>
      <c r="F49" s="363"/>
      <c r="G49" s="319" t="s">
        <v>209</v>
      </c>
      <c r="H49" s="320"/>
      <c r="I49" s="320"/>
      <c r="J49" s="321"/>
      <c r="K49" s="320" t="s">
        <v>204</v>
      </c>
      <c r="L49" s="320"/>
      <c r="M49" s="320"/>
      <c r="N49" s="321"/>
    </row>
    <row r="50" spans="1:14" ht="16.5" customHeight="1" x14ac:dyDescent="0.4">
      <c r="A50" s="343" t="s">
        <v>47</v>
      </c>
      <c r="B50" s="343"/>
      <c r="C50" s="343"/>
      <c r="D50" s="344"/>
      <c r="E50"/>
      <c r="F50"/>
      <c r="G50"/>
      <c r="H50"/>
      <c r="I50"/>
      <c r="J50"/>
      <c r="K50"/>
      <c r="L50"/>
      <c r="M50"/>
    </row>
    <row r="51" spans="1:14" ht="47.25" customHeight="1" x14ac:dyDescent="0.4">
      <c r="C51" s="2"/>
      <c r="E51" s="345" t="s">
        <v>48</v>
      </c>
      <c r="F51" s="345"/>
      <c r="G51" s="345"/>
      <c r="H51" s="345"/>
      <c r="I51" s="345"/>
      <c r="J51" s="345"/>
      <c r="K51" s="345"/>
      <c r="L51"/>
      <c r="M51"/>
    </row>
    <row r="52" spans="1:14" ht="90" customHeight="1" thickBot="1" x14ac:dyDescent="0.45">
      <c r="A52" s="3"/>
      <c r="B52" s="3"/>
      <c r="C52" s="3"/>
      <c r="D52" s="23"/>
      <c r="E52" s="346"/>
      <c r="F52" s="346"/>
      <c r="G52" s="346"/>
      <c r="H52" s="346"/>
      <c r="I52" s="346"/>
      <c r="J52" s="346"/>
      <c r="K52" s="346"/>
      <c r="L52" s="24"/>
      <c r="M52" s="5"/>
      <c r="N52" s="6"/>
    </row>
    <row r="53" spans="1:14" ht="60.75" customHeight="1" thickTop="1" thickBot="1" x14ac:dyDescent="0.45">
      <c r="A53" s="284" t="s">
        <v>1</v>
      </c>
      <c r="B53" s="284"/>
      <c r="C53" s="284"/>
      <c r="D53" s="284"/>
      <c r="E53" s="284"/>
      <c r="F53" s="284"/>
      <c r="G53" s="284"/>
      <c r="H53" s="284"/>
      <c r="I53" s="284"/>
      <c r="J53" s="284"/>
      <c r="K53" s="285" t="s">
        <v>2</v>
      </c>
      <c r="L53" s="285"/>
      <c r="M53" s="285"/>
      <c r="N53" s="285"/>
    </row>
    <row r="54" spans="1:14" ht="38.25" customHeight="1" thickBot="1" x14ac:dyDescent="0.45">
      <c r="A54" s="284"/>
      <c r="B54" s="284"/>
      <c r="C54" s="284"/>
      <c r="D54" s="284"/>
      <c r="E54" s="284"/>
      <c r="F54" s="284"/>
      <c r="G54" s="284"/>
      <c r="H54" s="284"/>
      <c r="I54" s="284"/>
      <c r="J54" s="284"/>
      <c r="K54" s="347" t="s">
        <v>49</v>
      </c>
      <c r="L54" s="348"/>
      <c r="M54" s="349"/>
      <c r="N54" s="350"/>
    </row>
    <row r="55" spans="1:14" ht="37.5" customHeight="1" thickBot="1" x14ac:dyDescent="0.45">
      <c r="A55" s="290" t="s">
        <v>4</v>
      </c>
      <c r="B55" s="290"/>
      <c r="C55" s="290"/>
      <c r="D55" s="290"/>
      <c r="E55" s="290"/>
      <c r="F55" s="290"/>
      <c r="G55" s="290"/>
      <c r="H55" s="290"/>
      <c r="I55" s="290"/>
      <c r="J55" s="290"/>
      <c r="K55" s="25"/>
      <c r="L55" s="25"/>
      <c r="M55" s="382" t="s">
        <v>50</v>
      </c>
      <c r="N55" s="383"/>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84" t="s">
        <v>51</v>
      </c>
      <c r="B58" s="384"/>
      <c r="C58" s="384"/>
      <c r="D58" s="384"/>
      <c r="E58" s="384"/>
      <c r="F58" s="384"/>
      <c r="G58" s="384"/>
      <c r="H58" s="384"/>
      <c r="I58" s="384"/>
      <c r="J58" s="384"/>
      <c r="K58" s="384"/>
      <c r="L58" s="384"/>
      <c r="M58" s="384"/>
      <c r="N58" s="384"/>
    </row>
    <row r="59" spans="1:14" ht="24" customHeight="1" x14ac:dyDescent="0.4">
      <c r="A59" s="385" t="s">
        <v>52</v>
      </c>
      <c r="B59" s="385"/>
      <c r="C59" s="385"/>
      <c r="D59" s="385"/>
      <c r="E59" s="385"/>
      <c r="F59" s="385"/>
      <c r="G59" s="385"/>
      <c r="H59" s="385"/>
      <c r="I59" s="385"/>
      <c r="J59" s="385"/>
      <c r="K59" s="385"/>
      <c r="L59" s="385"/>
      <c r="M59" s="385"/>
      <c r="N59" s="385"/>
    </row>
    <row r="60" spans="1:14" ht="23.25" customHeight="1" x14ac:dyDescent="0.4">
      <c r="A60" s="386" t="s">
        <v>53</v>
      </c>
      <c r="B60" s="386"/>
      <c r="C60" s="386"/>
      <c r="D60" s="386"/>
      <c r="E60" s="386"/>
      <c r="F60" s="386"/>
      <c r="G60" s="386"/>
      <c r="H60" s="386"/>
      <c r="I60" s="386"/>
      <c r="J60" s="386"/>
      <c r="K60" s="386"/>
      <c r="L60" s="386"/>
      <c r="M60" s="386"/>
      <c r="N60" s="386"/>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87"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88"/>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76"/>
      <c r="B64" s="377"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76"/>
      <c r="B65" s="378"/>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76"/>
      <c r="B66" s="47"/>
      <c r="C66" s="41"/>
      <c r="D66" s="41"/>
      <c r="E66" s="41"/>
      <c r="F66" s="41"/>
      <c r="G66" s="41"/>
      <c r="H66" s="41"/>
      <c r="I66" s="41"/>
      <c r="J66" s="41"/>
      <c r="K66" s="41"/>
      <c r="L66" s="41"/>
      <c r="M66" s="41"/>
    </row>
    <row r="67" spans="1:14" s="13" customFormat="1" ht="24" hidden="1" customHeight="1" x14ac:dyDescent="0.4">
      <c r="A67" s="376"/>
      <c r="B67" s="379"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76"/>
      <c r="B68" s="380"/>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76"/>
      <c r="B69" s="377"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76"/>
      <c r="B70" s="378"/>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76"/>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81"/>
      <c r="B73" s="381"/>
      <c r="C73" s="381"/>
      <c r="D73" s="52" t="s">
        <v>56</v>
      </c>
      <c r="E73" s="52" t="s">
        <v>57</v>
      </c>
      <c r="F73" s="51"/>
      <c r="G73" s="51"/>
      <c r="H73" s="51"/>
      <c r="I73" s="51"/>
      <c r="J73" s="31"/>
      <c r="K73" s="31"/>
      <c r="L73" s="31"/>
      <c r="M73" s="31"/>
    </row>
    <row r="74" spans="1:14" ht="24" hidden="1" customHeight="1" x14ac:dyDescent="0.4">
      <c r="A74" s="409" t="s">
        <v>58</v>
      </c>
      <c r="B74" s="409"/>
      <c r="C74" s="409"/>
      <c r="D74" s="53" t="e">
        <f>MAX(#REF!)</f>
        <v>#REF!</v>
      </c>
      <c r="E74" s="54" t="e">
        <f>D74/25400</f>
        <v>#REF!</v>
      </c>
      <c r="G74" s="410" t="s">
        <v>59</v>
      </c>
      <c r="H74" s="411"/>
      <c r="I74" s="55" t="e">
        <f>#REF!*9.81/1000</f>
        <v>#REF!</v>
      </c>
    </row>
    <row r="75" spans="1:14" ht="6" hidden="1" customHeight="1" x14ac:dyDescent="0.4">
      <c r="A75" s="409" t="s">
        <v>60</v>
      </c>
      <c r="B75" s="409"/>
      <c r="C75" s="409"/>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412"/>
      <c r="B77" s="412"/>
      <c r="C77" s="412"/>
      <c r="D77" s="412"/>
      <c r="E77" s="412"/>
      <c r="F77" s="412"/>
      <c r="G77" s="412"/>
      <c r="H77" s="412"/>
      <c r="I77" s="412"/>
      <c r="J77" s="412"/>
      <c r="K77" s="412"/>
      <c r="L77" s="412"/>
      <c r="M77" s="56"/>
      <c r="N77" s="5"/>
    </row>
    <row r="78" spans="1:14" ht="60" customHeight="1" thickTop="1" thickBot="1" x14ac:dyDescent="0.45">
      <c r="A78" s="268" t="s">
        <v>61</v>
      </c>
      <c r="B78" s="268"/>
      <c r="C78" s="268"/>
      <c r="D78" s="268"/>
      <c r="E78" s="268"/>
      <c r="F78" s="268"/>
      <c r="G78" s="268"/>
      <c r="H78" s="268"/>
      <c r="I78" s="268"/>
      <c r="J78" s="268"/>
      <c r="K78" s="268"/>
      <c r="L78" s="268"/>
      <c r="M78" s="268"/>
      <c r="N78" s="268"/>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419" t="s">
        <v>205</v>
      </c>
      <c r="B81" s="420"/>
      <c r="C81" s="232"/>
      <c r="D81" s="232"/>
      <c r="E81" s="232"/>
      <c r="F81" s="232"/>
      <c r="G81" s="232"/>
      <c r="H81" s="232"/>
      <c r="I81" s="232"/>
      <c r="J81" s="232"/>
      <c r="K81" s="232"/>
      <c r="L81" s="233"/>
      <c r="M81" s="234"/>
      <c r="N81"/>
    </row>
    <row r="82" spans="1:14" ht="62.15" customHeight="1" thickBot="1" x14ac:dyDescent="0.45">
      <c r="A82" s="421" t="s">
        <v>206</v>
      </c>
      <c r="B82" s="422"/>
      <c r="C82" s="255">
        <v>0</v>
      </c>
      <c r="D82" s="255">
        <v>0</v>
      </c>
      <c r="E82" s="255">
        <v>0</v>
      </c>
      <c r="F82" s="255">
        <v>0</v>
      </c>
      <c r="G82" s="255">
        <v>0</v>
      </c>
      <c r="H82" s="255">
        <v>0</v>
      </c>
      <c r="I82" s="255">
        <v>0</v>
      </c>
      <c r="J82" s="255">
        <v>0</v>
      </c>
      <c r="K82" s="255">
        <v>0</v>
      </c>
      <c r="L82" s="256">
        <v>0</v>
      </c>
      <c r="M82" s="257">
        <v>0</v>
      </c>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413" t="s">
        <v>201</v>
      </c>
      <c r="B89" s="414"/>
      <c r="C89" s="414"/>
      <c r="D89" s="415"/>
      <c r="E89" s="258">
        <v>0</v>
      </c>
      <c r="F89" s="66"/>
      <c r="G89" s="66"/>
      <c r="H89" s="416" t="s">
        <v>63</v>
      </c>
      <c r="I89" s="417"/>
      <c r="J89" s="418"/>
      <c r="K89" s="260">
        <v>0</v>
      </c>
      <c r="L89" s="22"/>
    </row>
    <row r="90" spans="1:14" ht="38.6" customHeight="1" thickBot="1" x14ac:dyDescent="0.55000000000000004">
      <c r="A90" s="401" t="s">
        <v>202</v>
      </c>
      <c r="B90" s="402"/>
      <c r="C90" s="402"/>
      <c r="D90" s="403"/>
      <c r="E90" s="259">
        <v>0</v>
      </c>
      <c r="F90" s="66"/>
      <c r="G90" s="66"/>
      <c r="L90" s="22"/>
    </row>
    <row r="91" spans="1:14" ht="9" customHeight="1" x14ac:dyDescent="0.5">
      <c r="A91" s="404"/>
      <c r="B91" s="404"/>
      <c r="C91" s="404"/>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405" t="s">
        <v>64</v>
      </c>
      <c r="B99" s="406"/>
      <c r="C99" s="407" t="s">
        <v>207</v>
      </c>
      <c r="D99" s="407"/>
      <c r="E99" s="407"/>
      <c r="F99" s="408"/>
      <c r="G99" s="408"/>
      <c r="H99" s="408"/>
      <c r="I99" s="408"/>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8" t="s">
        <v>65</v>
      </c>
      <c r="B101" s="268"/>
      <c r="C101" s="268"/>
      <c r="D101" s="268"/>
      <c r="E101" s="268"/>
      <c r="F101" s="268"/>
      <c r="G101" s="268"/>
      <c r="H101" s="268"/>
      <c r="I101" s="268"/>
      <c r="J101" s="268"/>
      <c r="K101" s="268"/>
      <c r="L101" s="268"/>
      <c r="M101" s="268"/>
      <c r="N101" s="268"/>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394" t="s">
        <v>66</v>
      </c>
      <c r="D103" s="394"/>
      <c r="E103" s="394"/>
      <c r="F103" s="399" t="s">
        <v>208</v>
      </c>
      <c r="G103" s="399"/>
      <c r="I103" s="395" t="s">
        <v>67</v>
      </c>
      <c r="J103" s="395"/>
      <c r="K103" s="399" t="s">
        <v>203</v>
      </c>
      <c r="L103" s="399"/>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396" t="s">
        <v>68</v>
      </c>
      <c r="B105" s="396"/>
      <c r="C105" s="396"/>
      <c r="D105" s="396"/>
      <c r="E105" s="396"/>
      <c r="F105" s="396"/>
      <c r="G105" s="396"/>
      <c r="H105" s="396"/>
      <c r="I105" s="396"/>
      <c r="J105" s="396"/>
      <c r="K105" s="396"/>
      <c r="L105" s="396"/>
      <c r="M105" s="396"/>
      <c r="N105" s="396"/>
    </row>
    <row r="106" spans="1:16" ht="92.25" customHeight="1" x14ac:dyDescent="0.4">
      <c r="A106" s="397" t="s">
        <v>69</v>
      </c>
      <c r="B106" s="397"/>
      <c r="C106" s="397"/>
      <c r="D106" s="397"/>
      <c r="E106" s="397"/>
      <c r="F106" s="397"/>
      <c r="G106" s="397"/>
      <c r="H106" s="397"/>
      <c r="I106" s="397"/>
      <c r="J106" s="397"/>
      <c r="K106" s="397"/>
      <c r="L106" s="397"/>
      <c r="M106" s="397"/>
      <c r="N106" s="397"/>
      <c r="O106" s="76"/>
      <c r="P106" s="76"/>
    </row>
    <row r="107" spans="1:16" ht="79.5" customHeight="1" x14ac:dyDescent="0.4">
      <c r="A107" s="397" t="s">
        <v>70</v>
      </c>
      <c r="B107" s="397"/>
      <c r="C107" s="397"/>
      <c r="D107" s="397"/>
      <c r="E107" s="397"/>
      <c r="F107" s="397"/>
      <c r="G107" s="397"/>
      <c r="H107" s="397"/>
      <c r="I107" s="397"/>
      <c r="J107" s="397"/>
      <c r="K107" s="397"/>
      <c r="L107" s="397"/>
      <c r="M107" s="397"/>
      <c r="N107" s="397"/>
      <c r="O107" s="76"/>
      <c r="P107" s="76"/>
    </row>
    <row r="108" spans="1:16" ht="39" customHeight="1" x14ac:dyDescent="0.55000000000000004">
      <c r="A108" s="389" t="s">
        <v>71</v>
      </c>
      <c r="B108" s="389"/>
      <c r="C108" s="389"/>
      <c r="D108" s="389"/>
      <c r="F108" s="398" t="s">
        <v>197</v>
      </c>
      <c r="G108" s="398"/>
      <c r="H108" s="77"/>
      <c r="I108" s="73"/>
      <c r="J108" s="73"/>
      <c r="K108" s="73"/>
      <c r="L108" s="73"/>
      <c r="M108" s="73"/>
    </row>
    <row r="109" spans="1:16" ht="35.25" customHeight="1" x14ac:dyDescent="0.55000000000000004">
      <c r="A109" s="389" t="s">
        <v>72</v>
      </c>
      <c r="B109" s="389"/>
      <c r="C109" s="389"/>
      <c r="D109" s="389"/>
      <c r="F109" s="390" t="s">
        <v>94</v>
      </c>
      <c r="G109" s="390"/>
      <c r="H109" s="390"/>
      <c r="I109" s="73"/>
      <c r="J109" s="73"/>
      <c r="K109" s="73"/>
      <c r="L109" s="73"/>
      <c r="M109" s="73"/>
    </row>
    <row r="110" spans="1:16" ht="40.5" customHeight="1" x14ac:dyDescent="0.55000000000000004">
      <c r="A110" s="389" t="s">
        <v>73</v>
      </c>
      <c r="B110" s="389"/>
      <c r="C110" s="389"/>
      <c r="D110" s="389"/>
      <c r="E110" s="389"/>
      <c r="F110" s="78" t="s">
        <v>74</v>
      </c>
      <c r="G110" s="79"/>
      <c r="H110" s="72"/>
      <c r="I110" s="73"/>
      <c r="J110" s="73"/>
      <c r="K110" s="73"/>
      <c r="L110" s="73"/>
      <c r="M110" s="73"/>
    </row>
    <row r="111" spans="1:16" s="80" customFormat="1" ht="50.15" customHeight="1" x14ac:dyDescent="0.4">
      <c r="A111" s="400"/>
      <c r="B111" s="400"/>
      <c r="C111" s="400"/>
      <c r="D111" s="400"/>
      <c r="E111" s="400"/>
      <c r="F111" s="400"/>
      <c r="G111" s="400"/>
      <c r="H111" s="400"/>
      <c r="I111" s="400"/>
      <c r="J111" s="400"/>
      <c r="K111" s="400"/>
      <c r="L111" s="400"/>
      <c r="M111" s="400"/>
      <c r="N111" s="400"/>
    </row>
    <row r="112" spans="1:16" s="80" customFormat="1" ht="43.2" customHeight="1" x14ac:dyDescent="0.4">
      <c r="D112" s="391" t="s">
        <v>75</v>
      </c>
      <c r="E112" s="391"/>
      <c r="F112" s="391"/>
      <c r="G112" s="391"/>
      <c r="H112" s="391"/>
      <c r="I112" s="391"/>
      <c r="J112" s="391"/>
      <c r="K112" s="391"/>
      <c r="L112" s="391"/>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392" t="s">
        <v>47</v>
      </c>
      <c r="B130" s="392"/>
      <c r="C130" s="392"/>
      <c r="D130" s="392"/>
      <c r="E130" s="392"/>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393"/>
      <c r="F145" s="393"/>
      <c r="G145" s="393"/>
      <c r="H145" s="393"/>
      <c r="I145" s="393"/>
      <c r="J145" s="393"/>
      <c r="K145" s="90"/>
    </row>
    <row r="146" spans="1:13" x14ac:dyDescent="0.4">
      <c r="A146"/>
      <c r="B146"/>
      <c r="C146"/>
      <c r="D146"/>
      <c r="E146"/>
      <c r="F146"/>
      <c r="G146"/>
      <c r="H146"/>
      <c r="I146"/>
      <c r="J146"/>
      <c r="K146"/>
      <c r="L146"/>
      <c r="M146"/>
    </row>
  </sheetData>
  <mergeCells count="13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111:N111"/>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21:N21"/>
    <mergeCell ref="A22:C22"/>
    <mergeCell ref="D22:D23"/>
    <mergeCell ref="E22:F22"/>
    <mergeCell ref="G22:I23"/>
    <mergeCell ref="J22:L22"/>
    <mergeCell ref="M22:N23"/>
    <mergeCell ref="A23:C23"/>
    <mergeCell ref="E23:F23"/>
    <mergeCell ref="J23:L23"/>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52" zoomScaleNormal="100" workbookViewId="0">
      <selection activeCell="C72" sqref="C72"/>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33" t="s">
        <v>96</v>
      </c>
      <c r="B2" s="433"/>
      <c r="C2" s="433"/>
      <c r="D2" s="433"/>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1</v>
      </c>
      <c r="I4" s="129">
        <v>0</v>
      </c>
      <c r="J4" s="129">
        <v>0</v>
      </c>
      <c r="K4" s="129">
        <v>0</v>
      </c>
      <c r="L4" s="130">
        <f>AVERAGE(I4:K4)</f>
        <v>0</v>
      </c>
      <c r="M4" s="131">
        <f>STDEV(I4:K4)</f>
        <v>0</v>
      </c>
    </row>
    <row r="5" spans="1:15" s="126" customFormat="1" ht="11.15" customHeight="1" x14ac:dyDescent="0.3">
      <c r="B5" s="127"/>
      <c r="D5" s="125"/>
      <c r="H5" s="128">
        <v>1.105</v>
      </c>
      <c r="I5" s="129">
        <v>0</v>
      </c>
      <c r="J5" s="129">
        <v>0</v>
      </c>
      <c r="K5" s="129">
        <v>0</v>
      </c>
      <c r="L5" s="130">
        <f t="shared" ref="L5:L14" si="0">AVERAGE(I5:K5)</f>
        <v>0</v>
      </c>
      <c r="M5" s="131">
        <f t="shared" ref="M5:M14" si="1">STDEV(I5:K5)</f>
        <v>0</v>
      </c>
    </row>
    <row r="6" spans="1:15" s="126" customFormat="1" ht="11.15" customHeight="1" x14ac:dyDescent="0.3">
      <c r="B6" s="127"/>
      <c r="D6" s="125"/>
      <c r="H6" s="128">
        <v>1.21</v>
      </c>
      <c r="I6" s="129">
        <v>0</v>
      </c>
      <c r="J6" s="129">
        <v>0</v>
      </c>
      <c r="K6" s="129">
        <v>0</v>
      </c>
      <c r="L6" s="130">
        <f t="shared" si="0"/>
        <v>0</v>
      </c>
      <c r="M6" s="131">
        <f t="shared" si="1"/>
        <v>0</v>
      </c>
    </row>
    <row r="7" spans="1:15" s="123" customFormat="1" ht="11.15" customHeight="1" x14ac:dyDescent="0.3">
      <c r="B7" s="132" t="s">
        <v>106</v>
      </c>
      <c r="C7" s="133">
        <f>M16</f>
        <v>0</v>
      </c>
      <c r="D7" s="125"/>
      <c r="H7" s="128">
        <v>1.3149999999999999</v>
      </c>
      <c r="I7" s="129">
        <v>0</v>
      </c>
      <c r="J7" s="129">
        <v>0</v>
      </c>
      <c r="K7" s="129">
        <v>0</v>
      </c>
      <c r="L7" s="130">
        <f t="shared" si="0"/>
        <v>0</v>
      </c>
      <c r="M7" s="131">
        <f t="shared" si="1"/>
        <v>0</v>
      </c>
    </row>
    <row r="8" spans="1:15" s="123" customFormat="1" ht="11.15" customHeight="1" x14ac:dyDescent="0.3">
      <c r="B8" s="132" t="s">
        <v>107</v>
      </c>
      <c r="C8" s="133">
        <v>3</v>
      </c>
      <c r="D8" s="125"/>
      <c r="H8" s="128">
        <v>1.42</v>
      </c>
      <c r="I8" s="129">
        <v>0</v>
      </c>
      <c r="J8" s="129">
        <v>0</v>
      </c>
      <c r="K8" s="129">
        <v>0</v>
      </c>
      <c r="L8" s="130">
        <f t="shared" si="0"/>
        <v>0</v>
      </c>
      <c r="M8" s="131">
        <f t="shared" si="1"/>
        <v>0</v>
      </c>
    </row>
    <row r="9" spans="1:15" s="123" customFormat="1" ht="11.15" customHeight="1" x14ac:dyDescent="0.3">
      <c r="B9" s="132" t="s">
        <v>108</v>
      </c>
      <c r="C9" s="133">
        <v>2.2999999999999998</v>
      </c>
      <c r="D9" s="125"/>
      <c r="H9" s="128">
        <v>1.5</v>
      </c>
      <c r="I9" s="129">
        <v>0</v>
      </c>
      <c r="J9" s="129">
        <v>0</v>
      </c>
      <c r="K9" s="129">
        <v>0</v>
      </c>
      <c r="L9" s="130">
        <f t="shared" si="0"/>
        <v>0</v>
      </c>
      <c r="M9" s="131">
        <f t="shared" si="1"/>
        <v>0</v>
      </c>
    </row>
    <row r="10" spans="1:15" s="123" customFormat="1" ht="11.15" customHeight="1" x14ac:dyDescent="0.3">
      <c r="B10" s="134" t="s">
        <v>109</v>
      </c>
      <c r="C10" s="135">
        <f>((C7/SQRT(C8)))*C9</f>
        <v>0</v>
      </c>
      <c r="D10" s="125"/>
      <c r="H10" s="128">
        <v>1.605</v>
      </c>
      <c r="I10" s="129">
        <v>0</v>
      </c>
      <c r="J10" s="129">
        <v>0</v>
      </c>
      <c r="K10" s="129">
        <v>0</v>
      </c>
      <c r="L10" s="130">
        <f t="shared" si="0"/>
        <v>0</v>
      </c>
      <c r="M10" s="131">
        <f t="shared" si="1"/>
        <v>0</v>
      </c>
      <c r="N10" s="434"/>
    </row>
    <row r="11" spans="1:15" s="123" customFormat="1" ht="11.15" customHeight="1" x14ac:dyDescent="0.3">
      <c r="C11" s="125"/>
      <c r="D11" s="125"/>
      <c r="H11" s="128">
        <v>1.71</v>
      </c>
      <c r="I11" s="129">
        <v>0</v>
      </c>
      <c r="J11" s="129">
        <v>0</v>
      </c>
      <c r="K11" s="129">
        <v>0</v>
      </c>
      <c r="L11" s="130">
        <f t="shared" si="0"/>
        <v>0</v>
      </c>
      <c r="M11" s="131">
        <f t="shared" si="1"/>
        <v>0</v>
      </c>
      <c r="N11" s="434"/>
    </row>
    <row r="12" spans="1:15" s="123" customFormat="1" ht="11.15" customHeight="1" x14ac:dyDescent="0.3">
      <c r="C12" s="125"/>
      <c r="D12" s="125"/>
      <c r="H12" s="128">
        <v>1.8149999999999999</v>
      </c>
      <c r="I12" s="129">
        <v>0</v>
      </c>
      <c r="J12" s="129">
        <v>0</v>
      </c>
      <c r="K12" s="129">
        <v>0</v>
      </c>
      <c r="L12" s="130">
        <f t="shared" si="0"/>
        <v>0</v>
      </c>
      <c r="M12" s="131">
        <f t="shared" si="1"/>
        <v>0</v>
      </c>
      <c r="N12" s="434"/>
    </row>
    <row r="13" spans="1:15" s="123" customFormat="1" ht="11.15" customHeight="1" x14ac:dyDescent="0.3">
      <c r="B13" s="136"/>
      <c r="C13" s="137"/>
      <c r="D13" s="125"/>
      <c r="H13" s="128">
        <v>1.92</v>
      </c>
      <c r="I13" s="129">
        <v>0</v>
      </c>
      <c r="J13" s="129">
        <v>0</v>
      </c>
      <c r="K13" s="129">
        <v>0</v>
      </c>
      <c r="L13" s="130">
        <f t="shared" si="0"/>
        <v>0</v>
      </c>
      <c r="M13" s="131">
        <f t="shared" si="1"/>
        <v>0</v>
      </c>
      <c r="N13" s="138"/>
      <c r="O13" s="138"/>
    </row>
    <row r="14" spans="1:15" s="123" customFormat="1" ht="11.15" customHeight="1" x14ac:dyDescent="0.3">
      <c r="B14" s="139" t="s">
        <v>110</v>
      </c>
      <c r="C14" s="140">
        <f>H14</f>
        <v>2</v>
      </c>
      <c r="D14" s="125"/>
      <c r="H14" s="128">
        <v>2</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0</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23" t="s">
        <v>112</v>
      </c>
      <c r="C18" s="423"/>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35" t="s">
        <v>135</v>
      </c>
      <c r="C46" s="435"/>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36" t="s">
        <v>84</v>
      </c>
      <c r="H52" s="436"/>
      <c r="I52" s="436"/>
      <c r="J52" s="436"/>
      <c r="K52" s="168"/>
      <c r="L52" s="436" t="s">
        <v>85</v>
      </c>
      <c r="M52" s="436"/>
      <c r="N52" s="436"/>
      <c r="O52" s="436"/>
      <c r="P52" s="436"/>
    </row>
    <row r="53" spans="2:16" s="123" customFormat="1" ht="11.15" customHeight="1" x14ac:dyDescent="0.3">
      <c r="B53" s="161" t="s">
        <v>141</v>
      </c>
      <c r="C53" s="162">
        <v>11.8</v>
      </c>
      <c r="D53" s="143"/>
      <c r="E53" s="164"/>
      <c r="F53" s="157"/>
      <c r="G53" s="169" t="s">
        <v>86</v>
      </c>
      <c r="H53" s="170">
        <v>0</v>
      </c>
      <c r="I53" s="169" t="s">
        <v>87</v>
      </c>
      <c r="J53" s="170">
        <v>0</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0</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2E-3</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6.6666666666666686E-4</v>
      </c>
      <c r="D59" s="174">
        <f>C59*SQRT(3)</f>
        <v>1.1547005383792518E-3</v>
      </c>
      <c r="E59" s="164"/>
      <c r="F59" s="430"/>
      <c r="G59" s="430"/>
      <c r="H59" s="175"/>
      <c r="I59" s="175"/>
      <c r="J59" s="175"/>
      <c r="K59" s="175"/>
      <c r="L59" s="175"/>
      <c r="M59" s="175"/>
    </row>
    <row r="60" spans="2:16" s="123" customFormat="1" ht="12" customHeight="1" thickBot="1" x14ac:dyDescent="0.3">
      <c r="C60" s="143"/>
      <c r="D60" s="174"/>
      <c r="E60" s="164"/>
      <c r="F60" s="431"/>
      <c r="G60" s="431"/>
      <c r="H60" s="175"/>
      <c r="I60" s="430"/>
      <c r="J60" s="430"/>
      <c r="K60" s="430"/>
      <c r="L60" s="430"/>
      <c r="M60" s="430"/>
    </row>
    <row r="61" spans="2:16" s="123" customFormat="1" ht="13.5" customHeight="1" thickBot="1" x14ac:dyDescent="0.3">
      <c r="B61" s="176" t="s">
        <v>147</v>
      </c>
      <c r="C61" s="177">
        <f>(C57*C55*C50)/(SQRT(3))</f>
        <v>6.8127331764375855E-3</v>
      </c>
      <c r="D61" s="174">
        <f>C61*SQRT(3)</f>
        <v>1.1800000000000001E-2</v>
      </c>
      <c r="E61" s="164"/>
      <c r="F61" s="431"/>
      <c r="G61" s="431"/>
      <c r="H61" s="175"/>
      <c r="I61" s="178"/>
      <c r="J61" s="178"/>
      <c r="K61" s="179"/>
      <c r="L61" s="432"/>
      <c r="M61" s="432"/>
    </row>
    <row r="62" spans="2:16" s="123" customFormat="1" ht="15" customHeight="1" thickBot="1" x14ac:dyDescent="0.3">
      <c r="C62" s="143"/>
      <c r="D62" s="163"/>
      <c r="E62" s="164"/>
      <c r="F62" s="431"/>
      <c r="G62" s="431"/>
      <c r="H62" s="175"/>
      <c r="I62" s="178"/>
      <c r="J62" s="178"/>
      <c r="K62" s="179"/>
      <c r="L62" s="432"/>
      <c r="M62" s="432"/>
    </row>
    <row r="63" spans="2:16" s="123" customFormat="1" ht="15" customHeight="1" x14ac:dyDescent="0.3">
      <c r="B63" s="181" t="s">
        <v>148</v>
      </c>
      <c r="C63" s="182">
        <f>C57*D48*D51</f>
        <v>7.0553368295055781E-4</v>
      </c>
      <c r="D63" s="163">
        <f>C63/SQRT(3)</f>
        <v>4.0734006177385265E-4</v>
      </c>
      <c r="E63" s="164"/>
      <c r="F63" s="141"/>
      <c r="G63" s="141"/>
      <c r="H63" s="175"/>
      <c r="I63" s="178"/>
      <c r="J63" s="178"/>
      <c r="K63" s="179"/>
      <c r="L63" s="180"/>
      <c r="M63" s="141"/>
    </row>
    <row r="64" spans="2:16" s="123" customFormat="1" ht="16.5" customHeight="1" x14ac:dyDescent="0.3">
      <c r="B64" s="161" t="s">
        <v>149</v>
      </c>
      <c r="C64" s="173">
        <f>C57*D47*D52</f>
        <v>6.6666666666666697E-4</v>
      </c>
      <c r="D64" s="163">
        <f>C64/SQRT(3)</f>
        <v>3.8490017945975069E-4</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6.8681767487341122E-3</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23" t="s">
        <v>151</v>
      </c>
      <c r="C70" s="423"/>
    </row>
    <row r="71" spans="2:13" s="125" customFormat="1" ht="11.15" customHeight="1" x14ac:dyDescent="0.4"/>
    <row r="72" spans="2:13" s="125" customFormat="1" ht="11.15" customHeight="1" x14ac:dyDescent="0.4">
      <c r="B72" s="125" t="s">
        <v>152</v>
      </c>
      <c r="C72" s="186">
        <v>0</v>
      </c>
    </row>
    <row r="73" spans="2:13" s="125" customFormat="1" ht="11.15" customHeight="1" x14ac:dyDescent="0.4">
      <c r="B73" s="185" t="s">
        <v>153</v>
      </c>
      <c r="C73" s="187" t="str">
        <f>[4]Datos!J12</f>
        <v/>
      </c>
    </row>
    <row r="74" spans="2:13" s="125" customFormat="1" ht="11.15" customHeight="1" thickBot="1" x14ac:dyDescent="0.45">
      <c r="C74" s="188"/>
    </row>
    <row r="75" spans="2:13" s="125" customFormat="1" ht="11.15" customHeight="1" thickBot="1" x14ac:dyDescent="0.45">
      <c r="B75" s="184" t="s">
        <v>154</v>
      </c>
      <c r="C75" s="153">
        <f>(C72)/(2*SQRT(3))</f>
        <v>0</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0</v>
      </c>
    </row>
    <row r="79" spans="2:13" s="125" customFormat="1" ht="11.15" customHeight="1" thickBot="1" x14ac:dyDescent="0.45">
      <c r="B79" s="184" t="s">
        <v>157</v>
      </c>
      <c r="C79" s="153">
        <f>C78/SQRT(6)</f>
        <v>0</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0</v>
      </c>
      <c r="J84" s="194" t="s">
        <v>62</v>
      </c>
      <c r="K84" s="195" t="s">
        <v>135</v>
      </c>
      <c r="L84" s="196">
        <f>C66</f>
        <v>6.8681767487341122E-3</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0</v>
      </c>
      <c r="M85" s="194" t="s">
        <v>62</v>
      </c>
      <c r="N85" s="197"/>
    </row>
    <row r="86" spans="2:14" s="125" customFormat="1" ht="11.15" customHeight="1" x14ac:dyDescent="0.4">
      <c r="B86" s="125" t="s">
        <v>169</v>
      </c>
      <c r="C86" s="200">
        <f>C72/4</f>
        <v>0</v>
      </c>
      <c r="D86" s="123"/>
      <c r="E86" s="123"/>
      <c r="F86" s="424" t="s">
        <v>170</v>
      </c>
      <c r="G86" s="424"/>
      <c r="H86" s="425"/>
      <c r="I86" s="198">
        <f>C75</f>
        <v>0</v>
      </c>
      <c r="J86" s="194" t="s">
        <v>62</v>
      </c>
      <c r="K86" s="196" t="s">
        <v>171</v>
      </c>
      <c r="L86" s="201">
        <f>C87</f>
        <v>0</v>
      </c>
      <c r="M86" s="194" t="s">
        <v>62</v>
      </c>
      <c r="N86" s="199"/>
    </row>
    <row r="87" spans="2:14" s="125" customFormat="1" ht="11.15" customHeight="1" x14ac:dyDescent="0.4">
      <c r="B87" s="135" t="s">
        <v>163</v>
      </c>
      <c r="C87" s="135">
        <f>C86/SQRT(3)</f>
        <v>0</v>
      </c>
      <c r="D87" s="123"/>
      <c r="E87" s="123"/>
      <c r="F87" s="424"/>
      <c r="G87" s="424"/>
      <c r="H87" s="425"/>
      <c r="I87" s="193"/>
      <c r="J87" s="194"/>
      <c r="K87" s="202"/>
      <c r="L87" s="202"/>
      <c r="M87" s="194"/>
      <c r="N87" s="199"/>
    </row>
    <row r="88" spans="2:14" s="125" customFormat="1" ht="11.15" customHeight="1" x14ac:dyDescent="0.4">
      <c r="D88" s="123"/>
      <c r="E88" s="123"/>
      <c r="F88" s="123"/>
      <c r="G88" s="123"/>
      <c r="H88" s="123"/>
      <c r="I88" s="193" t="s">
        <v>172</v>
      </c>
      <c r="J88" s="200">
        <f>SQRT(I84^2+I86^2)</f>
        <v>0</v>
      </c>
      <c r="K88" s="203" t="s">
        <v>172</v>
      </c>
      <c r="L88" s="200">
        <f>SQRT(L83^2+L84^2+L85^2+L82^2+L86^2)</f>
        <v>0.29263587474058128</v>
      </c>
      <c r="M88" s="201"/>
      <c r="N88" s="199"/>
    </row>
    <row r="89" spans="2:14" s="125" customFormat="1" ht="11.15" customHeight="1" x14ac:dyDescent="0.4">
      <c r="B89" s="204" t="s">
        <v>173</v>
      </c>
      <c r="C89" s="204">
        <f>SQRT(POWER(C75,2) + POWER(C66,2) + POWER(C10,2) +POWER(C83,2) + POWER(C87,2) + POWER(C22,2) + POWER(C79,2)+ POWER(C28,2)+ POWER(C32,2)+ POWER(C36,2)+ POWER(C40,2)+ POWER(C44,2))</f>
        <v>0.33161587494949407</v>
      </c>
      <c r="I89" s="193" t="s">
        <v>174</v>
      </c>
      <c r="J89" s="200">
        <f>J88*2</f>
        <v>0</v>
      </c>
      <c r="K89" s="194" t="s">
        <v>174</v>
      </c>
      <c r="L89" s="200">
        <f>L88*2</f>
        <v>0.58527174948116256</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0.66323174989898814</v>
      </c>
      <c r="D91" s="125"/>
      <c r="I91" s="193"/>
      <c r="J91" s="207" t="s">
        <v>176</v>
      </c>
      <c r="K91" s="208">
        <f>SQRT(J89^2+L89^2)</f>
        <v>0.58527174948116256</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0</v>
      </c>
      <c r="J100" s="123"/>
      <c r="K100" s="123" t="str">
        <f>C73</f>
        <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0</v>
      </c>
      <c r="J102" s="123"/>
      <c r="K102" s="123" t="e">
        <f>SQRT(K100^2+K99^2+K101^2)</f>
        <v>#VALUE!</v>
      </c>
      <c r="L102" s="123"/>
      <c r="M102" s="123"/>
      <c r="N102" s="213"/>
    </row>
    <row r="103" spans="1:14" ht="11.15" hidden="1" customHeight="1" x14ac:dyDescent="0.4">
      <c r="B103" s="220" t="s">
        <v>188</v>
      </c>
      <c r="C103" s="119">
        <v>1500</v>
      </c>
      <c r="I103" s="214">
        <f>I102*2</f>
        <v>0</v>
      </c>
      <c r="J103" s="123"/>
      <c r="K103" s="123" t="e">
        <f>K102*2</f>
        <v>#VALUE!</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26" t="e">
        <f>#REF!</f>
        <v>#REF!</v>
      </c>
      <c r="B105" s="427"/>
      <c r="C105" s="221" t="s">
        <v>189</v>
      </c>
      <c r="D105" s="222" t="e">
        <f>#REF!</f>
        <v>#REF!</v>
      </c>
      <c r="I105" s="223"/>
      <c r="J105" s="215"/>
      <c r="N105" s="224"/>
    </row>
    <row r="106" spans="1:14" hidden="1" x14ac:dyDescent="0.4">
      <c r="A106" s="426" t="e">
        <f>#REF!</f>
        <v>#REF!</v>
      </c>
      <c r="B106" s="427"/>
      <c r="C106" s="221" t="s">
        <v>190</v>
      </c>
      <c r="D106" s="222" t="e">
        <f>#REF!</f>
        <v>#REF!</v>
      </c>
      <c r="I106" s="223"/>
      <c r="J106" s="215"/>
      <c r="N106" s="224"/>
    </row>
    <row r="107" spans="1:14" hidden="1" x14ac:dyDescent="0.4">
      <c r="A107" s="426" t="e">
        <f>#REF!</f>
        <v>#REF!</v>
      </c>
      <c r="B107" s="427"/>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(1.4+0.005 L) µm, L en mm </v>
      </c>
      <c r="I109" s="223"/>
      <c r="J109" s="215"/>
      <c r="N109" s="224"/>
    </row>
    <row r="110" spans="1:14" x14ac:dyDescent="0.4">
      <c r="I110" s="428" t="s">
        <v>193</v>
      </c>
      <c r="J110" s="429"/>
      <c r="K110" s="429"/>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A2:D2"/>
    <mergeCell ref="N10:N12"/>
    <mergeCell ref="B18:C18"/>
    <mergeCell ref="B46:C46"/>
    <mergeCell ref="G52:J52"/>
    <mergeCell ref="L52:P52"/>
    <mergeCell ref="I110:K110"/>
    <mergeCell ref="F59:G59"/>
    <mergeCell ref="F60:F62"/>
    <mergeCell ref="G60:G62"/>
    <mergeCell ref="I60:M60"/>
    <mergeCell ref="L61:L62"/>
    <mergeCell ref="M61:M62"/>
    <mergeCell ref="B70:C70"/>
    <mergeCell ref="F86:H87"/>
    <mergeCell ref="A105:B105"/>
    <mergeCell ref="A106:B106"/>
    <mergeCell ref="A107:B10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2023-06-09T17:38:32Z</dcterms:modified>
</cp:coreProperties>
</file>