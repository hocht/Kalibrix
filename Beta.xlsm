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1D1BA7BB-6273-42FA-B1F6-10C59A516CC2}" xr6:coauthVersionLast="47" xr6:coauthVersionMax="47" xr10:uidLastSave="{00000000-0000-0000-0000-000000000000}"/>
  <bookViews>
    <workbookView xWindow="-103" yWindow="-103" windowWidth="33120" windowHeight="18000" activeTab="1" xr2:uid="{41C68473-F632-4B97-A971-F12BD1D560B6}"/>
  </bookViews>
  <sheets>
    <sheet name="inicio" sheetId="1" r:id="rId1"/>
    <sheet name="certificado" sheetId="13" r:id="rId2"/>
  </sheets>
  <functionGroups builtInGroupCount="19"/>
  <definedNames>
    <definedName name="_der1">#REF!</definedName>
    <definedName name="_der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#REF!</definedName>
    <definedName name="alf">#REF!</definedName>
    <definedName name="alfa">#REF!</definedName>
    <definedName name="alfaprom">#REF!</definedName>
    <definedName name="_xlnm.Print_Area" localSheetId="1">certificado!$A$1:$N$130</definedName>
    <definedName name="borosilicato">#REF!</definedName>
    <definedName name="CLASE">#REF!</definedName>
    <definedName name="COM1A">#REF!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#REF!</definedName>
    <definedName name="División_minima">#REF!</definedName>
    <definedName name="divmin">#REF!</definedName>
    <definedName name="ec1c">#REF!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#REF!</definedName>
    <definedName name="exa">#REF!</definedName>
    <definedName name="exenbal">#REF!</definedName>
    <definedName name="EXENBAL2DO">#REF!</definedName>
    <definedName name="FACOB">#REF!</definedName>
    <definedName name="factconv">#REF!</definedName>
    <definedName name="FCHR">#REF!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#REF!</definedName>
    <definedName name="Pres">#REF!</definedName>
    <definedName name="Pres10">#REF!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#REF!</definedName>
    <definedName name="resbal">#REF!</definedName>
    <definedName name="RESBAL2DO">#REF!</definedName>
    <definedName name="RESBAR">#REF!</definedName>
    <definedName name="resH">#REF!</definedName>
    <definedName name="RESN">#REF!</definedName>
    <definedName name="resnm">#REF!</definedName>
    <definedName name="Resolución">#REF!</definedName>
    <definedName name="Resolucion_balanza">#REF!</definedName>
    <definedName name="RESP">#REF!</definedName>
    <definedName name="resTaire">#REF!</definedName>
    <definedName name="resterm">#REF!</definedName>
    <definedName name="resTH">#REF!</definedName>
    <definedName name="ruido">#REF!</definedName>
    <definedName name="serie">#REF!</definedName>
    <definedName name="solicitante">#REF!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9" i="1" l="1"/>
  <c r="E29" i="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<sst xmlns="http://schemas.openxmlformats.org/spreadsheetml/2006/main" count="144" uniqueCount="127">
  <si>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</si>
  <si>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</si>
  <si>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</si>
  <si>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</si>
  <si>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</si>
  <si>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</si>
  <si>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</si>
  <si>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</si>
  <si>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</si>
  <si>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</si>
  <si>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</si>
  <si>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</si>
  <si>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</si>
  <si>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</si>
  <si>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</si>
  <si>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</si>
  <si>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</si>
  <si>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</si>
  <si>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</si>
  <si>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</si>
  <si>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</si>
  <si>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</si>
  <si>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</si>
  <si>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</si>
  <si>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</si>
  <si>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</si>
  <si>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</si>
  <si>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</si>
  <si>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</si>
  <si>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</si>
  <si>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</si>
  <si>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</si>
  <si>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</si>
  <si>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</si>
  <si>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</si>
  <si>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</si>
  <si>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</si>
  <si>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</si>
  <si>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</si>
  <si>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</si>
  <si>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</si>
  <si>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</si>
  <si>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</si>
  <si>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</si>
  <si>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</si>
  <si>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</si>
  <si>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</si>
  <si>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</si>
  <si>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</si>
  <si>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</si>
  <si>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</si>
  <si>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</si>
  <si>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</si>
  <si>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</si>
  <si>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</si>
  <si>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</si>
  <si>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</si>
  <si>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</si>
  <si>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</si>
  <si>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</si>
  <si>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</si>
  <si>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</si>
  <si>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</si>
  <si>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Paralelismo entre caras de medición                         </t>
    </r>
    <r>
      <rPr>
        <i/>
        <sz val="12"/>
        <color rgb="FF002060"/>
        <rFont val="Arial"/>
        <family val="2"/>
      </rPr>
      <t>Parallelism between measuring faces</t>
    </r>
  </si>
  <si>
    <r>
      <t xml:space="preserve">Fuerza de medición (N).  
</t>
    </r>
    <r>
      <rPr>
        <i/>
        <sz val="12"/>
        <color rgb="FF002060"/>
        <rFont val="Arial"/>
        <family val="2"/>
      </rPr>
      <t xml:space="preserve">Measuring Force    </t>
    </r>
  </si>
  <si>
    <r>
      <t xml:space="preserve">Planitud / </t>
    </r>
    <r>
      <rPr>
        <i/>
        <sz val="12"/>
        <color rgb="FF002060"/>
        <rFont val="Arial"/>
        <family val="2"/>
      </rPr>
      <t xml:space="preserve">Flatness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</si>
  <si>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</si>
  <si>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</si>
  <si>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</si>
  <si>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</si>
  <si>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</si>
  <si>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</si>
  <si>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</si>
  <si>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</si>
  <si>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</si>
  <si>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</si>
  <si>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</si>
  <si>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</si>
  <si>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n/a</t>
  </si>
  <si>
    <t>CONDICIONES AMBIENTALES</t>
  </si>
  <si>
    <t>Temperatura Inicial</t>
  </si>
  <si>
    <t>Temperatura Final</t>
  </si>
  <si>
    <t>Humedad Inicial</t>
  </si>
  <si>
    <t>Humedad Final</t>
  </si>
  <si>
    <t>Calibró:</t>
  </si>
  <si>
    <t>Autorizó:</t>
  </si>
  <si>
    <t>promedio</t>
  </si>
  <si>
    <t>KAL-D-014</t>
  </si>
  <si>
    <r>
      <t xml:space="preserve">Planitud en </t>
    </r>
    <r>
      <rPr>
        <sz val="11"/>
        <color theme="1"/>
        <rFont val="Calibri"/>
        <family val="2"/>
      </rPr>
      <t>µm</t>
    </r>
  </si>
  <si>
    <t>Paralelismo µm</t>
  </si>
  <si>
    <t>Tope Husillo</t>
  </si>
  <si>
    <t>Tope Fijo</t>
  </si>
  <si>
    <t>Lecturas</t>
  </si>
  <si>
    <t>Fuerza de Medición (N)</t>
  </si>
  <si>
    <t>numero de cliente</t>
  </si>
  <si>
    <t>numero de certificado</t>
  </si>
  <si>
    <t>patron</t>
  </si>
  <si>
    <t>Alcance</t>
  </si>
  <si>
    <t>Método Empleado:</t>
  </si>
  <si>
    <t>Measuring Method:</t>
  </si>
  <si>
    <t>0082 milime</t>
  </si>
  <si>
    <t>MICROMETRO DE EXTERIORES  TOPE PLANO</t>
  </si>
  <si>
    <t>MITUTOYO</t>
  </si>
  <si>
    <t>Hyrsa Aerospace Maquinados CNC de Precisión, S. de R.L. de C.V.</t>
  </si>
  <si>
    <t>12 meses</t>
  </si>
  <si>
    <r>
      <t>Valores Nominales mm (in)_x000D_</t>
    </r>
    <r>
      <rPr>
        <sz val="11"/>
        <color rgb="FF002060"/>
        <rFont val="Arial"/>
        <family val="2"/>
      </rPr>
      <t xml:space="preserve">
Nominal Values mm (in</t>
    </r>
    <r>
      <rPr>
        <b/>
        <sz val="11"/>
        <color rgb="FF002060"/>
        <rFont val="Arial"/>
        <family val="2"/>
      </rPr>
      <t>)</t>
    </r>
  </si>
  <si>
    <r>
      <t>Error de medida mm (in)_x000D_</t>
    </r>
    <r>
      <rPr>
        <sz val="11"/>
        <color rgb="FF002060"/>
        <rFont val="Arial"/>
        <family val="2"/>
      </rPr>
      <t xml:space="preserve">
Error mm (in</t>
    </r>
    <r>
      <rPr>
        <b/>
        <sz val="11"/>
        <color rgb="FF002060"/>
        <rFont val="Arial"/>
        <family val="2"/>
      </rPr>
      <t>)</t>
    </r>
  </si>
  <si>
    <t>TCM2303-0193</t>
  </si>
  <si>
    <t>293-181-30</t>
  </si>
  <si>
    <t>GM01/615</t>
  </si>
  <si>
    <t>1-2 in</t>
  </si>
  <si>
    <t>1 - 2 in</t>
  </si>
  <si>
    <t>0.00005 in</t>
  </si>
  <si>
    <t>0193 pulgadas</t>
  </si>
  <si>
    <t>25.400 (1.00)</t>
  </si>
  <si>
    <t>28.070 (1.11)</t>
  </si>
  <si>
    <t>30.730 (1.21)</t>
  </si>
  <si>
    <t>33.400 (1.32)</t>
  </si>
  <si>
    <t>36.070 (1.42)</t>
  </si>
  <si>
    <t>38.100 (1.50)</t>
  </si>
  <si>
    <t>40.770 (1.61)</t>
  </si>
  <si>
    <t>43.430 (1.71)</t>
  </si>
  <si>
    <t>46.100 (1.82)</t>
  </si>
  <si>
    <t>48.770 (1.92)</t>
  </si>
  <si>
    <t>50.800 (2.00)</t>
  </si>
  <si>
    <t>33.870 (1.33)</t>
  </si>
  <si>
    <t xml:space="preserve">Los Rosales  6 Felipe Carrillo Puerto 76138 Querétaro Querétaro México Los Rosales  6 Felipe Carrillo Puerto 76138 Querétaro Querétaro México Los Rosales  6 Felipe Carrillo Puerto 76138 Querétaro Querétaro México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</si>
</sst>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m\-yyyy"/>
    <numFmt numFmtId="165" formatCode="yyyy\-mmm\-dd"/>
    <numFmt numFmtId="166" formatCode="yyyy\-mm\-dd;@"/>
    <numFmt numFmtId="167" formatCode="0.0"/>
    <numFmt numFmtId="168" formatCode="0.000"/>
    <numFmt numFmtId="169" formatCode="0.0000"/>
  </numFmts>
  <fonts count="86"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4"/>
      <color rgb="FF002060"/>
      <name val="Courier New"/>
      <family val="3"/>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sz val="11"/>
      <color rgb="FFFA7D00"/>
      <name val="Calibri"/>
      <family val="2"/>
      <scheme val="minor"/>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b/>
      <u/>
      <sz val="14"/>
      <color rgb="FF000000"/>
      <name val="Arial"/>
      <family val="2"/>
    </font>
    <font>
      <u/>
      <sz val="14"/>
      <color theme="1"/>
      <name val="Calibri"/>
      <family val="2"/>
      <scheme val="minor"/>
    </font>
    <font>
      <b/>
      <sz val="7"/>
      <color theme="8" tint="-0.499984740745262"/>
      <name val="Arial"/>
      <family val="2"/>
    </font>
    <font>
      <b/>
      <sz val="11"/>
      <color rgb="FF002060"/>
      <name val="Arial"/>
      <family val="2"/>
    </font>
    <font>
      <b/>
      <u/>
      <sz val="16"/>
      <color rgb="FFFF0000"/>
      <name val="Arial"/>
      <family val="2"/>
    </font>
    <font>
      <b/>
      <sz val="12"/>
      <color theme="8" tint="-0.499984740745262"/>
      <name val="Arial"/>
      <family val="2"/>
    </font>
    <font>
      <u/>
      <sz val="16"/>
      <color theme="1"/>
      <name val="Arial"/>
      <family val="2"/>
    </font>
  </fonts>
  <fills count="8">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lightTrellis">
        <fgColor rgb="FFBDD6EE"/>
        <bgColor rgb="FFE8F0F9"/>
      </patternFill>
    </fill>
  </fills>
  <borders count="89">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right/>
      <top/>
      <bottom style="double">
        <color rgb="FFFF8001"/>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style="thin">
        <color indexed="64"/>
      </left>
      <right/>
      <top/>
      <bottom style="thin">
        <color indexed="64"/>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s>
  <cellStyleXfs count="3">
    <xf numFmtId="0" fontId="0" fillId="0" borderId="0"/>
    <xf numFmtId="0" fontId="71" fillId="0" borderId="69" applyNumberFormat="0" applyFill="0" applyAlignment="0" applyProtection="0"/>
    <xf numFmtId="0" fontId="77" fillId="0" borderId="0"/>
  </cellStyleXfs>
  <cellXfs count="307">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166" fontId="32" fillId="0" borderId="31" xfId="0" applyNumberFormat="1" applyFont="1" applyBorder="1" applyAlignment="1">
      <alignment horizontal="center" vertical="center" wrapText="1"/>
    </xf>
    <xf numFmtId="0" fontId="32" fillId="0" borderId="0" xfId="0" applyFont="1" applyAlignment="1">
      <alignment vertical="center" wrapText="1"/>
    </xf>
    <xf numFmtId="0" fontId="32" fillId="0" borderId="32" xfId="0" applyFont="1" applyBorder="1" applyAlignment="1">
      <alignment vertical="center" wrapText="1"/>
    </xf>
    <xf numFmtId="0" fontId="31" fillId="0" borderId="31" xfId="0" applyFont="1" applyBorder="1" applyProtection="1">
      <protection locked="0"/>
    </xf>
    <xf numFmtId="0" fontId="33" fillId="0" borderId="32" xfId="0" applyFont="1" applyBorder="1" applyAlignment="1">
      <alignment horizontal="center" vertical="center" wrapText="1"/>
    </xf>
    <xf numFmtId="0" fontId="33" fillId="0" borderId="0" xfId="0" applyFont="1" applyAlignment="1">
      <alignment horizontal="center" vertical="center" wrapText="1"/>
    </xf>
    <xf numFmtId="0" fontId="34" fillId="0" borderId="31" xfId="0" applyFont="1" applyBorder="1" applyProtection="1">
      <protection locked="0"/>
    </xf>
    <xf numFmtId="0" fontId="2" fillId="0" borderId="0" xfId="0" applyFont="1" applyAlignment="1" applyProtection="1">
      <alignment vertical="center" wrapText="1"/>
      <protection locked="0"/>
    </xf>
    <xf numFmtId="0" fontId="34" fillId="0" borderId="0" xfId="0" applyFont="1" applyProtection="1">
      <protection locked="0"/>
    </xf>
    <xf numFmtId="0" fontId="34" fillId="0" borderId="32" xfId="0" applyFont="1" applyBorder="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9" fillId="0" borderId="60" xfId="0" applyFont="1" applyBorder="1" applyAlignment="1" applyProtection="1">
      <alignment horizontal="center" vertical="center"/>
      <protection locked="0"/>
    </xf>
    <xf numFmtId="0" fontId="55" fillId="0" borderId="0" xfId="0" applyFont="1" applyProtection="1">
      <protection locked="0"/>
    </xf>
    <xf numFmtId="2" fontId="59" fillId="0" borderId="63" xfId="0" applyNumberFormat="1" applyFont="1" applyBorder="1" applyAlignment="1" applyProtection="1">
      <alignment horizontal="center" vertical="center"/>
      <protection locked="0"/>
    </xf>
    <xf numFmtId="0" fontId="59" fillId="0" borderId="67" xfId="0" applyFont="1" applyBorder="1" applyAlignment="1" applyProtection="1">
      <alignment horizontal="center" vertical="center"/>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2"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7"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8" fillId="0" borderId="0" xfId="0" applyFont="1" applyAlignment="1">
      <alignment vertical="top" wrapText="1"/>
    </xf>
    <xf numFmtId="0" fontId="34" fillId="0" borderId="0" xfId="0" applyFont="1"/>
    <xf numFmtId="0" fontId="68" fillId="0" borderId="0" xfId="0" applyFont="1" applyAlignment="1">
      <alignment vertical="center" wrapText="1"/>
    </xf>
    <xf numFmtId="0" fontId="2" fillId="0" borderId="0" xfId="0" applyFont="1" applyAlignment="1" applyProtection="1">
      <alignment horizontal="right" vertical="center" wrapText="1"/>
      <protection locked="0"/>
    </xf>
    <xf numFmtId="0" fontId="69"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70"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70"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0" fontId="74" fillId="7" borderId="50" xfId="0" applyFont="1" applyFill="1" applyBorder="1" applyAlignment="1">
      <alignment horizontal="center" vertical="center" wrapText="1"/>
    </xf>
    <xf numFmtId="0" fontId="75" fillId="7" borderId="70" xfId="0" applyFont="1" applyFill="1" applyBorder="1" applyAlignment="1">
      <alignment horizontal="center" vertical="center" wrapText="1"/>
    </xf>
    <xf numFmtId="0" fontId="54" fillId="4" borderId="70" xfId="0" applyFont="1" applyFill="1" applyBorder="1" applyAlignment="1">
      <alignment horizontal="center" vertical="center"/>
    </xf>
    <xf numFmtId="0" fontId="62" fillId="4" borderId="70" xfId="0" applyFont="1" applyFill="1" applyBorder="1" applyAlignment="1">
      <alignment vertical="center"/>
    </xf>
    <xf numFmtId="168" fontId="0" fillId="0" borderId="70" xfId="0" applyNumberFormat="1" applyBorder="1" applyAlignment="1" applyProtection="1">
      <alignment horizontal="center" vertical="center"/>
      <protection locked="0"/>
    </xf>
    <xf numFmtId="169" fontId="74" fillId="5" borderId="70" xfId="0" applyNumberFormat="1" applyFont="1" applyFill="1" applyBorder="1" applyAlignment="1" applyProtection="1">
      <alignment horizontal="center" vertical="center"/>
      <protection locked="0"/>
    </xf>
    <xf numFmtId="169" fontId="54" fillId="0" borderId="70" xfId="0" applyNumberFormat="1" applyFont="1" applyBorder="1" applyAlignment="1">
      <alignment horizontal="center"/>
    </xf>
    <xf numFmtId="0" fontId="34" fillId="0" borderId="73" xfId="0" applyFont="1" applyBorder="1" applyAlignment="1">
      <alignment horizontal="center"/>
    </xf>
    <xf numFmtId="0" fontId="0" fillId="0" borderId="0" xfId="0" applyAlignment="1" applyProtection="1">
      <alignment vertical="center"/>
      <protection locked="0"/>
    </xf>
    <xf numFmtId="0" fontId="0" fillId="0" borderId="74" xfId="0" applyBorder="1" applyAlignment="1">
      <alignment vertical="center"/>
    </xf>
    <xf numFmtId="0" fontId="0" fillId="5" borderId="74"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4" xfId="0" applyFill="1" applyBorder="1" applyAlignment="1">
      <alignment horizontal="center" vertical="center"/>
    </xf>
    <xf numFmtId="0" fontId="0" fillId="0" borderId="0" xfId="0" applyAlignment="1">
      <alignment horizontal="center" vertical="center"/>
    </xf>
    <xf numFmtId="0" fontId="34" fillId="0" borderId="82" xfId="0" applyFont="1" applyBorder="1" applyProtection="1">
      <protection locked="0"/>
    </xf>
    <xf numFmtId="0" fontId="72" fillId="0" borderId="0" xfId="0" applyFont="1"/>
    <xf numFmtId="0" fontId="73"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169" fontId="62" fillId="5" borderId="84" xfId="0" applyNumberFormat="1" applyFont="1" applyFill="1" applyBorder="1" applyAlignment="1" applyProtection="1">
      <alignment horizontal="center" vertical="center"/>
      <protection locked="0"/>
    </xf>
    <xf numFmtId="0" fontId="0" fillId="0" borderId="0" xfId="0" applyAlignment="1">
      <alignment horizontal="right"/>
    </xf>
    <xf numFmtId="0" fontId="34" fillId="0" borderId="0" xfId="0" applyFont="1" applyAlignment="1">
      <alignment horizontal="left"/>
    </xf>
    <xf numFmtId="0" fontId="72" fillId="0" borderId="70" xfId="0" applyFont="1" applyBorder="1" applyAlignment="1">
      <alignment horizontal="center"/>
    </xf>
    <xf numFmtId="0" fontId="54" fillId="0" borderId="70" xfId="0" applyFont="1" applyBorder="1"/>
    <xf numFmtId="0" fontId="72" fillId="0" borderId="84" xfId="0" applyFont="1" applyBorder="1"/>
    <xf numFmtId="0" fontId="72" fillId="0" borderId="85" xfId="0" applyFont="1" applyBorder="1"/>
    <xf numFmtId="0" fontId="0" fillId="0" borderId="74" xfId="0" applyBorder="1" applyAlignment="1">
      <alignment horizontal="center" vertical="center"/>
    </xf>
    <xf numFmtId="0" fontId="0" fillId="0" borderId="86" xfId="0" applyBorder="1"/>
    <xf numFmtId="0" fontId="78" fillId="0" borderId="0" xfId="0" applyFont="1" applyAlignment="1">
      <alignment horizontal="right"/>
    </xf>
    <xf numFmtId="0" fontId="78" fillId="0" borderId="0" xfId="0" applyFont="1"/>
    <xf numFmtId="169" fontId="79" fillId="5" borderId="70" xfId="0" applyNumberFormat="1" applyFont="1" applyFill="1" applyBorder="1" applyAlignment="1" applyProtection="1">
      <alignment horizontal="center" vertical="center"/>
      <protection locked="0"/>
    </xf>
    <xf numFmtId="0" fontId="80" fillId="0" borderId="0" xfId="0" applyFont="1" applyAlignment="1">
      <alignment horizontal="center"/>
    </xf>
    <xf numFmtId="0" fontId="54" fillId="0" borderId="70" xfId="0" applyFont="1" applyBorder="1" applyAlignment="1">
      <alignment horizontal="center"/>
    </xf>
    <xf numFmtId="0" fontId="54" fillId="0" borderId="0" xfId="0" applyFont="1" applyAlignment="1" applyProtection="1">
      <alignment horizontal="center"/>
      <protection locked="0"/>
    </xf>
    <xf numFmtId="0" fontId="1" fillId="0" borderId="86" xfId="0" applyFont="1" applyBorder="1" applyAlignment="1">
      <alignment horizontal="center"/>
    </xf>
    <xf numFmtId="0" fontId="74" fillId="7" borderId="72" xfId="0" applyFont="1" applyFill="1" applyBorder="1" applyAlignment="1">
      <alignment horizontal="center" vertical="center" wrapText="1"/>
    </xf>
    <xf numFmtId="0" fontId="74" fillId="7" borderId="50" xfId="0" applyFont="1" applyFill="1" applyBorder="1" applyAlignment="1">
      <alignment horizontal="center" vertical="center" wrapText="1"/>
    </xf>
    <xf numFmtId="0" fontId="28" fillId="0" borderId="0" xfId="0" applyFont="1" applyAlignment="1">
      <alignment horizontal="center" vertical="center"/>
    </xf>
    <xf numFmtId="0" fontId="17" fillId="0" borderId="8" xfId="0" applyFont="1" applyBorder="1" applyAlignment="1">
      <alignment horizontal="center" vertical="center" wrapText="1"/>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17" fillId="0" borderId="0" xfId="0" applyFont="1" applyAlignment="1">
      <alignment horizontal="center" vertical="center" wrapText="1"/>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2" fillId="0" borderId="0" xfId="0" applyFont="1" applyAlignment="1">
      <alignment horizontal="center" vertical="top" wrapText="1"/>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0" fontId="23" fillId="0" borderId="14" xfId="0" applyFont="1" applyBorder="1" applyAlignment="1">
      <alignment horizontal="center" wrapText="1"/>
    </xf>
    <xf numFmtId="0" fontId="24" fillId="0" borderId="19"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4" fillId="0" borderId="71" xfId="0" applyFont="1" applyBorder="1" applyAlignment="1">
      <alignment horizontal="center" vertical="top" wrapText="1"/>
    </xf>
    <xf numFmtId="0" fontId="28" fillId="0" borderId="71" xfId="0" applyFont="1" applyBorder="1" applyAlignment="1" applyProtection="1">
      <alignment horizontal="center" vertical="center" wrapText="1"/>
      <protection locked="0"/>
    </xf>
    <xf numFmtId="164" fontId="28" fillId="0" borderId="71" xfId="0" applyNumberFormat="1" applyFont="1" applyBorder="1" applyAlignment="1" applyProtection="1">
      <alignment horizontal="center" vertical="center" wrapText="1"/>
      <protection locked="0"/>
    </xf>
    <xf numFmtId="0" fontId="16" fillId="0" borderId="2" xfId="0" applyFont="1" applyBorder="1" applyAlignment="1">
      <alignment vertical="center" wrapText="1"/>
    </xf>
    <xf numFmtId="0" fontId="27" fillId="0" borderId="2" xfId="0" applyFont="1" applyBorder="1" applyAlignment="1">
      <alignment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8" fillId="0" borderId="0" xfId="0" applyFont="1" applyAlignment="1" applyProtection="1">
      <alignment horizontal="center" vertical="center" wrapText="1"/>
      <protection locked="0"/>
    </xf>
    <xf numFmtId="164" fontId="28" fillId="0" borderId="0" xfId="0" applyNumberFormat="1" applyFont="1" applyAlignment="1" applyProtection="1">
      <alignment horizontal="center" vertical="center" wrapText="1"/>
      <protection locked="0"/>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165" fontId="30" fillId="0" borderId="13" xfId="0" applyNumberFormat="1" applyFont="1" applyBorder="1" applyAlignment="1" applyProtection="1">
      <alignment horizontal="center" vertical="center" wrapText="1"/>
      <protection locked="0"/>
    </xf>
    <xf numFmtId="165" fontId="30" fillId="0" borderId="14" xfId="0" applyNumberFormat="1" applyFont="1" applyBorder="1" applyAlignment="1" applyProtection="1">
      <alignment horizontal="center" vertical="center" wrapText="1"/>
      <protection locked="0"/>
    </xf>
    <xf numFmtId="165" fontId="30" fillId="0" borderId="17" xfId="0" applyNumberFormat="1" applyFont="1" applyBorder="1" applyAlignment="1" applyProtection="1">
      <alignment horizontal="center" vertical="center" wrapText="1"/>
      <protection locked="0"/>
    </xf>
    <xf numFmtId="165" fontId="30" fillId="0" borderId="18" xfId="0" applyNumberFormat="1" applyFont="1" applyBorder="1" applyAlignment="1" applyProtection="1">
      <alignment horizontal="center" vertical="center" wrapText="1"/>
      <protection locked="0"/>
    </xf>
    <xf numFmtId="165" fontId="30" fillId="0" borderId="19" xfId="0" applyNumberFormat="1" applyFont="1" applyBorder="1" applyAlignment="1" applyProtection="1">
      <alignment horizontal="center" vertical="center" wrapText="1"/>
      <protection locked="0"/>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71" fillId="0" borderId="0" xfId="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165" fontId="30" fillId="0" borderId="31" xfId="0" applyNumberFormat="1" applyFont="1" applyBorder="1" applyAlignment="1" applyProtection="1">
      <alignment horizontal="center" vertical="center" wrapText="1"/>
      <protection locked="0"/>
    </xf>
    <xf numFmtId="165" fontId="30" fillId="0" borderId="0" xfId="0" applyNumberFormat="1" applyFont="1" applyAlignment="1" applyProtection="1">
      <alignment horizontal="center" vertical="center" wrapText="1"/>
      <protection locked="0"/>
    </xf>
    <xf numFmtId="165" fontId="30" fillId="0" borderId="32" xfId="0" applyNumberFormat="1" applyFont="1" applyBorder="1" applyAlignment="1" applyProtection="1">
      <alignment horizontal="center" vertical="center" wrapText="1"/>
      <protection locked="0"/>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0" fillId="0" borderId="0" xfId="0" applyFont="1" applyAlignment="1">
      <alignment horizontal="right" vertical="top" wrapText="1"/>
    </xf>
    <xf numFmtId="0" fontId="60"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82" fillId="4" borderId="77" xfId="2" applyFont="1" applyFill="1" applyBorder="1" applyAlignment="1">
      <alignment horizontal="center" vertical="center" wrapText="1"/>
    </xf>
    <xf numFmtId="0" fontId="82" fillId="4" borderId="78" xfId="2" applyFont="1" applyFill="1" applyBorder="1" applyAlignment="1">
      <alignment horizontal="center" vertical="center" wrapText="1"/>
    </xf>
    <xf numFmtId="0" fontId="82" fillId="4" borderId="79" xfId="2" applyFont="1" applyFill="1" applyBorder="1" applyAlignment="1">
      <alignment horizontal="center" vertical="center" wrapText="1"/>
    </xf>
    <xf numFmtId="0" fontId="82" fillId="4" borderId="80" xfId="2"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6" fillId="0" borderId="0" xfId="0" applyFont="1" applyAlignment="1" applyProtection="1">
      <alignment horizontal="center" vertical="center" wrapText="1"/>
      <protection locked="0"/>
    </xf>
    <xf numFmtId="0" fontId="35" fillId="0" borderId="0" xfId="0" applyFont="1" applyAlignment="1">
      <alignment horizontal="left" wrapText="1"/>
    </xf>
    <xf numFmtId="0" fontId="70"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3"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15" fontId="54" fillId="0" borderId="0" xfId="0" applyNumberFormat="1" applyFont="1" applyAlignment="1" applyProtection="1">
      <alignment horizontal="center"/>
      <protection locked="0"/>
    </xf>
    <xf numFmtId="0" fontId="83" fillId="0" borderId="0" xfId="0" applyFont="1" applyAlignment="1" applyProtection="1">
      <alignment vertical="center"/>
      <protection locked="0"/>
    </xf>
    <xf numFmtId="0" fontId="84" fillId="4" borderId="75" xfId="0" applyFont="1" applyFill="1" applyBorder="1" applyAlignment="1">
      <alignment horizontal="center" vertical="center" wrapText="1"/>
    </xf>
    <xf numFmtId="0" fontId="84" fillId="4" borderId="81" xfId="0" applyFont="1" applyFill="1" applyBorder="1" applyAlignment="1">
      <alignment horizontal="center" vertical="center" wrapText="1"/>
    </xf>
    <xf numFmtId="0" fontId="84" fillId="4" borderId="87" xfId="0" applyFont="1" applyFill="1" applyBorder="1" applyAlignment="1">
      <alignment horizontal="center" vertical="center" wrapText="1"/>
    </xf>
    <xf numFmtId="0" fontId="85" fillId="0" borderId="0" xfId="0" applyFont="1" applyAlignment="1">
      <alignment vertical="center" wrapText="1"/>
    </xf>
    <xf numFmtId="2" fontId="81" fillId="0" borderId="76" xfId="0" applyNumberFormat="1" applyFont="1" applyBorder="1" applyAlignment="1">
      <alignment horizontal="center" vertical="center" wrapText="1"/>
    </xf>
    <xf numFmtId="2" fontId="81" fillId="0" borderId="83" xfId="0" applyNumberFormat="1" applyFont="1" applyBorder="1" applyAlignment="1">
      <alignment horizontal="center" vertical="center" wrapText="1"/>
    </xf>
    <xf numFmtId="2" fontId="81" fillId="0" borderId="88" xfId="0" applyNumberFormat="1" applyFont="1" applyBorder="1" applyAlignment="1">
      <alignment horizontal="center" vertical="center" wrapText="1"/>
    </xf>
  </cellXfs>
  <cellStyles count="3">
    <cellStyle name="Celda vinculada" xfId="1" builtinId="24"/>
    <cellStyle name="Normal" xfId="0" builtinId="0"/>
    <cellStyle name="Normal 2" xfId="2"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11</xdr:col>
      <xdr:colOff>610496</xdr:colOff>
      <xdr:row>123</xdr:row>
      <xdr:rowOff>97539</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1037413</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143838</xdr:colOff>
      <xdr:row>0</xdr:row>
      <xdr:rowOff>115282</xdr:rowOff>
    </xdr:from>
    <xdr:to>
      <xdr:col>13</xdr:col>
      <xdr:colOff>1193250</xdr:colOff>
      <xdr:row>1</xdr:row>
      <xdr:rowOff>998549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348209" y="115282"/>
          <a:ext cx="3377595" cy="1486064"/>
        </a:xfrm>
        <a:prstGeom prst="rect">
          <a:avLst/>
        </a:prstGeom>
      </xdr:spPr>
    </xdr:pic>
    <xdr:clientData/>
  </xdr:twoCellAnchor>
  <xdr:twoCellAnchor editAs="oneCell">
    <xdr:from>
      <xdr:col>0</xdr:col>
      <xdr:colOff>167105</xdr:colOff>
      <xdr:row>50</xdr:row>
      <xdr:rowOff>351139</xdr:rowOff>
    </xdr:from>
    <xdr:to>
      <xdr:col>3</xdr:col>
      <xdr:colOff>1057238</xdr:colOff>
      <xdr:row>51</xdr:row>
      <xdr:rowOff>894658</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171826</xdr:colOff>
      <xdr:row>50</xdr:row>
      <xdr:rowOff>167106</xdr:rowOff>
    </xdr:from>
    <xdr:to>
      <xdr:col>13</xdr:col>
      <xdr:colOff>1207632</xdr:colOff>
      <xdr:row>51</xdr:row>
      <xdr:rowOff>1058539</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376197" y="25231463"/>
          <a:ext cx="3377595" cy="1486064"/>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1"/>
  <sheetViews>
    <sheetView workbookViewId="0">
      <selection activeCell="D4" sqref="D4"/>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5" thickBot="1" x14ac:dyDescent="0.45">
      <c r="A1" s="135">
        <v>10</v>
      </c>
      <c r="B1" s="142" t="s">
        <v>94</v>
      </c>
      <c r="C1" s="142"/>
    </row>
    <row r="2" spans="1:13" ht="17.149999999999999" thickBot="1" x14ac:dyDescent="0.5">
      <c r="A2" s="135" t="s">
        <v>107</v>
      </c>
      <c r="B2" s="142" t="s">
        <v>95</v>
      </c>
      <c r="C2" s="142"/>
      <c r="E2" s="132" t="s">
        <v>79</v>
      </c>
      <c r="F2" s="133"/>
      <c r="G2" s="130"/>
    </row>
    <row r="3" spans="1:13" ht="18.899999999999999" thickBot="1" x14ac:dyDescent="0.55000000000000004">
      <c r="A3" s="135" t="s">
        <v>87</v>
      </c>
      <c r="B3" s="142" t="s">
        <v>96</v>
      </c>
      <c r="C3" s="142"/>
      <c r="E3" s="131" t="s">
        <v>80</v>
      </c>
      <c r="F3" s="131"/>
      <c r="G3" s="104"/>
    </row>
    <row r="4" spans="1:13" ht="18.45" x14ac:dyDescent="0.5">
      <c r="E4" s="140" t="s">
        <v>81</v>
      </c>
      <c r="F4" s="140"/>
      <c r="G4" s="104"/>
    </row>
    <row r="5" spans="1:13" ht="18.45" x14ac:dyDescent="0.5">
      <c r="A5" s="106" t="s">
        <v>84</v>
      </c>
      <c r="B5" s="141"/>
      <c r="C5" s="141"/>
      <c r="E5" s="140" t="s">
        <v>82</v>
      </c>
      <c r="F5" s="140"/>
      <c r="G5" s="104"/>
    </row>
    <row r="6" spans="1:13" ht="18.45" x14ac:dyDescent="0.5">
      <c r="A6" s="106" t="s">
        <v>85</v>
      </c>
      <c r="B6" s="298"/>
      <c r="C6" s="298"/>
      <c r="E6" s="140" t="s">
        <v>83</v>
      </c>
      <c r="F6" s="140"/>
      <c r="G6" s="104"/>
      <c r="I6" s="123"/>
    </row>
    <row r="7" spans="1:13" ht="19.75" x14ac:dyDescent="0.4">
      <c r="C7" s="126"/>
      <c r="D7" s="126"/>
      <c r="E7" s="102"/>
      <c r="I7" s="103"/>
    </row>
    <row r="8" spans="1:13" ht="18.45" customHeight="1" x14ac:dyDescent="0.4">
      <c r="A8" t="s">
        <v>113</v>
      </c>
      <c r="C8" s="299"/>
      <c r="D8" s="303"/>
      <c r="E8" s="102"/>
      <c r="I8" s="103"/>
    </row>
    <row r="9" spans="1:13" ht="18.45" customHeight="1" x14ac:dyDescent="0.4">
      <c r="A9" t="s">
        <v>100</v>
      </c>
      <c r="B9" s="137"/>
      <c r="C9" s="124"/>
      <c r="D9" s="125"/>
      <c r="E9" s="102"/>
      <c r="H9" s="137"/>
      <c r="I9" s="103"/>
    </row>
    <row r="10" spans="1:13" x14ac:dyDescent="0.4">
      <c r="E10" s="105"/>
      <c r="I10" s="136"/>
    </row>
    <row r="11" spans="1:13" ht="19.75" x14ac:dyDescent="0.5">
      <c r="B11" s="145"/>
      <c r="C11" s="145"/>
      <c r="D11" s="107"/>
      <c r="G11" s="107"/>
      <c r="H11" s="107"/>
      <c r="I11" s="107"/>
      <c r="J11" s="96"/>
      <c r="K11" s="96"/>
    </row>
    <row r="12" spans="1:13" ht="18.45" x14ac:dyDescent="0.5">
      <c r="B12" s="143"/>
      <c r="C12" s="144"/>
      <c r="D12" s="108"/>
      <c r="E12" s="108"/>
      <c r="F12" s="108"/>
      <c r="G12" s="107"/>
      <c r="H12" s="107"/>
      <c r="I12" s="107"/>
      <c r="K12" s="96"/>
      <c r="M12" s="105"/>
    </row>
    <row r="13" spans="1:13" ht="20.6" x14ac:dyDescent="0.5">
      <c r="B13" s="109"/>
      <c r="C13" s="109">
        <v>1</v>
      </c>
      <c r="D13" s="109">
        <v>2</v>
      </c>
      <c r="E13" s="109">
        <v>3</v>
      </c>
      <c r="F13" s="110" t="s">
        <v>86</v>
      </c>
      <c r="G13" s="111" t="s">
        <v>97</v>
      </c>
      <c r="H13" s="127" t="s">
        <v>111</v>
      </c>
      <c r="I13" s="107"/>
      <c r="K13" s="129"/>
    </row>
    <row r="14" spans="1:13" ht="18.45" x14ac:dyDescent="0.5">
      <c r="B14" s="112">
        <v>1</v>
      </c>
      <c r="C14" s="113">
        <v>1</v>
      </c>
      <c r="D14" s="113">
        <v>1</v>
      </c>
      <c r="E14" s="113">
        <v>1</v>
      </c>
      <c r="F14" s="114">
        <v>1</v>
      </c>
      <c r="G14" s="107"/>
      <c r="H14" s="107"/>
      <c r="I14" s="107"/>
      <c r="M14" s="96"/>
    </row>
    <row r="15" spans="1:13" ht="18.45" x14ac:dyDescent="0.5">
      <c r="B15" s="112">
        <v>1.105</v>
      </c>
      <c r="C15" s="113">
        <v>1</v>
      </c>
      <c r="D15" s="113">
        <v>1</v>
      </c>
      <c r="E15" s="113">
        <v>1</v>
      </c>
      <c r="F15" s="114">
        <v>1</v>
      </c>
      <c r="G15" s="107"/>
      <c r="H15" s="107"/>
      <c r="I15" s="107"/>
      <c r="M15" s="96"/>
    </row>
    <row r="16" spans="1:13" ht="18.45" x14ac:dyDescent="0.5">
      <c r="B16" s="112">
        <v>1.21</v>
      </c>
      <c r="C16" s="113">
        <v>1</v>
      </c>
      <c r="D16" s="113">
        <v>1</v>
      </c>
      <c r="E16" s="113">
        <v>1</v>
      </c>
      <c r="F16" s="114">
        <v>1</v>
      </c>
      <c r="K16" s="106"/>
      <c r="M16" s="96"/>
    </row>
    <row r="17" spans="2:13" ht="18.45" x14ac:dyDescent="0.5">
      <c r="B17" s="112">
        <v>1.3149999999999999</v>
      </c>
      <c r="C17" s="113">
        <v>1</v>
      </c>
      <c r="D17" s="113">
        <v>1</v>
      </c>
      <c r="E17" s="113">
        <v>1</v>
      </c>
      <c r="F17" s="114">
        <v>1</v>
      </c>
      <c r="K17" s="102"/>
      <c r="M17" s="96"/>
    </row>
    <row r="18" spans="2:13" ht="18.45" x14ac:dyDescent="0.5">
      <c r="B18" s="112">
        <v>1.42</v>
      </c>
      <c r="C18" s="113">
        <v>1</v>
      </c>
      <c r="D18" s="113">
        <v>1</v>
      </c>
      <c r="E18" s="113">
        <v>1</v>
      </c>
      <c r="F18" s="114">
        <v>1</v>
      </c>
      <c r="K18" s="102"/>
      <c r="M18" s="96"/>
    </row>
    <row r="19" spans="2:13" ht="18.45" x14ac:dyDescent="0.5">
      <c r="B19" s="112">
        <v>1.5</v>
      </c>
      <c r="C19" s="113">
        <v>1</v>
      </c>
      <c r="D19" s="113">
        <v>2</v>
      </c>
      <c r="E19" s="113">
        <v>1</v>
      </c>
      <c r="F19" s="114">
        <v>1.3333333333333333</v>
      </c>
      <c r="K19" s="96"/>
      <c r="M19" s="96"/>
    </row>
    <row r="20" spans="2:13" ht="18.45" x14ac:dyDescent="0.5">
      <c r="B20" s="112">
        <v>1.605</v>
      </c>
      <c r="C20" s="138">
        <v>1</v>
      </c>
      <c r="D20" s="113">
        <v>1</v>
      </c>
      <c r="E20" s="113">
        <v>1</v>
      </c>
      <c r="F20" s="114">
        <v>1</v>
      </c>
      <c r="G20" s="107"/>
      <c r="H20" s="107"/>
      <c r="I20" s="107"/>
      <c r="K20" s="96"/>
      <c r="M20" s="96"/>
    </row>
    <row r="21" spans="2:13" ht="18.45" x14ac:dyDescent="0.5">
      <c r="B21" s="112">
        <v>1.71</v>
      </c>
      <c r="C21" s="113">
        <v>1</v>
      </c>
      <c r="D21" s="113">
        <v>1</v>
      </c>
      <c r="E21" s="113">
        <v>1</v>
      </c>
      <c r="F21" s="114">
        <v>1</v>
      </c>
      <c r="G21" s="107"/>
      <c r="H21" s="107"/>
      <c r="I21" s="107"/>
    </row>
    <row r="22" spans="2:13" ht="18.45" x14ac:dyDescent="0.5">
      <c r="B22" s="112">
        <v>1.8149999999999999</v>
      </c>
      <c r="C22" s="113">
        <v>1</v>
      </c>
      <c r="D22" s="113">
        <v>1</v>
      </c>
      <c r="E22" s="113">
        <v>1</v>
      </c>
      <c r="F22" s="114">
        <v>1</v>
      </c>
      <c r="G22" s="107"/>
      <c r="H22" s="107"/>
      <c r="I22" s="139"/>
      <c r="J22" s="128"/>
    </row>
    <row r="23" spans="2:13" ht="18.45" x14ac:dyDescent="0.5">
      <c r="B23" s="112">
        <v>1.92</v>
      </c>
      <c r="C23" s="113">
        <v>1</v>
      </c>
      <c r="D23" s="113">
        <v>1</v>
      </c>
      <c r="E23" s="113">
        <v>1</v>
      </c>
      <c r="F23" s="114">
        <v>1</v>
      </c>
      <c r="G23" s="107"/>
      <c r="H23" s="107"/>
      <c r="I23" s="107"/>
    </row>
    <row r="24" spans="2:13" ht="18.45" x14ac:dyDescent="0.5">
      <c r="B24" s="112">
        <v>2</v>
      </c>
      <c r="C24" s="113">
        <v>1</v>
      </c>
      <c r="D24" s="113">
        <v>1</v>
      </c>
      <c r="E24" s="113">
        <v>1</v>
      </c>
      <c r="F24" s="114">
        <v>1</v>
      </c>
      <c r="G24" s="107"/>
      <c r="H24" s="107"/>
      <c r="I24" s="107"/>
      <c r="M24" s="96"/>
    </row>
    <row r="25" spans="2:13" ht="18.45" x14ac:dyDescent="0.5">
      <c r="B25" s="107"/>
      <c r="C25" s="115"/>
      <c r="D25" s="107"/>
      <c r="G25" s="107"/>
      <c r="H25" s="107"/>
      <c r="I25" s="107"/>
    </row>
    <row r="26" spans="2:13" x14ac:dyDescent="0.4">
      <c r="B26" s="134" t="s">
        <v>88</v>
      </c>
      <c r="C26" s="134"/>
      <c r="D26" s="134"/>
      <c r="E26" s="134"/>
      <c r="F26" s="116"/>
      <c r="G26" s="134" t="s">
        <v>89</v>
      </c>
      <c r="H26" s="134"/>
      <c r="I26" s="134"/>
      <c r="J26" s="134"/>
      <c r="K26" s="134"/>
    </row>
    <row r="27" spans="2:13" x14ac:dyDescent="0.4">
      <c r="B27" s="117" t="s">
        <v>90</v>
      </c>
      <c r="C27" s="118"/>
      <c r="D27" s="117" t="s">
        <v>91</v>
      </c>
      <c r="E27" s="118"/>
      <c r="F27" s="116"/>
      <c r="G27" s="117" t="s">
        <v>92</v>
      </c>
      <c r="H27" s="118"/>
      <c r="I27" s="118"/>
      <c r="J27" s="118"/>
      <c r="K27" s="118"/>
    </row>
    <row r="29" spans="2:13" x14ac:dyDescent="0.4">
      <c r="E29" s="119">
        <f>MAX(C27,E27)</f>
        <v>0</v>
      </c>
      <c r="G29" s="119">
        <f>MAX(H27,I27,J27,K27)</f>
        <v>0</v>
      </c>
    </row>
    <row r="31" spans="2:13" x14ac:dyDescent="0.4">
      <c r="B31" s="134" t="s">
        <v>93</v>
      </c>
      <c r="C31" s="134"/>
      <c r="D31" s="120"/>
      <c r="J31" s="121"/>
    </row>
  </sheetData>
  <sheetProtection selectLockedCells="1" selectUnlockedCells="1"/>
  <dataConsolidate/>
  <mergeCells count="10">
    <mergeCell ref="B1:C1"/>
    <mergeCell ref="B2:C2"/>
    <mergeCell ref="B3:C3"/>
    <mergeCell ref="B12:C12"/>
    <mergeCell ref="B11:C11"/>
    <mergeCell ref="E6:F6"/>
    <mergeCell ref="B5:C5"/>
    <mergeCell ref="B6:C6"/>
    <mergeCell ref="E4:F4"/>
    <mergeCell ref="E5:F5"/>
  </mergeCells>
  <dataValidations count="3">
    <dataValidation type="list" allowBlank="1" showInputMessage="1" showErrorMessage="1" sqref="A3" xr:uid="{DBA7DB5A-4A94-48EA-A234-A6FC70554E53}">
      <formula1>"KAL021,KAL026,KAL032,KAL033,KAL037,KAL-D-014,KAL-D-037"</formula1>
    </dataValidation>
    <dataValidation type="list" allowBlank="1" showInputMessage="1" showErrorMessage="1" sqref="B6:C6" xr:uid="{8EE254C5-1B8B-4941-8348-7CE0CE5B1E15}">
      <formula1>$K$27:$K$31</formula1>
    </dataValidation>
    <dataValidation type="list" allowBlank="1" showInputMessage="1" showErrorMessage="1" sqref="B5:C5" xr:uid="{149E0987-5F06-4113-ACC5-9607905127D1}">
      <formula1>$L$27:$L$32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70" r:id="rId4" name="Borrarpatron">
          <controlPr defaultSize="0" autoLine="0" r:id="rId5">
            <anchor moveWithCells="1">
              <from>
                <xdr:col>11</xdr:col>
                <xdr:colOff>762000</xdr:colOff>
                <xdr:row>11</xdr:row>
                <xdr:rowOff>179614</xdr:rowOff>
              </from>
              <to>
                <xdr:col>13</xdr:col>
                <xdr:colOff>402771</xdr:colOff>
                <xdr:row>13</xdr:row>
                <xdr:rowOff>81643</xdr:rowOff>
              </to>
            </anchor>
          </controlPr>
        </control>
      </mc:Choice>
      <mc:Fallback>
        <control shapeId="2070" r:id="rId4" name="Borrarpatron"/>
      </mc:Fallback>
    </mc:AlternateContent>
    <mc:AlternateContent xmlns:mc="http://schemas.openxmlformats.org/markup-compatibility/2006">
      <mc:Choice Requires="x14">
        <control shapeId="2051" r:id="rId6" name="BuscarEquipo">
          <controlPr defaultSize="0" autoLine="0" r:id="rId7">
            <anchor moveWithCells="1">
              <from>
                <xdr:col>9</xdr:col>
                <xdr:colOff>767443</xdr:colOff>
                <xdr:row>8</xdr:row>
                <xdr:rowOff>223157</xdr:rowOff>
              </from>
              <to>
                <xdr:col>11</xdr:col>
                <xdr:colOff>408214</xdr:colOff>
                <xdr:row>10</xdr:row>
                <xdr:rowOff>201386</xdr:rowOff>
              </to>
            </anchor>
          </controlPr>
        </control>
      </mc:Choice>
      <mc:Fallback>
        <control shapeId="2051" r:id="rId6" name="BuscarEquipo"/>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49" r:id="rId10" name="BuscarRutas">
          <controlPr defaultSize="0" autoLine="0" r:id="rId11">
            <anchor moveWithCells="1">
              <from>
                <xdr:col>10</xdr:col>
                <xdr:colOff>0</xdr:colOff>
                <xdr:row>3</xdr:row>
                <xdr:rowOff>38100</xdr:rowOff>
              </from>
              <to>
                <xdr:col>11</xdr:col>
                <xdr:colOff>696686</xdr:colOff>
                <xdr:row>5</xdr:row>
                <xdr:rowOff>21771</xdr:rowOff>
              </to>
            </anchor>
          </controlPr>
        </control>
      </mc:Choice>
      <mc:Fallback>
        <control shapeId="2049" r:id="rId10" name="BuscarRutas"/>
      </mc:Fallback>
    </mc:AlternateContent>
    <mc:AlternateContent xmlns:mc="http://schemas.openxmlformats.org/markup-compatibility/2006">
      <mc:Choice Requires="x14">
        <control shapeId="2059" r:id="rId12" name="BuscarPatron">
          <controlPr defaultSize="0" autoLine="0" r:id="rId13">
            <anchor moveWithCells="1">
              <from>
                <xdr:col>9</xdr:col>
                <xdr:colOff>772886</xdr:colOff>
                <xdr:row>11</xdr:row>
                <xdr:rowOff>190500</xdr:rowOff>
              </from>
              <to>
                <xdr:col>11</xdr:col>
                <xdr:colOff>413657</xdr:colOff>
                <xdr:row>13</xdr:row>
                <xdr:rowOff>92529</xdr:rowOff>
              </to>
            </anchor>
          </controlPr>
        </control>
      </mc:Choice>
      <mc:Fallback>
        <control shapeId="2059" r:id="rId12" name="BuscarPatron"/>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tabSelected="1" view="pageBreakPreview" topLeftCell="A106" zoomScale="85" zoomScaleNormal="40" zoomScaleSheetLayoutView="85" zoomScalePageLayoutView="70" workbookViewId="0">
      <selection activeCell="F109" sqref="F109:H109"/>
    </sheetView>
  </sheetViews>
  <sheetFormatPr baseColWidth="10" defaultColWidth="11.4609375" defaultRowHeight="14.6" x14ac:dyDescent="0.4"/>
  <cols>
    <col min="1" max="3" width="14.69140625" style="1" customWidth="1"/>
    <col min="4" max="4" width="20.07421875" style="1" customWidth="1"/>
    <col min="5" max="5" width="18.69140625" style="1" customWidth="1"/>
    <col min="6" max="6" width="19.69140625" style="1" customWidth="1"/>
    <col min="7" max="7" width="19.3046875" style="1" customWidth="1"/>
    <col min="8" max="10" width="14.69140625" style="1" customWidth="1"/>
    <col min="11" max="11" width="20.69140625" style="1" customWidth="1"/>
    <col min="12" max="12" width="18.3046875" style="1" customWidth="1"/>
    <col min="13" max="13" width="14.69140625" style="1" customWidth="1"/>
    <col min="14" max="14" width="21.3046875" style="1" customWidth="1"/>
    <col min="15" max="16384" width="11.4609375" style="1"/>
  </cols>
  <sheetData>
    <row r="1" spans="1:14" ht="47.25" customHeight="1" x14ac:dyDescent="0.4">
      <c r="B1" s="2"/>
      <c r="C1" s="2"/>
      <c r="E1" s="160" t="s">
        <v>0</v>
      </c>
      <c r="F1" s="160"/>
      <c r="G1" s="160"/>
      <c r="H1" s="160"/>
      <c r="I1" s="160"/>
      <c r="J1" s="160"/>
      <c r="K1" s="160"/>
      <c r="L1"/>
      <c r="M1"/>
    </row>
    <row r="2" spans="1:14" ht="90" customHeight="1" thickBot="1" x14ac:dyDescent="0.45">
      <c r="A2" s="3"/>
      <c r="B2" s="3"/>
      <c r="C2" s="3"/>
      <c r="D2" s="4"/>
      <c r="E2" s="161"/>
      <c r="F2" s="161"/>
      <c r="G2" s="161"/>
      <c r="H2" s="161"/>
      <c r="I2" s="161"/>
      <c r="J2" s="161"/>
      <c r="K2" s="161"/>
      <c r="L2" s="5"/>
      <c r="M2" s="5"/>
      <c r="N2" s="6"/>
    </row>
    <row r="3" spans="1:14" ht="60.75" customHeight="1" thickTop="1" thickBot="1" x14ac:dyDescent="0.45">
      <c r="A3" s="162" t="s">
        <v>1</v>
      </c>
      <c r="B3" s="162"/>
      <c r="C3" s="162"/>
      <c r="D3" s="162"/>
      <c r="E3" s="162"/>
      <c r="F3" s="162"/>
      <c r="G3" s="162"/>
      <c r="H3" s="162"/>
      <c r="I3" s="162"/>
      <c r="J3" s="162"/>
      <c r="K3" s="163" t="s">
        <v>2</v>
      </c>
      <c r="L3" s="163"/>
      <c r="M3" s="163"/>
      <c r="N3" s="163"/>
    </row>
    <row r="4" spans="1:14" ht="38.25" customHeight="1" thickBot="1" x14ac:dyDescent="0.45">
      <c r="A4" s="162"/>
      <c r="B4" s="162"/>
      <c r="C4" s="162"/>
      <c r="D4" s="162"/>
      <c r="E4" s="162"/>
      <c r="F4" s="162"/>
      <c r="G4" s="162"/>
      <c r="H4" s="162"/>
      <c r="I4" s="162"/>
      <c r="J4" s="162"/>
      <c r="K4" s="164" t="s">
        <v>3</v>
      </c>
      <c r="L4" s="165"/>
      <c r="M4" s="166" t="s">
        <v>107</v>
      </c>
      <c r="N4" s="167"/>
    </row>
    <row r="5" spans="1:14" ht="37.5" customHeight="1" thickBot="1" x14ac:dyDescent="0.45">
      <c r="A5" s="168" t="s">
        <v>4</v>
      </c>
      <c r="B5" s="168"/>
      <c r="C5" s="168"/>
      <c r="D5" s="168"/>
      <c r="E5" s="168"/>
      <c r="F5" s="168"/>
      <c r="G5" s="168"/>
      <c r="H5" s="168"/>
      <c r="I5" s="168"/>
      <c r="J5" s="168"/>
      <c r="K5" s="7"/>
      <c r="L5" s="7"/>
      <c r="M5" s="169" t="s">
        <v>5</v>
      </c>
      <c r="N5" s="170"/>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146" t="s">
        <v>6</v>
      </c>
      <c r="B7" s="146"/>
      <c r="C7" s="146"/>
      <c r="D7" s="146"/>
      <c r="E7" s="146"/>
      <c r="F7" s="146"/>
      <c r="G7" s="146"/>
      <c r="H7" s="146"/>
      <c r="I7" s="146"/>
      <c r="J7" s="146"/>
      <c r="K7" s="146"/>
      <c r="L7" s="146"/>
      <c r="M7" s="146"/>
      <c r="N7" s="146"/>
    </row>
    <row r="8" spans="1:14" s="13" customFormat="1" ht="57" customHeight="1" thickBot="1" x14ac:dyDescent="0.45">
      <c r="A8" s="147" t="s">
        <v>7</v>
      </c>
      <c r="B8" s="148"/>
      <c r="C8" s="149"/>
      <c r="D8" s="150" t="s">
        <v>103</v>
      </c>
      <c r="E8" s="151"/>
      <c r="F8" s="151"/>
      <c r="G8" s="151"/>
      <c r="H8" s="151"/>
      <c r="I8" s="151"/>
      <c r="J8" s="151"/>
      <c r="K8" s="151"/>
      <c r="L8" s="151"/>
      <c r="M8" s="151"/>
      <c r="N8" s="152"/>
    </row>
    <row r="9" spans="1:14" ht="57" customHeight="1" thickBot="1" x14ac:dyDescent="0.45">
      <c r="A9" s="153" t="s">
        <v>8</v>
      </c>
      <c r="B9" s="154"/>
      <c r="C9" s="155"/>
      <c r="D9" s="156" t="s">
        <v>126</v>
      </c>
      <c r="E9" s="157"/>
      <c r="F9" s="157"/>
      <c r="G9" s="157"/>
      <c r="H9" s="157"/>
      <c r="I9" s="157"/>
      <c r="J9" s="157"/>
      <c r="K9" s="157"/>
      <c r="L9" s="157"/>
      <c r="M9" s="157"/>
      <c r="N9" s="158"/>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159" t="s">
        <v>9</v>
      </c>
      <c r="B11" s="159"/>
      <c r="C11" s="159"/>
      <c r="D11" s="159"/>
      <c r="E11" s="159"/>
      <c r="F11" s="159"/>
      <c r="G11" s="159"/>
      <c r="H11" s="159"/>
      <c r="I11" s="159"/>
      <c r="J11" s="159"/>
      <c r="K11" s="159"/>
      <c r="L11" s="159"/>
      <c r="M11" s="159"/>
      <c r="N11" s="159"/>
    </row>
    <row r="12" spans="1:14" ht="23.15" customHeight="1" x14ac:dyDescent="0.45">
      <c r="A12" s="171" t="s">
        <v>10</v>
      </c>
      <c r="B12" s="172"/>
      <c r="C12" s="172"/>
      <c r="D12" s="191" t="s">
        <v>101</v>
      </c>
      <c r="E12" s="192"/>
      <c r="F12" s="192"/>
      <c r="G12" s="193"/>
      <c r="I12" s="179" t="s">
        <v>11</v>
      </c>
      <c r="J12" s="197"/>
      <c r="K12" s="182" t="s">
        <v>109</v>
      </c>
      <c r="L12" s="182"/>
      <c r="M12" s="182"/>
      <c r="N12" s="183"/>
    </row>
    <row r="13" spans="1:14" ht="23.15" customHeight="1" thickBot="1" x14ac:dyDescent="0.5">
      <c r="A13" s="187" t="s">
        <v>12</v>
      </c>
      <c r="B13" s="188"/>
      <c r="C13" s="188"/>
      <c r="D13" s="194"/>
      <c r="E13" s="195"/>
      <c r="F13" s="195"/>
      <c r="G13" s="196"/>
      <c r="I13" s="189" t="s">
        <v>13</v>
      </c>
      <c r="J13" s="198"/>
      <c r="K13" s="185"/>
      <c r="L13" s="185"/>
      <c r="M13" s="185"/>
      <c r="N13" s="186"/>
    </row>
    <row r="14" spans="1:14" ht="23.15" customHeight="1" x14ac:dyDescent="0.45">
      <c r="A14" s="171" t="s">
        <v>14</v>
      </c>
      <c r="B14" s="172"/>
      <c r="C14" s="172"/>
      <c r="D14" s="173" t="s">
        <v>102</v>
      </c>
      <c r="E14" s="174"/>
      <c r="F14" s="174"/>
      <c r="G14" s="175"/>
      <c r="I14" s="179" t="s">
        <v>15</v>
      </c>
      <c r="J14" s="180"/>
      <c r="K14" s="181" t="s">
        <v>78</v>
      </c>
      <c r="L14" s="182"/>
      <c r="M14" s="182"/>
      <c r="N14" s="183"/>
    </row>
    <row r="15" spans="1:14" ht="23.15" customHeight="1" thickBot="1" x14ac:dyDescent="0.5">
      <c r="A15" s="187" t="s">
        <v>16</v>
      </c>
      <c r="B15" s="188"/>
      <c r="C15" s="188"/>
      <c r="D15" s="176"/>
      <c r="E15" s="177"/>
      <c r="F15" s="177"/>
      <c r="G15" s="178"/>
      <c r="I15" s="189" t="s">
        <v>17</v>
      </c>
      <c r="J15" s="190"/>
      <c r="K15" s="184"/>
      <c r="L15" s="185"/>
      <c r="M15" s="185"/>
      <c r="N15" s="186"/>
    </row>
    <row r="16" spans="1:14" ht="23.15" customHeight="1" x14ac:dyDescent="0.45">
      <c r="A16" s="171" t="s">
        <v>18</v>
      </c>
      <c r="B16" s="172"/>
      <c r="C16" s="172"/>
      <c r="D16" s="173" t="s">
        <v>108</v>
      </c>
      <c r="E16" s="174"/>
      <c r="F16" s="174"/>
      <c r="G16" s="175"/>
      <c r="I16" s="179" t="s">
        <v>19</v>
      </c>
      <c r="J16" s="197"/>
      <c r="K16" s="199" t="s">
        <v>112</v>
      </c>
      <c r="L16" s="182"/>
      <c r="M16" s="182"/>
      <c r="N16" s="183"/>
    </row>
    <row r="17" spans="1:14" ht="23.15" customHeight="1" thickBot="1" x14ac:dyDescent="0.5">
      <c r="A17" s="187" t="s">
        <v>20</v>
      </c>
      <c r="B17" s="188"/>
      <c r="C17" s="188"/>
      <c r="D17" s="176"/>
      <c r="E17" s="177"/>
      <c r="F17" s="177"/>
      <c r="G17" s="178"/>
      <c r="I17" s="189" t="s">
        <v>21</v>
      </c>
      <c r="J17" s="198"/>
      <c r="K17" s="185"/>
      <c r="L17" s="185"/>
      <c r="M17" s="185"/>
      <c r="N17" s="186"/>
    </row>
    <row r="18" spans="1:14" ht="23.15" customHeight="1" x14ac:dyDescent="0.45">
      <c r="A18" s="171" t="s">
        <v>22</v>
      </c>
      <c r="B18" s="172"/>
      <c r="C18" s="172"/>
      <c r="D18" s="173">
        <v>66585981</v>
      </c>
      <c r="E18" s="174"/>
      <c r="F18" s="174"/>
      <c r="G18" s="175"/>
      <c r="I18" s="179" t="s">
        <v>23</v>
      </c>
      <c r="J18" s="197"/>
      <c r="K18" s="199" t="s">
        <v>110</v>
      </c>
      <c r="L18" s="182"/>
      <c r="M18" s="182"/>
      <c r="N18" s="183"/>
    </row>
    <row r="19" spans="1:14" ht="23.15" customHeight="1" thickBot="1" x14ac:dyDescent="0.5">
      <c r="A19" s="187" t="s">
        <v>24</v>
      </c>
      <c r="B19" s="188"/>
      <c r="C19" s="188"/>
      <c r="D19" s="176"/>
      <c r="E19" s="177"/>
      <c r="F19" s="177"/>
      <c r="G19" s="178"/>
      <c r="I19" s="189" t="s">
        <v>25</v>
      </c>
      <c r="J19" s="198"/>
      <c r="K19" s="185"/>
      <c r="L19" s="185"/>
      <c r="M19" s="185"/>
      <c r="N19" s="186"/>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200" t="s">
        <v>26</v>
      </c>
      <c r="B21" s="200"/>
      <c r="C21" s="200"/>
      <c r="D21" s="200"/>
      <c r="E21" s="200"/>
      <c r="F21" s="200"/>
      <c r="G21" s="200"/>
      <c r="H21" s="200"/>
      <c r="I21" s="200"/>
      <c r="J21" s="200"/>
      <c r="K21" s="200"/>
      <c r="L21" s="200"/>
      <c r="M21" s="200"/>
      <c r="N21" s="200"/>
    </row>
    <row r="22" spans="1:14" ht="38.25" customHeight="1" x14ac:dyDescent="0.5">
      <c r="A22" s="201" t="s">
        <v>27</v>
      </c>
      <c r="B22" s="202"/>
      <c r="C22" s="202"/>
      <c r="D22" s="203"/>
      <c r="E22" s="205" t="s">
        <v>98</v>
      </c>
      <c r="F22" s="202"/>
      <c r="G22" s="203"/>
      <c r="H22" s="203"/>
      <c r="I22" s="203"/>
      <c r="J22" s="205" t="s">
        <v>28</v>
      </c>
      <c r="K22" s="202"/>
      <c r="L22" s="202"/>
      <c r="M22" s="206"/>
      <c r="N22" s="207"/>
    </row>
    <row r="23" spans="1:14" ht="38.25" customHeight="1" thickBot="1" x14ac:dyDescent="0.45">
      <c r="A23" s="210" t="s">
        <v>29</v>
      </c>
      <c r="B23" s="211"/>
      <c r="C23" s="211"/>
      <c r="D23" s="204"/>
      <c r="E23" s="212" t="s">
        <v>99</v>
      </c>
      <c r="F23" s="211"/>
      <c r="G23" s="204"/>
      <c r="H23" s="204"/>
      <c r="I23" s="204"/>
      <c r="J23" s="212" t="s">
        <v>30</v>
      </c>
      <c r="K23" s="211"/>
      <c r="L23" s="211"/>
      <c r="M23" s="208"/>
      <c r="N23" s="209"/>
    </row>
    <row r="24" spans="1:14" ht="45" customHeight="1" thickBot="1" x14ac:dyDescent="0.45">
      <c r="A24" s="17"/>
      <c r="B24" s="216"/>
      <c r="C24" s="216"/>
      <c r="D24" s="216"/>
      <c r="E24" s="216"/>
      <c r="F24" s="217"/>
      <c r="G24" s="217"/>
      <c r="H24" s="5"/>
      <c r="I24" s="5"/>
      <c r="J24" s="5"/>
      <c r="K24" s="5"/>
      <c r="L24" s="5"/>
      <c r="M24" s="5"/>
      <c r="N24" s="6"/>
    </row>
    <row r="25" spans="1:14" ht="60" customHeight="1" thickTop="1" x14ac:dyDescent="0.4">
      <c r="A25" s="159" t="s">
        <v>31</v>
      </c>
      <c r="B25" s="159"/>
      <c r="C25" s="159"/>
      <c r="D25" s="159"/>
      <c r="E25" s="159"/>
      <c r="F25" s="159"/>
      <c r="G25" s="159"/>
      <c r="H25" s="159"/>
      <c r="I25" s="159"/>
      <c r="J25" s="159"/>
      <c r="K25" s="159"/>
      <c r="L25" s="159"/>
      <c r="M25" s="159"/>
      <c r="N25" s="159"/>
    </row>
    <row r="26" spans="1:14" ht="29.25" customHeight="1" x14ac:dyDescent="0.5">
      <c r="A26" s="218" t="s">
        <v>32</v>
      </c>
      <c r="B26" s="219"/>
      <c r="C26" s="219"/>
      <c r="D26" s="220"/>
      <c r="E26" s="221" t="s">
        <v>33</v>
      </c>
      <c r="F26" s="219"/>
      <c r="G26" s="219"/>
      <c r="H26" s="219"/>
      <c r="I26" s="219"/>
      <c r="J26" s="218" t="s">
        <v>34</v>
      </c>
      <c r="K26" s="219"/>
      <c r="L26" s="222"/>
      <c r="M26" s="219" t="s">
        <v>35</v>
      </c>
      <c r="N26" s="222"/>
    </row>
    <row r="27" spans="1:14" ht="23.25" customHeight="1" x14ac:dyDescent="0.4">
      <c r="A27" s="213" t="s">
        <v>36</v>
      </c>
      <c r="B27" s="213"/>
      <c r="C27" s="213"/>
      <c r="D27" s="213"/>
      <c r="E27" s="213" t="s">
        <v>37</v>
      </c>
      <c r="F27" s="213"/>
      <c r="G27" s="213"/>
      <c r="H27" s="213"/>
      <c r="I27" s="213"/>
      <c r="J27" s="213" t="s">
        <v>38</v>
      </c>
      <c r="K27" s="213"/>
      <c r="L27" s="213"/>
      <c r="M27" s="213" t="s">
        <v>39</v>
      </c>
      <c r="N27" s="213"/>
    </row>
    <row r="28" spans="1:14" ht="71.25" customHeight="1" x14ac:dyDescent="0.4">
      <c r="A28" s="214"/>
      <c r="B28" s="214"/>
      <c r="C28" s="214"/>
      <c r="D28" s="214"/>
      <c r="E28" s="214"/>
      <c r="F28" s="214"/>
      <c r="G28" s="214"/>
      <c r="H28" s="214"/>
      <c r="I28" s="214"/>
      <c r="J28" s="214"/>
      <c r="K28" s="214"/>
      <c r="L28" s="214"/>
      <c r="M28" s="215"/>
      <c r="N28" s="215"/>
    </row>
    <row r="29" spans="1:14" ht="71.25" customHeight="1" x14ac:dyDescent="0.4">
      <c r="A29" s="223"/>
      <c r="B29" s="223"/>
      <c r="C29" s="223"/>
      <c r="D29" s="223"/>
      <c r="E29" s="223"/>
      <c r="F29" s="223"/>
      <c r="G29" s="223"/>
      <c r="H29" s="223"/>
      <c r="I29" s="223"/>
      <c r="J29" s="223"/>
      <c r="K29" s="223"/>
      <c r="L29" s="223"/>
      <c r="M29" s="224"/>
      <c r="N29" s="224"/>
    </row>
    <row r="30" spans="1:14" ht="71.25" customHeight="1" x14ac:dyDescent="0.4">
      <c r="A30" s="223"/>
      <c r="B30" s="223"/>
      <c r="C30" s="223"/>
      <c r="D30" s="223"/>
      <c r="E30" s="223"/>
      <c r="F30" s="223"/>
      <c r="G30" s="223"/>
      <c r="H30" s="223"/>
      <c r="I30" s="223"/>
      <c r="J30" s="241"/>
      <c r="K30" s="241"/>
      <c r="L30" s="241"/>
      <c r="M30" s="224"/>
      <c r="N30" s="224"/>
    </row>
    <row r="31" spans="1:14" ht="71.25" customHeight="1" x14ac:dyDescent="0.4">
      <c r="A31" s="223"/>
      <c r="B31" s="223"/>
      <c r="C31" s="223"/>
      <c r="D31" s="223"/>
      <c r="E31" s="223"/>
      <c r="F31" s="223"/>
      <c r="G31" s="223"/>
      <c r="H31" s="223"/>
      <c r="I31" s="223"/>
      <c r="J31" s="223"/>
      <c r="K31" s="223"/>
      <c r="L31" s="223"/>
      <c r="M31" s="224"/>
      <c r="N31" s="224"/>
    </row>
    <row r="32" spans="1:14" ht="45" customHeight="1" x14ac:dyDescent="0.4">
      <c r="A32" s="18"/>
      <c r="B32" s="18"/>
      <c r="C32" s="18"/>
      <c r="D32" s="18"/>
      <c r="E32" s="18"/>
      <c r="F32" s="18"/>
      <c r="G32" s="18"/>
      <c r="H32" s="18"/>
      <c r="I32" s="18"/>
      <c r="J32" s="18"/>
      <c r="K32" s="18"/>
      <c r="L32" s="18"/>
      <c r="M32" s="19"/>
      <c r="N32" s="19"/>
    </row>
    <row r="33" spans="1:14" ht="45" customHeight="1" x14ac:dyDescent="0.4">
      <c r="A33" s="18"/>
      <c r="B33" s="18"/>
      <c r="C33" s="18"/>
      <c r="D33" s="18"/>
      <c r="E33" s="18"/>
      <c r="F33" s="18"/>
      <c r="G33" s="18"/>
      <c r="H33" s="18"/>
      <c r="I33" s="18"/>
      <c r="J33" s="18"/>
      <c r="K33" s="18"/>
      <c r="L33" s="18"/>
      <c r="M33" s="19"/>
      <c r="N33" s="19"/>
    </row>
    <row r="34" spans="1:14" ht="45"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4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225" t="s">
        <v>40</v>
      </c>
      <c r="B44" s="226"/>
      <c r="C44" s="226"/>
      <c r="D44" s="229">
        <v>44988</v>
      </c>
      <c r="E44" s="230"/>
      <c r="F44" s="231"/>
      <c r="G44" s="235" t="s">
        <v>41</v>
      </c>
      <c r="H44" s="236"/>
      <c r="I44" s="236"/>
      <c r="J44" s="237"/>
      <c r="K44" s="236" t="s">
        <v>42</v>
      </c>
      <c r="L44" s="236"/>
      <c r="M44" s="236"/>
      <c r="N44" s="237"/>
    </row>
    <row r="45" spans="1:14" s="20" customFormat="1" ht="30" customHeight="1" thickBot="1" x14ac:dyDescent="0.4">
      <c r="A45" s="227"/>
      <c r="B45" s="228"/>
      <c r="C45" s="228"/>
      <c r="D45" s="232"/>
      <c r="E45" s="233"/>
      <c r="F45" s="234"/>
      <c r="G45" s="238" t="s">
        <v>43</v>
      </c>
      <c r="H45" s="239"/>
      <c r="I45" s="239"/>
      <c r="J45" s="240"/>
      <c r="K45" s="239" t="s">
        <v>44</v>
      </c>
      <c r="L45" s="239"/>
      <c r="M45" s="239"/>
      <c r="N45" s="240"/>
    </row>
    <row r="46" spans="1:14" s="20" customFormat="1" ht="30" customHeight="1" x14ac:dyDescent="0.35">
      <c r="A46" s="225" t="s">
        <v>45</v>
      </c>
      <c r="B46" s="226"/>
      <c r="C46" s="226"/>
      <c r="D46" s="229">
        <v>45056</v>
      </c>
      <c r="E46" s="230"/>
      <c r="F46" s="231"/>
      <c r="G46" s="21"/>
      <c r="H46" s="22"/>
      <c r="I46" s="22"/>
      <c r="J46" s="23"/>
      <c r="K46" s="22"/>
      <c r="L46" s="22"/>
      <c r="M46" s="22"/>
      <c r="N46" s="23"/>
    </row>
    <row r="47" spans="1:14" s="20" customFormat="1" ht="30" customHeight="1" thickBot="1" x14ac:dyDescent="0.4">
      <c r="A47" s="227"/>
      <c r="B47" s="228"/>
      <c r="C47" s="228"/>
      <c r="D47" s="250"/>
      <c r="E47" s="251"/>
      <c r="F47" s="252"/>
      <c r="G47" s="24"/>
      <c r="J47" s="25"/>
      <c r="K47" s="26"/>
      <c r="L47" s="26"/>
      <c r="M47" s="26"/>
      <c r="N47" s="25"/>
    </row>
    <row r="48" spans="1:14" s="20" customFormat="1" ht="30" customHeight="1" x14ac:dyDescent="0.5">
      <c r="A48" s="225" t="s">
        <v>46</v>
      </c>
      <c r="B48" s="226"/>
      <c r="C48" s="226"/>
      <c r="D48" s="229">
        <v>45056</v>
      </c>
      <c r="E48" s="230"/>
      <c r="F48" s="231"/>
      <c r="G48" s="27"/>
      <c r="H48" s="28"/>
      <c r="I48" s="29"/>
      <c r="J48" s="30"/>
      <c r="K48" s="28"/>
      <c r="L48" s="29"/>
      <c r="M48" s="29"/>
      <c r="N48" s="30"/>
    </row>
    <row r="49" spans="1:14" s="20" customFormat="1" ht="30" customHeight="1" thickBot="1" x14ac:dyDescent="0.4">
      <c r="A49" s="227"/>
      <c r="B49" s="228"/>
      <c r="C49" s="228"/>
      <c r="D49" s="232"/>
      <c r="E49" s="233"/>
      <c r="F49" s="234"/>
      <c r="G49" s="194"/>
      <c r="H49" s="195"/>
      <c r="I49" s="195"/>
      <c r="J49" s="196"/>
      <c r="K49" s="195"/>
      <c r="L49" s="195"/>
      <c r="M49" s="195"/>
      <c r="N49" s="196"/>
    </row>
    <row r="50" spans="1:14" ht="16.5" customHeight="1" x14ac:dyDescent="0.4">
      <c r="A50" s="242" t="s">
        <v>47</v>
      </c>
      <c r="B50" s="242"/>
      <c r="C50" s="242"/>
      <c r="D50" s="243"/>
      <c r="E50"/>
      <c r="F50"/>
      <c r="G50"/>
      <c r="H50"/>
      <c r="I50"/>
      <c r="J50"/>
      <c r="K50"/>
      <c r="L50"/>
      <c r="M50"/>
    </row>
    <row r="51" spans="1:14" ht="47.25" customHeight="1" x14ac:dyDescent="0.4">
      <c r="C51" s="2"/>
      <c r="E51" s="244" t="s">
        <v>48</v>
      </c>
      <c r="F51" s="244"/>
      <c r="G51" s="244"/>
      <c r="H51" s="244"/>
      <c r="I51" s="244"/>
      <c r="J51" s="244"/>
      <c r="K51" s="244"/>
      <c r="L51"/>
      <c r="M51"/>
    </row>
    <row r="52" spans="1:14" ht="90" customHeight="1" thickBot="1" x14ac:dyDescent="0.45">
      <c r="A52" s="3"/>
      <c r="B52" s="3"/>
      <c r="C52" s="3"/>
      <c r="D52" s="31"/>
      <c r="E52" s="245"/>
      <c r="F52" s="245"/>
      <c r="G52" s="245"/>
      <c r="H52" s="245"/>
      <c r="I52" s="245"/>
      <c r="J52" s="245"/>
      <c r="K52" s="245"/>
      <c r="L52" s="32"/>
      <c r="M52" s="5"/>
      <c r="N52" s="6"/>
    </row>
    <row r="53" spans="1:14" ht="60.75" customHeight="1" thickTop="1" thickBot="1" x14ac:dyDescent="0.45">
      <c r="A53" s="162" t="s">
        <v>1</v>
      </c>
      <c r="B53" s="162"/>
      <c r="C53" s="162"/>
      <c r="D53" s="162"/>
      <c r="E53" s="162"/>
      <c r="F53" s="162"/>
      <c r="G53" s="162"/>
      <c r="H53" s="162"/>
      <c r="I53" s="162"/>
      <c r="J53" s="162"/>
      <c r="K53" s="163" t="s">
        <v>2</v>
      </c>
      <c r="L53" s="163"/>
      <c r="M53" s="163"/>
      <c r="N53" s="163"/>
    </row>
    <row r="54" spans="1:14" ht="38.25" customHeight="1" thickBot="1" x14ac:dyDescent="0.45">
      <c r="A54" s="162"/>
      <c r="B54" s="162"/>
      <c r="C54" s="162"/>
      <c r="D54" s="162"/>
      <c r="E54" s="162"/>
      <c r="F54" s="162"/>
      <c r="G54" s="162"/>
      <c r="H54" s="162"/>
      <c r="I54" s="162"/>
      <c r="J54" s="162"/>
      <c r="K54" s="246" t="s">
        <v>49</v>
      </c>
      <c r="L54" s="247"/>
      <c r="M54" s="248"/>
      <c r="N54" s="249"/>
    </row>
    <row r="55" spans="1:14" ht="37.5" customHeight="1" thickBot="1" x14ac:dyDescent="0.45">
      <c r="A55" s="168" t="s">
        <v>4</v>
      </c>
      <c r="B55" s="168"/>
      <c r="C55" s="168"/>
      <c r="D55" s="168"/>
      <c r="E55" s="168"/>
      <c r="F55" s="168"/>
      <c r="G55" s="168"/>
      <c r="H55" s="168"/>
      <c r="I55" s="168"/>
      <c r="J55" s="168"/>
      <c r="K55" s="33"/>
      <c r="L55" s="33"/>
      <c r="M55" s="259" t="s">
        <v>50</v>
      </c>
      <c r="N55" s="260"/>
    </row>
    <row r="56" spans="1:14" ht="13.5" customHeight="1" x14ac:dyDescent="0.4">
      <c r="A56" s="34"/>
      <c r="B56" s="35"/>
      <c r="C56"/>
      <c r="D56"/>
      <c r="E56"/>
      <c r="F56"/>
      <c r="G56"/>
      <c r="H56"/>
      <c r="I56" s="36"/>
      <c r="J56"/>
      <c r="K56"/>
      <c r="L56" s="37"/>
      <c r="M56" s="37"/>
    </row>
    <row r="57" spans="1:14" ht="15" customHeight="1" thickBot="1" x14ac:dyDescent="0.45">
      <c r="A57" s="38"/>
      <c r="B57" s="5"/>
      <c r="C57" s="5"/>
      <c r="D57" s="5"/>
      <c r="E57" s="5"/>
      <c r="F57" s="5"/>
      <c r="G57" s="5"/>
      <c r="H57" s="5"/>
      <c r="I57" s="5"/>
      <c r="J57" s="5"/>
      <c r="K57" s="5"/>
      <c r="L57" s="5"/>
      <c r="M57" s="5"/>
      <c r="N57" s="6"/>
    </row>
    <row r="58" spans="1:14" ht="39.75" customHeight="1" thickTop="1" x14ac:dyDescent="0.4">
      <c r="A58" s="261" t="s">
        <v>51</v>
      </c>
      <c r="B58" s="261"/>
      <c r="C58" s="261"/>
      <c r="D58" s="261"/>
      <c r="E58" s="261"/>
      <c r="F58" s="261"/>
      <c r="G58" s="261"/>
      <c r="H58" s="261"/>
      <c r="I58" s="261"/>
      <c r="J58" s="261"/>
      <c r="K58" s="261"/>
      <c r="L58" s="261"/>
      <c r="M58" s="261"/>
      <c r="N58" s="261"/>
    </row>
    <row r="59" spans="1:14" ht="24" customHeight="1" x14ac:dyDescent="0.4">
      <c r="A59" s="262" t="s">
        <v>52</v>
      </c>
      <c r="B59" s="262"/>
      <c r="C59" s="262"/>
      <c r="D59" s="262"/>
      <c r="E59" s="262"/>
      <c r="F59" s="262"/>
      <c r="G59" s="262"/>
      <c r="H59" s="262"/>
      <c r="I59" s="262"/>
      <c r="J59" s="262"/>
      <c r="K59" s="262"/>
      <c r="L59" s="262"/>
      <c r="M59" s="262"/>
      <c r="N59" s="262"/>
    </row>
    <row r="60" spans="1:14" ht="23.25" customHeight="1" x14ac:dyDescent="0.4">
      <c r="A60" s="263" t="s">
        <v>53</v>
      </c>
      <c r="B60" s="263"/>
      <c r="C60" s="263"/>
      <c r="D60" s="263"/>
      <c r="E60" s="263"/>
      <c r="F60" s="263"/>
      <c r="G60" s="263"/>
      <c r="H60" s="263"/>
      <c r="I60" s="263"/>
      <c r="J60" s="263"/>
      <c r="K60" s="263"/>
      <c r="L60" s="263"/>
      <c r="M60" s="263"/>
      <c r="N60" s="263"/>
    </row>
    <row r="61" spans="1:14" ht="24" hidden="1" customHeight="1" x14ac:dyDescent="0.4">
      <c r="A61" s="39"/>
      <c r="B61" s="39"/>
      <c r="C61" s="39"/>
      <c r="D61" s="39"/>
      <c r="E61" s="39"/>
      <c r="F61" s="39"/>
      <c r="G61" s="39"/>
      <c r="H61" s="39"/>
      <c r="I61" s="39"/>
      <c r="J61" s="39"/>
      <c r="K61" s="39"/>
      <c r="L61" s="39"/>
      <c r="M61" s="39"/>
    </row>
    <row r="62" spans="1:14" ht="24" hidden="1" customHeight="1" x14ac:dyDescent="0.4">
      <c r="A62" s="39"/>
      <c r="B62" s="264" t="s">
        <v>54</v>
      </c>
      <c r="C62" s="40" t="e">
        <f xml:space="preserve"> IF(#REF!=1,#REF!* 25.4,#REF!)</f>
        <v>#REF!</v>
      </c>
      <c r="D62" s="40" t="e">
        <f xml:space="preserve"> IF(#REF!=1,#REF!* 25.4,#REF!)</f>
        <v>#REF!</v>
      </c>
      <c r="E62" s="40" t="e">
        <f xml:space="preserve"> IF(#REF!=1,#REF!* 25.4,#REF!)</f>
        <v>#REF!</v>
      </c>
      <c r="F62" s="40" t="e">
        <f xml:space="preserve"> IF(#REF!=1,#REF!* 25.4,#REF!)</f>
        <v>#REF!</v>
      </c>
      <c r="G62" s="40" t="e">
        <f xml:space="preserve"> IF(#REF!=1,#REF!* 25.4,#REF!)</f>
        <v>#REF!</v>
      </c>
      <c r="H62" s="41" t="e">
        <f xml:space="preserve"> IF(#REF!=1,#REF!* 25.4,#REF!)</f>
        <v>#REF!</v>
      </c>
      <c r="I62" s="42"/>
      <c r="J62" s="39"/>
      <c r="K62" s="39"/>
      <c r="L62" s="39"/>
      <c r="M62" s="39"/>
    </row>
    <row r="63" spans="1:14" ht="24" hidden="1" customHeight="1" x14ac:dyDescent="0.4">
      <c r="A63" s="39"/>
      <c r="B63" s="265"/>
      <c r="C63" s="43" t="e">
        <f>IF(#REF!=1,#REF!,#REF!/ 25.4)</f>
        <v>#REF!</v>
      </c>
      <c r="D63" s="44" t="e">
        <f>IF(#REF!=1,#REF!,#REF!/ 25.4)</f>
        <v>#REF!</v>
      </c>
      <c r="E63" s="44" t="e">
        <f>IF(#REF!=1,#REF!,#REF!/ 25.4)</f>
        <v>#REF!</v>
      </c>
      <c r="F63" s="44" t="e">
        <f>IF(#REF!=1,#REF!,#REF!/ 25.4)</f>
        <v>#REF!</v>
      </c>
      <c r="G63" s="44" t="e">
        <f>IF(#REF!=1,#REF!,#REF!/ 25.4)</f>
        <v>#REF!</v>
      </c>
      <c r="H63" s="45" t="e">
        <f>IF(#REF!=1,#REF!,#REF!/ 25.4)</f>
        <v>#REF!</v>
      </c>
      <c r="I63" s="46"/>
      <c r="J63" s="39"/>
      <c r="K63" s="39"/>
      <c r="L63" s="39"/>
      <c r="M63" s="39"/>
    </row>
    <row r="64" spans="1:14" s="13" customFormat="1" ht="24" hidden="1" customHeight="1" x14ac:dyDescent="0.4">
      <c r="A64" s="253"/>
      <c r="B64" s="254" t="s">
        <v>55</v>
      </c>
      <c r="C64" s="47" t="e">
        <f xml:space="preserve"> IF(#REF!=1,#REF!* 25.4,#REF!)</f>
        <v>#REF!</v>
      </c>
      <c r="D64" s="47" t="e">
        <f xml:space="preserve"> IF(#REF!=1,#REF!* 25.4,#REF!)</f>
        <v>#REF!</v>
      </c>
      <c r="E64" s="47" t="e">
        <f xml:space="preserve"> IF(#REF!=1,#REF!* 25.4,#REF!)</f>
        <v>#REF!</v>
      </c>
      <c r="F64" s="47" t="e">
        <f xml:space="preserve"> IF(#REF!=1,#REF!* 25.4,#REF!)</f>
        <v>#REF!</v>
      </c>
      <c r="G64" s="47" t="e">
        <f xml:space="preserve"> IF(#REF!=1,#REF!* 25.4,#REF!)</f>
        <v>#REF!</v>
      </c>
      <c r="H64" s="48" t="e">
        <f xml:space="preserve"> IF(#REF!=1,#REF!* 25.4,#REF!)</f>
        <v>#REF!</v>
      </c>
      <c r="I64" s="49"/>
      <c r="J64" s="50"/>
      <c r="K64" s="50"/>
      <c r="L64" s="50"/>
      <c r="M64" s="50"/>
    </row>
    <row r="65" spans="1:14" s="13" customFormat="1" ht="24" hidden="1" customHeight="1" x14ac:dyDescent="0.4">
      <c r="A65" s="253"/>
      <c r="B65" s="255"/>
      <c r="C65" s="51" t="e">
        <f>IF(#REF!=1,#REF!,#REF!/ 25.4)</f>
        <v>#REF!</v>
      </c>
      <c r="D65" s="51" t="e">
        <f>IF(#REF!=1,#REF!,#REF!/ 25.4)</f>
        <v>#REF!</v>
      </c>
      <c r="E65" s="51" t="e">
        <f>IF(#REF!=1,#REF!,#REF!/ 25.4)</f>
        <v>#REF!</v>
      </c>
      <c r="F65" s="51" t="e">
        <f>IF(#REF!=1,#REF!,#REF!/ 25.4)</f>
        <v>#REF!</v>
      </c>
      <c r="G65" s="51" t="e">
        <f>IF(#REF!=1,#REF!,#REF!/ 25.4)</f>
        <v>#REF!</v>
      </c>
      <c r="H65" s="52" t="e">
        <f>IF(#REF!=1,#REF!,#REF!/ 25.4)</f>
        <v>#REF!</v>
      </c>
      <c r="I65" s="53"/>
      <c r="J65" s="54"/>
      <c r="K65" s="54"/>
      <c r="L65" s="54"/>
      <c r="M65" s="54"/>
    </row>
    <row r="66" spans="1:14" s="13" customFormat="1" ht="24" hidden="1" customHeight="1" x14ac:dyDescent="0.4">
      <c r="A66" s="253"/>
      <c r="B66" s="55"/>
      <c r="C66" s="49"/>
      <c r="D66" s="49"/>
      <c r="E66" s="49"/>
      <c r="F66" s="49"/>
      <c r="G66" s="49"/>
      <c r="H66" s="49"/>
      <c r="I66" s="49"/>
      <c r="J66" s="49"/>
      <c r="K66" s="49"/>
      <c r="L66" s="49"/>
      <c r="M66" s="49"/>
    </row>
    <row r="67" spans="1:14" s="13" customFormat="1" ht="24" hidden="1" customHeight="1" x14ac:dyDescent="0.4">
      <c r="A67" s="253"/>
      <c r="B67" s="256" t="s">
        <v>54</v>
      </c>
      <c r="C67" s="40" t="e">
        <f xml:space="preserve"> IF(#REF!=1,#REF!* 25.4,#REF!)</f>
        <v>#REF!</v>
      </c>
      <c r="D67" s="40" t="e">
        <f xml:space="preserve"> IF(#REF!=1,#REF!* 25.4,#REF!)</f>
        <v>#REF!</v>
      </c>
      <c r="E67" s="40" t="e">
        <f xml:space="preserve"> IF(#REF!=1,#REF!* 25.4,#REF!)</f>
        <v>#REF!</v>
      </c>
      <c r="F67" s="41" t="e">
        <f xml:space="preserve"> IF(#REF!=1,#REF!* 25.4,#REF!)</f>
        <v>#REF!</v>
      </c>
      <c r="G67" s="56" t="e">
        <f xml:space="preserve"> IF(#REF!=1,#REF!* 25.4,#REF!)</f>
        <v>#REF!</v>
      </c>
      <c r="H67" s="49"/>
      <c r="I67" s="49"/>
      <c r="J67" s="49"/>
      <c r="K67" s="49"/>
      <c r="L67" s="49"/>
      <c r="M67" s="49"/>
    </row>
    <row r="68" spans="1:14" s="13" customFormat="1" ht="24" hidden="1" customHeight="1" x14ac:dyDescent="0.4">
      <c r="A68" s="253"/>
      <c r="B68" s="257"/>
      <c r="C68" s="44" t="e">
        <f>IF(#REF!=1,#REF!,#REF!/ 25.4)</f>
        <v>#REF!</v>
      </c>
      <c r="D68" s="44" t="e">
        <f>IF(#REF!=1,#REF!,#REF!/ 25.4)</f>
        <v>#REF!</v>
      </c>
      <c r="E68" s="44" t="e">
        <f>IF(#REF!=1,#REF!,#REF!/ 25.4)</f>
        <v>#REF!</v>
      </c>
      <c r="F68" s="57" t="e">
        <f>IF(#REF!=1,#REF!,#REF!/ 25.4)</f>
        <v>#REF!</v>
      </c>
      <c r="G68" s="45" t="e">
        <f>IF(#REF!=1,#REF!,#REF!/ 25.4)</f>
        <v>#REF!</v>
      </c>
      <c r="H68" s="49"/>
      <c r="I68" s="49"/>
      <c r="J68" s="49"/>
      <c r="K68" s="49"/>
      <c r="L68" s="49"/>
      <c r="M68" s="49"/>
    </row>
    <row r="69" spans="1:14" s="13" customFormat="1" ht="24" hidden="1" customHeight="1" x14ac:dyDescent="0.4">
      <c r="A69" s="253"/>
      <c r="B69" s="254" t="s">
        <v>55</v>
      </c>
      <c r="C69" s="47" t="e">
        <f xml:space="preserve"> IF(#REF!=1,#REF!* 25.4,#REF!)</f>
        <v>#REF!</v>
      </c>
      <c r="D69" s="47" t="e">
        <f xml:space="preserve"> IF(#REF!=1,#REF!* 25.4,#REF!)</f>
        <v>#REF!</v>
      </c>
      <c r="E69" s="47" t="e">
        <f xml:space="preserve"> IF(#REF!=1,#REF!* 25.4,#REF!)</f>
        <v>#REF!</v>
      </c>
      <c r="F69" s="47" t="e">
        <f xml:space="preserve"> IF(#REF!=1,#REF!* 25.4,#REF!)</f>
        <v>#REF!</v>
      </c>
      <c r="G69" s="48" t="e">
        <f xml:space="preserve"> IF(#REF!=1,#REF!* 25.4,#REF!)</f>
        <v>#REF!</v>
      </c>
      <c r="H69" s="49"/>
      <c r="I69" s="49"/>
      <c r="J69" s="49"/>
      <c r="K69" s="49"/>
      <c r="L69" s="49"/>
      <c r="M69" s="49"/>
    </row>
    <row r="70" spans="1:14" s="13" customFormat="1" ht="24" hidden="1" customHeight="1" x14ac:dyDescent="0.4">
      <c r="A70" s="253"/>
      <c r="B70" s="255"/>
      <c r="C70" s="51" t="e">
        <f>IF(#REF!=1,#REF!,#REF!/ 25.4)</f>
        <v>#REF!</v>
      </c>
      <c r="D70" s="51" t="e">
        <f>IF(#REF!=1,#REF!,#REF!/ 25.4)</f>
        <v>#REF!</v>
      </c>
      <c r="E70" s="51" t="e">
        <f>IF(#REF!=1,#REF!,#REF!/ 25.4)</f>
        <v>#REF!</v>
      </c>
      <c r="F70" s="52" t="e">
        <f>IF(#REF!=1,#REF!,#REF!/ 25.4)</f>
        <v>#REF!</v>
      </c>
      <c r="G70" s="58" t="e">
        <f>IF(#REF!=1,#REF!,#REF!/ 25.4)</f>
        <v>#REF!</v>
      </c>
      <c r="H70" s="49"/>
      <c r="I70" s="49"/>
      <c r="J70" s="49"/>
      <c r="K70" s="49"/>
      <c r="L70" s="49"/>
      <c r="M70" s="49"/>
    </row>
    <row r="71" spans="1:14" s="13" customFormat="1" ht="24" hidden="1" customHeight="1" x14ac:dyDescent="0.4">
      <c r="A71" s="253"/>
      <c r="B71" s="54"/>
      <c r="C71" s="54"/>
      <c r="D71" s="54"/>
      <c r="E71" s="54"/>
      <c r="F71" s="54"/>
      <c r="G71" s="54"/>
      <c r="H71" s="54"/>
      <c r="I71" s="54"/>
      <c r="J71" s="54"/>
      <c r="K71" s="54"/>
      <c r="L71" s="54"/>
      <c r="M71" s="54"/>
    </row>
    <row r="72" spans="1:14" ht="24" hidden="1" customHeight="1" x14ac:dyDescent="0.4">
      <c r="A72" s="39"/>
      <c r="B72" s="39"/>
      <c r="C72" s="46"/>
      <c r="D72" s="59"/>
      <c r="E72" s="59"/>
      <c r="F72" s="59"/>
      <c r="G72" s="59"/>
      <c r="H72" s="59"/>
      <c r="I72" s="59"/>
      <c r="J72" s="39"/>
      <c r="K72" s="39"/>
      <c r="L72" s="39"/>
      <c r="M72" s="39"/>
    </row>
    <row r="73" spans="1:14" ht="24" hidden="1" customHeight="1" x14ac:dyDescent="0.4">
      <c r="A73" s="258"/>
      <c r="B73" s="258"/>
      <c r="C73" s="258"/>
      <c r="D73" s="60" t="s">
        <v>56</v>
      </c>
      <c r="E73" s="60" t="s">
        <v>57</v>
      </c>
      <c r="F73" s="59"/>
      <c r="G73" s="59"/>
      <c r="H73" s="59"/>
      <c r="I73" s="59"/>
      <c r="J73" s="39"/>
      <c r="K73" s="39"/>
      <c r="L73" s="39"/>
      <c r="M73" s="39"/>
    </row>
    <row r="74" spans="1:14" ht="24" hidden="1" customHeight="1" x14ac:dyDescent="0.4">
      <c r="A74" s="274" t="s">
        <v>58</v>
      </c>
      <c r="B74" s="274"/>
      <c r="C74" s="274"/>
      <c r="D74" s="61" t="e">
        <f>MAX(#REF!)</f>
        <v>#REF!</v>
      </c>
      <c r="E74" s="62" t="e">
        <f>D74/25400</f>
        <v>#REF!</v>
      </c>
      <c r="G74" s="275" t="s">
        <v>59</v>
      </c>
      <c r="H74" s="276"/>
      <c r="I74" s="63" t="e">
        <f>#REF!*9.81/1000</f>
        <v>#REF!</v>
      </c>
    </row>
    <row r="75" spans="1:14" ht="6" hidden="1" customHeight="1" x14ac:dyDescent="0.4">
      <c r="A75" s="274" t="s">
        <v>60</v>
      </c>
      <c r="B75" s="274"/>
      <c r="C75" s="274"/>
      <c r="D75" s="61" t="e">
        <f>MAX(#REF!,#REF!)</f>
        <v>#REF!</v>
      </c>
      <c r="E75" s="62" t="e">
        <f>D75/25400</f>
        <v>#REF!</v>
      </c>
    </row>
    <row r="76" spans="1:14" ht="6" customHeight="1" x14ac:dyDescent="0.4">
      <c r="A76" s="39"/>
      <c r="B76" s="39"/>
      <c r="C76" s="39"/>
      <c r="D76" s="39"/>
      <c r="E76" s="39"/>
      <c r="F76" s="39"/>
      <c r="G76" s="39"/>
      <c r="H76" s="39"/>
      <c r="I76" s="39"/>
      <c r="J76" s="39"/>
      <c r="K76" s="39"/>
      <c r="L76" s="39"/>
      <c r="M76" s="39"/>
    </row>
    <row r="77" spans="1:14" customFormat="1" ht="6" customHeight="1" thickBot="1" x14ac:dyDescent="0.45">
      <c r="A77" s="277"/>
      <c r="B77" s="277"/>
      <c r="C77" s="277"/>
      <c r="D77" s="277"/>
      <c r="E77" s="277"/>
      <c r="F77" s="277"/>
      <c r="G77" s="277"/>
      <c r="H77" s="277"/>
      <c r="I77" s="277"/>
      <c r="J77" s="277"/>
      <c r="K77" s="277"/>
      <c r="L77" s="277"/>
      <c r="M77" s="64"/>
      <c r="N77" s="5"/>
    </row>
    <row r="78" spans="1:14" ht="60" customHeight="1" thickTop="1" thickBot="1" x14ac:dyDescent="0.45">
      <c r="A78" s="146" t="s">
        <v>61</v>
      </c>
      <c r="B78" s="146"/>
      <c r="C78" s="146"/>
      <c r="D78" s="146"/>
      <c r="E78" s="146"/>
      <c r="F78" s="146"/>
      <c r="G78" s="146"/>
      <c r="H78" s="146"/>
      <c r="I78" s="146"/>
      <c r="J78" s="146"/>
      <c r="K78" s="146"/>
      <c r="L78" s="146"/>
      <c r="M78" s="146"/>
      <c r="N78" s="146"/>
    </row>
    <row r="79" spans="1:14" ht="4.5" customHeight="1" x14ac:dyDescent="0.4">
      <c r="A79" s="65"/>
    </row>
    <row r="80" spans="1:14" ht="17.25" customHeight="1" thickBot="1" x14ac:dyDescent="0.55000000000000004">
      <c r="A80" s="66"/>
      <c r="B80" s="29"/>
      <c r="C80" s="29"/>
      <c r="D80" s="29"/>
      <c r="E80" s="29"/>
      <c r="F80" s="29"/>
      <c r="G80" s="29"/>
      <c r="H80" s="29"/>
      <c r="I80"/>
      <c r="J80"/>
      <c r="K80"/>
      <c r="L80"/>
      <c r="M80"/>
    </row>
    <row r="81" spans="1:14" ht="45" customHeight="1" x14ac:dyDescent="0.4">
      <c r="A81" s="284" t="s">
        <v>105</v>
      </c>
      <c r="B81" s="285"/>
      <c r="C81" s="300" t="s">
        <v>114</v>
      </c>
      <c r="D81" s="300" t="s">
        <v>115</v>
      </c>
      <c r="E81" s="300" t="s">
        <v>116</v>
      </c>
      <c r="F81" s="300" t="s">
        <v>117</v>
      </c>
      <c r="G81" s="300" t="s">
        <v>118</v>
      </c>
      <c r="H81" s="300" t="s">
        <v>119</v>
      </c>
      <c r="I81" s="300" t="s">
        <v>120</v>
      </c>
      <c r="J81" s="300" t="s">
        <v>121</v>
      </c>
      <c r="K81" s="300" t="s">
        <v>122</v>
      </c>
      <c r="L81" s="301" t="s">
        <v>123</v>
      </c>
      <c r="M81" s="302" t="s">
        <v>124</v>
      </c>
      <c r="N81"/>
    </row>
    <row r="82" spans="1:14" ht="45" customHeight="1" thickBot="1" x14ac:dyDescent="0.45">
      <c r="A82" s="286" t="s">
        <v>106</v>
      </c>
      <c r="B82" s="287"/>
      <c r="C82" s="304" t="s">
        <v>114</v>
      </c>
      <c r="D82" s="304" t="s">
        <v>114</v>
      </c>
      <c r="E82" s="304" t="s">
        <v>114</v>
      </c>
      <c r="F82" s="304" t="s">
        <v>114</v>
      </c>
      <c r="G82" s="304" t="s">
        <v>114</v>
      </c>
      <c r="H82" s="304" t="s">
        <v>125</v>
      </c>
      <c r="I82" s="304" t="s">
        <v>114</v>
      </c>
      <c r="J82" s="304" t="s">
        <v>114</v>
      </c>
      <c r="K82" s="304" t="s">
        <v>114</v>
      </c>
      <c r="L82" s="305" t="s">
        <v>114</v>
      </c>
      <c r="M82" s="306" t="s">
        <v>114</v>
      </c>
      <c r="N82"/>
    </row>
    <row r="83" spans="1:14" ht="15" customHeight="1" x14ac:dyDescent="0.5">
      <c r="A83" s="67"/>
      <c r="B83" s="67"/>
      <c r="C83" s="68"/>
      <c r="D83" s="69"/>
      <c r="E83" s="69"/>
      <c r="F83" s="69"/>
      <c r="G83" s="69"/>
      <c r="H83" s="69"/>
      <c r="I83" s="70"/>
      <c r="J83" s="29"/>
      <c r="K83" s="29"/>
      <c r="L83" s="122"/>
      <c r="M83" s="29"/>
    </row>
    <row r="84" spans="1:14" ht="15" customHeight="1" x14ac:dyDescent="0.5">
      <c r="A84" s="67"/>
      <c r="B84" s="67"/>
      <c r="C84" s="68"/>
      <c r="D84" s="69"/>
      <c r="E84" s="69"/>
      <c r="F84" s="69"/>
      <c r="G84" s="69"/>
      <c r="H84" s="69"/>
      <c r="I84" s="70"/>
      <c r="J84" s="29"/>
      <c r="K84" s="29"/>
      <c r="L84" s="29"/>
      <c r="M84" s="29"/>
    </row>
    <row r="85" spans="1:14" ht="15" customHeight="1" x14ac:dyDescent="0.5">
      <c r="A85" s="67"/>
      <c r="B85" s="67"/>
      <c r="C85" s="68"/>
      <c r="D85" s="69"/>
      <c r="E85" s="69"/>
      <c r="F85" s="69"/>
      <c r="G85" s="69"/>
      <c r="H85" s="69"/>
      <c r="I85" s="70"/>
      <c r="J85" s="29"/>
      <c r="K85" s="29"/>
      <c r="L85" s="29"/>
      <c r="M85" s="29"/>
    </row>
    <row r="86" spans="1:14" ht="20.25" customHeight="1" x14ac:dyDescent="0.5">
      <c r="A86" s="67"/>
      <c r="B86" s="67"/>
      <c r="C86" s="68"/>
      <c r="D86" s="69"/>
      <c r="E86" s="69"/>
      <c r="F86" s="69"/>
      <c r="G86" s="69"/>
      <c r="H86" s="69"/>
      <c r="I86" s="70"/>
      <c r="J86" s="29"/>
      <c r="K86" s="29"/>
      <c r="L86" s="29"/>
      <c r="M86" s="29"/>
    </row>
    <row r="87" spans="1:14" ht="18.899999999999999" thickBot="1" x14ac:dyDescent="0.55000000000000004">
      <c r="A87" s="71"/>
      <c r="B87" s="72"/>
      <c r="C87"/>
      <c r="I87" s="70"/>
      <c r="J87" s="29"/>
      <c r="K87" s="29"/>
      <c r="L87" s="29"/>
      <c r="M87" s="29"/>
    </row>
    <row r="88" spans="1:14" ht="28.5" customHeight="1" thickBot="1" x14ac:dyDescent="0.55000000000000004">
      <c r="E88" s="73" t="s">
        <v>62</v>
      </c>
      <c r="J88" s="29"/>
      <c r="K88" s="29"/>
      <c r="L88" s="29"/>
      <c r="M88" s="29"/>
    </row>
    <row r="89" spans="1:14" ht="39.75" customHeight="1" thickBot="1" x14ac:dyDescent="0.55000000000000004">
      <c r="A89" s="278" t="s">
        <v>63</v>
      </c>
      <c r="B89" s="279"/>
      <c r="C89" s="279"/>
      <c r="D89" s="280"/>
      <c r="E89" s="74"/>
      <c r="F89" s="75"/>
      <c r="G89" s="75"/>
      <c r="H89" s="281" t="s">
        <v>64</v>
      </c>
      <c r="I89" s="282"/>
      <c r="J89" s="283"/>
      <c r="K89" s="76"/>
      <c r="L89" s="29"/>
    </row>
    <row r="90" spans="1:14" ht="27" customHeight="1" thickBot="1" x14ac:dyDescent="0.55000000000000004">
      <c r="A90" s="266" t="s">
        <v>65</v>
      </c>
      <c r="B90" s="267"/>
      <c r="C90" s="267"/>
      <c r="D90" s="268"/>
      <c r="E90" s="77"/>
      <c r="F90" s="75"/>
      <c r="G90" s="75"/>
      <c r="L90" s="29"/>
    </row>
    <row r="91" spans="1:14" ht="9" customHeight="1" x14ac:dyDescent="0.5">
      <c r="A91" s="269"/>
      <c r="B91" s="269"/>
      <c r="C91" s="269"/>
      <c r="F91" s="75"/>
      <c r="G91" s="75"/>
      <c r="H91" s="75"/>
      <c r="I91" s="75"/>
      <c r="J91" s="78"/>
      <c r="K91" s="78"/>
      <c r="L91" s="29"/>
      <c r="M91" s="29"/>
    </row>
    <row r="92" spans="1:14" ht="3.75" hidden="1" customHeight="1" x14ac:dyDescent="0.5">
      <c r="F92" s="29"/>
      <c r="J92" s="29"/>
      <c r="K92" s="29"/>
      <c r="L92" s="29"/>
      <c r="M92" s="29"/>
    </row>
    <row r="93" spans="1:14" ht="3.75" customHeight="1" x14ac:dyDescent="0.5">
      <c r="F93" s="29"/>
      <c r="J93" s="29"/>
      <c r="K93" s="29"/>
      <c r="L93" s="29"/>
      <c r="M93" s="29"/>
    </row>
    <row r="94" spans="1:14" ht="3.75" customHeight="1" x14ac:dyDescent="0.5">
      <c r="F94" s="29"/>
      <c r="J94" s="29"/>
      <c r="K94" s="29"/>
      <c r="L94" s="29"/>
      <c r="M94" s="29"/>
    </row>
    <row r="95" spans="1:14" ht="19.5" customHeight="1" x14ac:dyDescent="0.5">
      <c r="F95" s="29"/>
      <c r="J95" s="29"/>
      <c r="K95" s="29"/>
      <c r="L95" s="29"/>
      <c r="M95" s="29"/>
    </row>
    <row r="96" spans="1:14" ht="19.5" customHeight="1" x14ac:dyDescent="0.5">
      <c r="F96" s="29"/>
      <c r="J96" s="29"/>
      <c r="K96" s="29"/>
      <c r="L96" s="29"/>
      <c r="M96" s="29"/>
    </row>
    <row r="97" spans="1:16" ht="3.75" customHeight="1" x14ac:dyDescent="0.5">
      <c r="F97" s="29"/>
      <c r="J97" s="29"/>
      <c r="K97" s="29"/>
      <c r="L97" s="29"/>
      <c r="M97" s="29"/>
    </row>
    <row r="98" spans="1:16" ht="17.25" customHeight="1" x14ac:dyDescent="0.5">
      <c r="A98" s="66"/>
      <c r="B98" s="29"/>
      <c r="C98" s="29"/>
      <c r="D98" s="29"/>
      <c r="E98" s="29"/>
      <c r="F98" s="29"/>
      <c r="G98" s="29"/>
      <c r="H98" s="29"/>
      <c r="I98" s="29"/>
      <c r="J98" s="29"/>
      <c r="K98" s="29"/>
      <c r="L98" s="29"/>
      <c r="M98" s="29"/>
    </row>
    <row r="99" spans="1:16" ht="39" customHeight="1" x14ac:dyDescent="0.5">
      <c r="A99" s="270" t="s">
        <v>66</v>
      </c>
      <c r="B99" s="271"/>
      <c r="C99" s="272"/>
      <c r="D99" s="272"/>
      <c r="E99" s="272"/>
      <c r="F99" s="273"/>
      <c r="G99" s="273"/>
      <c r="H99" s="273"/>
      <c r="I99" s="273"/>
      <c r="J99" s="29"/>
      <c r="K99" s="29"/>
      <c r="L99" s="29"/>
      <c r="M99" s="29"/>
    </row>
    <row r="100" spans="1:16" ht="17.25" customHeight="1" thickBot="1" x14ac:dyDescent="0.55000000000000004">
      <c r="A100" s="79"/>
      <c r="B100" s="80"/>
      <c r="C100" s="80"/>
      <c r="D100" s="80"/>
      <c r="E100" s="80"/>
      <c r="F100" s="80"/>
      <c r="G100" s="80"/>
      <c r="H100" s="80"/>
      <c r="I100" s="80"/>
      <c r="J100" s="80"/>
      <c r="K100" s="80"/>
      <c r="L100" s="80"/>
      <c r="M100" s="80"/>
      <c r="N100" s="6"/>
    </row>
    <row r="101" spans="1:16" ht="60" customHeight="1" thickTop="1" thickBot="1" x14ac:dyDescent="0.45">
      <c r="A101" s="146" t="s">
        <v>67</v>
      </c>
      <c r="B101" s="146"/>
      <c r="C101" s="146"/>
      <c r="D101" s="146"/>
      <c r="E101" s="146"/>
      <c r="F101" s="146"/>
      <c r="G101" s="146"/>
      <c r="H101" s="146"/>
      <c r="I101" s="146"/>
      <c r="J101" s="146"/>
      <c r="K101" s="146"/>
      <c r="L101" s="146"/>
      <c r="M101" s="146"/>
      <c r="N101" s="146"/>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93" t="s">
        <v>68</v>
      </c>
      <c r="D103" s="293"/>
      <c r="E103" s="293"/>
      <c r="F103" s="82"/>
      <c r="G103" s="83"/>
      <c r="I103" s="294" t="s">
        <v>69</v>
      </c>
      <c r="J103" s="294"/>
      <c r="K103" s="82"/>
      <c r="L103" s="83"/>
      <c r="M103" s="84"/>
    </row>
    <row r="104" spans="1:16" ht="19.5" customHeight="1" thickBot="1" x14ac:dyDescent="0.6">
      <c r="A104" s="85"/>
      <c r="B104" s="85"/>
      <c r="C104" s="85"/>
      <c r="D104" s="82"/>
      <c r="E104" s="83"/>
      <c r="G104" s="81"/>
      <c r="H104" s="81"/>
      <c r="I104" s="82"/>
      <c r="J104" s="83"/>
      <c r="K104" s="86"/>
      <c r="L104" s="84"/>
      <c r="M104" s="84"/>
    </row>
    <row r="105" spans="1:16" ht="60" customHeight="1" thickTop="1" thickBot="1" x14ac:dyDescent="0.45">
      <c r="A105" s="295" t="s">
        <v>70</v>
      </c>
      <c r="B105" s="295"/>
      <c r="C105" s="295"/>
      <c r="D105" s="295"/>
      <c r="E105" s="295"/>
      <c r="F105" s="295"/>
      <c r="G105" s="295"/>
      <c r="H105" s="295"/>
      <c r="I105" s="295"/>
      <c r="J105" s="295"/>
      <c r="K105" s="295"/>
      <c r="L105" s="295"/>
      <c r="M105" s="295"/>
      <c r="N105" s="295"/>
    </row>
    <row r="106" spans="1:16" ht="92.25" customHeight="1" x14ac:dyDescent="0.4">
      <c r="A106" s="296" t="s">
        <v>71</v>
      </c>
      <c r="B106" s="296"/>
      <c r="C106" s="296"/>
      <c r="D106" s="296"/>
      <c r="E106" s="296"/>
      <c r="F106" s="296"/>
      <c r="G106" s="296"/>
      <c r="H106" s="296"/>
      <c r="I106" s="296"/>
      <c r="J106" s="296"/>
      <c r="K106" s="296"/>
      <c r="L106" s="296"/>
      <c r="M106" s="296"/>
      <c r="N106" s="296"/>
      <c r="O106" s="87"/>
      <c r="P106" s="87"/>
    </row>
    <row r="107" spans="1:16" ht="79.5" customHeight="1" x14ac:dyDescent="0.4">
      <c r="A107" s="296" t="s">
        <v>72</v>
      </c>
      <c r="B107" s="296"/>
      <c r="C107" s="296"/>
      <c r="D107" s="296"/>
      <c r="E107" s="296"/>
      <c r="F107" s="296"/>
      <c r="G107" s="296"/>
      <c r="H107" s="296"/>
      <c r="I107" s="296"/>
      <c r="J107" s="296"/>
      <c r="K107" s="296"/>
      <c r="L107" s="296"/>
      <c r="M107" s="296"/>
      <c r="N107" s="296"/>
      <c r="O107" s="87"/>
      <c r="P107" s="87"/>
    </row>
    <row r="108" spans="1:16" ht="39" customHeight="1" x14ac:dyDescent="0.55000000000000004">
      <c r="A108" s="288" t="s">
        <v>73</v>
      </c>
      <c r="B108" s="288"/>
      <c r="C108" s="288"/>
      <c r="D108" s="288"/>
      <c r="F108" s="297" t="s">
        <v>104</v>
      </c>
      <c r="G108" s="297"/>
      <c r="H108" s="88"/>
      <c r="I108" s="84"/>
      <c r="J108" s="84"/>
      <c r="K108" s="84"/>
      <c r="L108" s="84"/>
      <c r="M108" s="84"/>
    </row>
    <row r="109" spans="1:16" ht="35.25" customHeight="1" x14ac:dyDescent="0.55000000000000004">
      <c r="A109" s="288" t="s">
        <v>74</v>
      </c>
      <c r="B109" s="288"/>
      <c r="C109" s="288"/>
      <c r="D109" s="288"/>
      <c r="F109" s="289"/>
      <c r="G109" s="289"/>
      <c r="H109" s="289"/>
      <c r="I109" s="84"/>
      <c r="J109" s="84"/>
      <c r="K109" s="84"/>
      <c r="L109" s="84"/>
      <c r="M109" s="84"/>
    </row>
    <row r="110" spans="1:16" ht="40.5" customHeight="1" x14ac:dyDescent="0.55000000000000004">
      <c r="A110" s="288" t="s">
        <v>75</v>
      </c>
      <c r="B110" s="288"/>
      <c r="C110" s="288"/>
      <c r="D110" s="288"/>
      <c r="E110" s="288"/>
      <c r="F110" s="89" t="s">
        <v>76</v>
      </c>
      <c r="G110" s="90"/>
      <c r="H110" s="83"/>
      <c r="I110" s="84"/>
      <c r="J110" s="84"/>
      <c r="K110" s="84"/>
      <c r="L110" s="84"/>
      <c r="M110" s="84"/>
    </row>
    <row r="111" spans="1:16" s="91" customFormat="1" ht="50.15" customHeight="1" x14ac:dyDescent="0.4"/>
    <row r="112" spans="1:16" s="91" customFormat="1" ht="43.2" customHeight="1" x14ac:dyDescent="0.4">
      <c r="D112" s="290" t="s">
        <v>77</v>
      </c>
      <c r="E112" s="290"/>
      <c r="F112" s="290"/>
      <c r="G112" s="290"/>
      <c r="H112" s="290"/>
      <c r="I112" s="290"/>
      <c r="J112" s="290"/>
      <c r="K112" s="290"/>
      <c r="L112" s="290"/>
    </row>
    <row r="113" spans="1:13" s="91" customFormat="1" ht="50.15" customHeight="1" x14ac:dyDescent="0.4"/>
    <row r="114" spans="1:13" s="91" customFormat="1" ht="50.15" customHeight="1" x14ac:dyDescent="0.4"/>
    <row r="115" spans="1:13" s="91" customFormat="1" ht="50.15" customHeight="1" x14ac:dyDescent="0.4"/>
    <row r="116" spans="1:13" ht="36" customHeight="1" x14ac:dyDescent="0.55000000000000004">
      <c r="A116" s="92"/>
      <c r="B116" s="92"/>
      <c r="C116" s="92"/>
      <c r="M116" s="84"/>
    </row>
    <row r="117" spans="1:13" ht="8.25" customHeight="1" x14ac:dyDescent="0.55000000000000004">
      <c r="A117" s="92"/>
      <c r="B117" s="92"/>
      <c r="L117" s="84"/>
      <c r="M117" s="84"/>
    </row>
    <row r="118" spans="1:13" ht="7.5" customHeight="1" x14ac:dyDescent="0.55000000000000004">
      <c r="A118" s="92"/>
      <c r="B118" s="92"/>
      <c r="J118" s="93"/>
      <c r="K118" s="84"/>
      <c r="L118" s="84"/>
      <c r="M118" s="84"/>
    </row>
    <row r="119" spans="1:13" ht="11.25" customHeight="1" x14ac:dyDescent="0.55000000000000004">
      <c r="A119" s="92"/>
      <c r="B119" s="92"/>
      <c r="C119" s="92"/>
      <c r="D119" s="84"/>
      <c r="E119" s="90"/>
      <c r="F119" s="94"/>
      <c r="G119" s="90"/>
      <c r="H119" s="83"/>
      <c r="I119" s="84"/>
      <c r="J119" s="84"/>
      <c r="K119" s="84"/>
      <c r="L119" s="84"/>
      <c r="M119" s="84"/>
    </row>
    <row r="120" spans="1:13" ht="56.25" customHeight="1" x14ac:dyDescent="0.55000000000000004">
      <c r="A120" s="92"/>
      <c r="B120" s="92"/>
      <c r="C120" s="92"/>
      <c r="D120" s="84"/>
      <c r="E120" s="90"/>
      <c r="F120" s="94"/>
      <c r="G120" s="90"/>
      <c r="H120" s="83"/>
      <c r="I120" s="84"/>
      <c r="J120" s="84"/>
      <c r="K120" s="84"/>
      <c r="L120" s="84"/>
      <c r="M120" s="84"/>
    </row>
    <row r="121" spans="1:13" ht="42" customHeight="1" x14ac:dyDescent="0.55000000000000004">
      <c r="A121" s="92"/>
      <c r="B121" s="92"/>
      <c r="C121" s="95"/>
      <c r="D121" s="84"/>
      <c r="E121" s="90"/>
      <c r="F121" s="94"/>
      <c r="G121" s="90"/>
      <c r="H121" s="83"/>
      <c r="I121" s="84"/>
      <c r="J121" s="84"/>
      <c r="K121" s="84"/>
      <c r="L121" s="84"/>
      <c r="M121" s="84"/>
    </row>
    <row r="122" spans="1:13" ht="15" customHeight="1" x14ac:dyDescent="0.55000000000000004">
      <c r="A122" s="92"/>
      <c r="B122" s="92"/>
      <c r="C122" s="92"/>
      <c r="D122" s="84"/>
      <c r="E122" s="90"/>
      <c r="F122" s="94"/>
      <c r="G122" s="90"/>
      <c r="H122" s="83"/>
      <c r="I122" s="84"/>
      <c r="J122" s="84"/>
      <c r="K122" s="84"/>
      <c r="L122" s="84"/>
      <c r="M122" s="84"/>
    </row>
    <row r="123" spans="1:13" ht="17.25" customHeight="1" x14ac:dyDescent="0.55000000000000004">
      <c r="A123" s="92"/>
      <c r="B123" s="92"/>
      <c r="C123" s="92"/>
      <c r="D123" s="84"/>
      <c r="E123" s="90"/>
      <c r="F123" s="94"/>
      <c r="G123" s="90"/>
      <c r="H123" s="83"/>
      <c r="I123" s="84"/>
      <c r="J123" s="84"/>
      <c r="K123" s="84"/>
      <c r="L123" s="84"/>
      <c r="M123" s="84"/>
    </row>
    <row r="124" spans="1:13" ht="9" customHeight="1" x14ac:dyDescent="0.55000000000000004">
      <c r="A124" s="92"/>
      <c r="B124" s="92"/>
      <c r="C124" s="92"/>
      <c r="D124" s="84"/>
      <c r="E124" s="90"/>
      <c r="F124" s="94"/>
      <c r="G124" s="90"/>
      <c r="H124" s="83"/>
      <c r="I124" s="84"/>
      <c r="J124" s="84"/>
      <c r="K124" s="84"/>
      <c r="L124" s="84"/>
      <c r="M124" s="84"/>
    </row>
    <row r="125" spans="1:13" ht="15.65" customHeight="1" x14ac:dyDescent="0.55000000000000004">
      <c r="A125" s="92"/>
      <c r="B125" s="92"/>
      <c r="C125" s="92"/>
      <c r="D125" s="84"/>
      <c r="E125" s="90"/>
      <c r="F125" s="94"/>
      <c r="G125" s="90"/>
      <c r="H125" s="83"/>
      <c r="I125" s="84"/>
      <c r="J125" s="84"/>
      <c r="K125" s="84"/>
      <c r="L125" s="84"/>
      <c r="M125" s="84"/>
    </row>
    <row r="126" spans="1:13" ht="5.25" customHeight="1" x14ac:dyDescent="0.55000000000000004">
      <c r="A126" s="92"/>
      <c r="B126" s="92"/>
      <c r="C126" s="92"/>
      <c r="D126" s="84"/>
      <c r="E126" s="90"/>
      <c r="F126" s="94"/>
      <c r="G126" s="90"/>
      <c r="H126" s="83"/>
      <c r="I126" s="84"/>
      <c r="J126" s="84"/>
      <c r="K126" s="84"/>
      <c r="L126" s="84"/>
      <c r="M126" s="84"/>
    </row>
    <row r="127" spans="1:13" ht="17.25" customHeight="1" x14ac:dyDescent="0.55000000000000004">
      <c r="A127" s="92"/>
      <c r="B127" s="92"/>
      <c r="C127" s="92"/>
      <c r="D127" s="84"/>
      <c r="E127" s="90"/>
      <c r="F127" s="94"/>
      <c r="G127" s="90"/>
      <c r="H127" s="83"/>
      <c r="I127" s="84"/>
      <c r="J127" s="84"/>
      <c r="K127" s="84"/>
      <c r="L127" s="84"/>
      <c r="M127" s="84"/>
    </row>
    <row r="128" spans="1:13" ht="9" customHeight="1" x14ac:dyDescent="0.55000000000000004">
      <c r="A128" s="92"/>
      <c r="B128" s="92"/>
      <c r="C128" s="92"/>
      <c r="D128" s="84"/>
      <c r="E128" s="90"/>
      <c r="F128" s="94"/>
      <c r="G128" s="90"/>
      <c r="H128" s="83"/>
      <c r="I128" s="84"/>
      <c r="J128" s="84"/>
      <c r="K128" s="84"/>
      <c r="L128" s="84"/>
      <c r="M128" s="84"/>
    </row>
    <row r="129" spans="1:13" ht="55.5" customHeight="1" x14ac:dyDescent="0.5">
      <c r="A129" s="2"/>
      <c r="B129" s="2"/>
      <c r="C129" s="2"/>
      <c r="D129" s="96"/>
      <c r="E129" s="22"/>
      <c r="F129" s="97"/>
      <c r="G129" s="96"/>
      <c r="H129" s="96"/>
      <c r="I129" s="96"/>
      <c r="J129" s="96"/>
      <c r="K129" s="96"/>
      <c r="L129" s="96"/>
      <c r="M129" s="96"/>
    </row>
    <row r="130" spans="1:13" ht="59.25" customHeight="1" x14ac:dyDescent="0.5">
      <c r="A130" s="291" t="s">
        <v>47</v>
      </c>
      <c r="B130" s="291"/>
      <c r="C130" s="291"/>
      <c r="D130" s="291"/>
      <c r="E130" s="291"/>
      <c r="F130" s="97"/>
      <c r="G130" s="96"/>
      <c r="H130" s="96"/>
      <c r="I130" s="96"/>
      <c r="J130" s="96"/>
      <c r="K130" s="96"/>
      <c r="L130" s="96"/>
      <c r="M130" s="96"/>
    </row>
    <row r="131" spans="1:13" s="29" customFormat="1" ht="113.25" customHeight="1" x14ac:dyDescent="0.5">
      <c r="B131" s="2"/>
      <c r="C131" s="2"/>
      <c r="D131"/>
      <c r="E131"/>
      <c r="F131"/>
      <c r="G131"/>
      <c r="H131" s="2"/>
      <c r="I131" s="96"/>
      <c r="J131" s="96"/>
      <c r="K131" s="96"/>
      <c r="L131" s="96"/>
      <c r="M131" s="96"/>
    </row>
    <row r="132" spans="1:13" ht="15" customHeight="1" x14ac:dyDescent="0.5">
      <c r="A132" s="98"/>
      <c r="B132" s="29"/>
      <c r="C132" s="29"/>
      <c r="D132"/>
      <c r="E132"/>
      <c r="F132"/>
      <c r="G132"/>
      <c r="H132" s="99"/>
      <c r="I132" s="99"/>
      <c r="J132" s="99"/>
      <c r="K132" s="99"/>
    </row>
    <row r="133" spans="1:13" ht="15" customHeight="1" x14ac:dyDescent="0.5">
      <c r="A133" s="98"/>
      <c r="B133" s="29"/>
      <c r="C133" s="29"/>
      <c r="D133"/>
      <c r="E133"/>
      <c r="F133"/>
      <c r="G133"/>
      <c r="H133" s="99"/>
      <c r="I133" s="99"/>
      <c r="J133" s="99"/>
      <c r="K133" s="99"/>
    </row>
    <row r="134" spans="1:13" ht="74.25" customHeight="1" x14ac:dyDescent="0.5">
      <c r="A134" s="98"/>
      <c r="B134" s="29"/>
      <c r="C134" s="29"/>
      <c r="D134"/>
      <c r="E134"/>
      <c r="F134"/>
      <c r="G134"/>
      <c r="H134" s="99"/>
      <c r="I134" s="99"/>
      <c r="J134" s="99"/>
      <c r="K134" s="99"/>
    </row>
    <row r="135" spans="1:13" ht="74.25" customHeight="1" x14ac:dyDescent="0.5">
      <c r="A135" s="98"/>
      <c r="B135" s="29"/>
      <c r="C135" s="29"/>
      <c r="D135" s="29"/>
      <c r="E135" s="99"/>
      <c r="F135" s="99"/>
      <c r="G135" s="99"/>
      <c r="H135" s="99"/>
      <c r="I135" s="99"/>
      <c r="J135" s="99"/>
      <c r="K135" s="99"/>
    </row>
    <row r="136" spans="1:13" ht="74.25" customHeight="1" x14ac:dyDescent="0.5">
      <c r="A136" s="98"/>
      <c r="B136" s="29"/>
      <c r="C136" s="29"/>
      <c r="D136" s="29"/>
      <c r="E136" s="99"/>
      <c r="F136" s="99"/>
      <c r="G136" s="99"/>
      <c r="H136" s="99"/>
      <c r="I136" s="99"/>
      <c r="J136" s="99"/>
      <c r="K136" s="99"/>
    </row>
    <row r="137" spans="1:13" ht="74.25" customHeight="1" x14ac:dyDescent="0.5">
      <c r="A137" s="98"/>
      <c r="B137" s="29"/>
      <c r="C137" s="29"/>
      <c r="D137" s="29"/>
      <c r="E137" s="99"/>
      <c r="F137" s="99"/>
      <c r="G137" s="99"/>
      <c r="H137" s="99"/>
      <c r="I137" s="99"/>
      <c r="J137" s="99"/>
      <c r="K137" s="99"/>
    </row>
    <row r="138" spans="1:13" ht="74.25" customHeight="1" x14ac:dyDescent="0.5">
      <c r="A138" s="98"/>
      <c r="B138" s="29"/>
      <c r="C138" s="29"/>
      <c r="D138" s="29"/>
      <c r="E138" s="99"/>
      <c r="F138" s="99"/>
      <c r="G138" s="99"/>
      <c r="H138" s="99"/>
      <c r="I138" s="99"/>
      <c r="J138" s="99"/>
      <c r="K138" s="99"/>
    </row>
    <row r="139" spans="1:13" ht="74.25" customHeight="1" x14ac:dyDescent="0.5">
      <c r="A139" s="98"/>
      <c r="B139" s="29"/>
      <c r="C139" s="29"/>
      <c r="D139" s="29"/>
      <c r="E139" s="99"/>
      <c r="F139" s="99"/>
      <c r="G139" s="99"/>
      <c r="H139" s="99"/>
      <c r="I139" s="99"/>
      <c r="J139" s="99"/>
      <c r="K139" s="99"/>
    </row>
    <row r="140" spans="1:13" ht="18.45" x14ac:dyDescent="0.5">
      <c r="A140" s="98"/>
      <c r="B140" s="29"/>
      <c r="C140" s="29"/>
      <c r="D140" s="29"/>
      <c r="E140" s="99"/>
      <c r="F140" s="99"/>
      <c r="G140" s="99"/>
      <c r="H140" s="99"/>
      <c r="I140" s="99"/>
      <c r="J140" s="99"/>
      <c r="K140" s="99"/>
    </row>
    <row r="141" spans="1:13" ht="18.45" x14ac:dyDescent="0.5">
      <c r="A141" s="98"/>
      <c r="B141" s="29"/>
      <c r="C141" s="29"/>
      <c r="D141" s="29"/>
      <c r="E141" s="99"/>
      <c r="F141" s="99"/>
      <c r="G141" s="99"/>
      <c r="H141" s="99"/>
      <c r="I141" s="99"/>
      <c r="J141" s="99"/>
      <c r="K141" s="99"/>
    </row>
    <row r="142" spans="1:13" ht="18.45" hidden="1" x14ac:dyDescent="0.5">
      <c r="A142" s="98"/>
      <c r="B142" s="29"/>
      <c r="C142" s="29"/>
      <c r="D142" s="29"/>
      <c r="E142" s="99"/>
      <c r="F142" s="99"/>
      <c r="G142" s="99"/>
      <c r="H142" s="99"/>
      <c r="I142" s="99"/>
      <c r="J142" s="99"/>
      <c r="K142" s="99"/>
    </row>
    <row r="143" spans="1:13" ht="18.45" hidden="1" x14ac:dyDescent="0.5">
      <c r="A143" s="98"/>
      <c r="B143" s="29"/>
      <c r="C143" s="29"/>
      <c r="D143" s="29"/>
      <c r="E143" s="99"/>
      <c r="F143" s="99"/>
      <c r="G143" s="99"/>
      <c r="H143" s="99"/>
      <c r="I143" s="99"/>
      <c r="J143" s="99"/>
      <c r="K143" s="99"/>
    </row>
    <row r="144" spans="1:13" ht="18.45" hidden="1" x14ac:dyDescent="0.5">
      <c r="A144" s="98"/>
      <c r="B144" s="29"/>
      <c r="C144" s="29"/>
      <c r="D144" s="29"/>
      <c r="E144" s="99"/>
      <c r="F144" s="99"/>
      <c r="G144" s="99"/>
      <c r="H144" s="99"/>
      <c r="I144" s="99"/>
      <c r="J144" s="99"/>
      <c r="K144" s="99"/>
    </row>
    <row r="145" spans="1:13" ht="24.75" customHeight="1" x14ac:dyDescent="0.5">
      <c r="A145" s="98"/>
      <c r="B145" s="100"/>
      <c r="C145" s="29"/>
      <c r="D145" s="29"/>
      <c r="E145" s="292"/>
      <c r="F145" s="292"/>
      <c r="G145" s="292"/>
      <c r="H145" s="292"/>
      <c r="I145" s="292"/>
      <c r="J145" s="292"/>
      <c r="K145" s="101"/>
    </row>
    <row r="146" spans="1:13" x14ac:dyDescent="0.4">
      <c r="A146"/>
      <c r="B146"/>
      <c r="C146"/>
      <c r="D146"/>
      <c r="E146"/>
      <c r="F146"/>
      <c r="G146"/>
      <c r="H146"/>
      <c r="I146"/>
      <c r="J146"/>
      <c r="K146"/>
      <c r="L146"/>
      <c r="M146"/>
    </row>
  </sheetData>
  <protectedRanges>
    <protectedRange sqref="M4 D46 D12 D14 F18:G19 D22 M22 M54 A59:M77 C99 F103 A100:G100 K103 D112 K49:N49 J8:M8 D44 E88:E90 A89:B90 G49:I49 D83:H86 A98:E98 F89:H89 A91:C91 G98 J91:K100 H98:I100 F90:F98 G112:J112 A132:M145 F46 J118 N81 D8:G9 C14:C19 D16:D19 B15 K12:M13 A37:M39 I83:I87 J83:K89 E28:F36 H91:I91 G90:G91 L83:L100 M83:M88 M91:M100 A79:M80 A83:C87 A81:A82 M28:N36 I28:J36 A28:C36 I104 D104" name="Datos_3"/>
    <protectedRange sqref="H106:P106 A106 C106:E106" name="Datos_1_1_4"/>
    <protectedRange sqref="F108:G108 A108:D108" name="Datos_1_1_2_2"/>
    <protectedRange sqref="A109:D109" name="Datos_1_1_3_2"/>
    <protectedRange sqref="A111:C115 A110:D110" name="Datos_1_1_5_2"/>
    <protectedRange sqref="J22" name="Datos_1_3"/>
  </protectedRanges>
  <mergeCells count="13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 ref="A64:A65"/>
    <mergeCell ref="B64:B65"/>
    <mergeCell ref="A66:A71"/>
    <mergeCell ref="B67:B68"/>
    <mergeCell ref="B69:B70"/>
    <mergeCell ref="A73:C73"/>
    <mergeCell ref="A55:J55"/>
    <mergeCell ref="M55:N55"/>
    <mergeCell ref="A58:N58"/>
    <mergeCell ref="A59:N59"/>
    <mergeCell ref="A60:N60"/>
    <mergeCell ref="B62:B63"/>
    <mergeCell ref="A50:D50"/>
    <mergeCell ref="E51:K52"/>
    <mergeCell ref="A53:J54"/>
    <mergeCell ref="K53:N53"/>
    <mergeCell ref="K54:L54"/>
    <mergeCell ref="M54:N54"/>
    <mergeCell ref="A46:C47"/>
    <mergeCell ref="D46:F47"/>
    <mergeCell ref="A48:C49"/>
    <mergeCell ref="D48:F49"/>
    <mergeCell ref="G49:J49"/>
    <mergeCell ref="K49:N49"/>
    <mergeCell ref="A29:D29"/>
    <mergeCell ref="E29:I29"/>
    <mergeCell ref="J29:L29"/>
    <mergeCell ref="M29:N29"/>
    <mergeCell ref="A44:C45"/>
    <mergeCell ref="D44:F45"/>
    <mergeCell ref="G44:J44"/>
    <mergeCell ref="K44:N44"/>
    <mergeCell ref="G45:J45"/>
    <mergeCell ref="K45:N45"/>
    <mergeCell ref="A30:D30"/>
    <mergeCell ref="E30:I30"/>
    <mergeCell ref="J30:L30"/>
    <mergeCell ref="M30:N30"/>
    <mergeCell ref="A31:D31"/>
    <mergeCell ref="E31:I31"/>
    <mergeCell ref="J31:L31"/>
    <mergeCell ref="M31:N31"/>
    <mergeCell ref="A27:D27"/>
    <mergeCell ref="E27:I27"/>
    <mergeCell ref="J27:L27"/>
    <mergeCell ref="M27:N27"/>
    <mergeCell ref="A28:D28"/>
    <mergeCell ref="E28:I28"/>
    <mergeCell ref="J28:L28"/>
    <mergeCell ref="M28:N28"/>
    <mergeCell ref="B24:C24"/>
    <mergeCell ref="D24:E24"/>
    <mergeCell ref="F24:G24"/>
    <mergeCell ref="A25:N25"/>
    <mergeCell ref="A26:D26"/>
    <mergeCell ref="E26:I26"/>
    <mergeCell ref="J26:L26"/>
    <mergeCell ref="M26:N26"/>
    <mergeCell ref="A21:N21"/>
    <mergeCell ref="A22:C22"/>
    <mergeCell ref="D22:D23"/>
    <mergeCell ref="E22:F22"/>
    <mergeCell ref="G22:I23"/>
    <mergeCell ref="J22:L22"/>
    <mergeCell ref="M22:N23"/>
    <mergeCell ref="A23:C23"/>
    <mergeCell ref="E23:F23"/>
    <mergeCell ref="J23:L2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K12:N13"/>
    <mergeCell ref="A13:C13"/>
    <mergeCell ref="I13:J13"/>
    <mergeCell ref="A7:N7"/>
    <mergeCell ref="A8:C8"/>
    <mergeCell ref="D8:N8"/>
    <mergeCell ref="A9:C9"/>
    <mergeCell ref="D9:N9"/>
    <mergeCell ref="A11:N11"/>
    <mergeCell ref="E1:K2"/>
    <mergeCell ref="A3:J4"/>
    <mergeCell ref="K3:N3"/>
    <mergeCell ref="K4:L4"/>
    <mergeCell ref="M4:N4"/>
    <mergeCell ref="A5:J5"/>
    <mergeCell ref="M5:N5"/>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inicio</vt:lpstr>
      <vt:lpstr>certificado</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2023-05-05T15:29:33Z</cp:lastPrinted>
  <dcterms:created xsi:type="dcterms:W3CDTF">2023-04-24T19:43:56Z</dcterms:created>
  <dcterms:modified xsi:type="dcterms:W3CDTF">2023-05-10T17:49:39Z</dcterms:modified>
</cp:coreProperties>
</file>