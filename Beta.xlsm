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updateLinks="never" codeName="ThisWorkbook" defaultThemeVersion="166925"/>
  <mc:AlternateContent xmlns:mc="http://schemas.openxmlformats.org/markup-compatibility/2006">
    <mc:Choice Requires="x15">
      <x15ac:absPath xmlns:x15ac="http://schemas.microsoft.com/office/spreadsheetml/2010/11/ac" url="C:\Users\mr__h\Documents\kalibrix\"/>
    </mc:Choice>
  </mc:AlternateContent>
  <xr:revisionPtr revIDLastSave="0" documentId="13_ncr:1_{710F52F1-5AEB-414C-A955-F13F1067F044}" xr6:coauthVersionLast="47" xr6:coauthVersionMax="47" xr10:uidLastSave="{00000000-0000-0000-0000-000000000000}"/>
  <bookViews>
    <workbookView xWindow="-103" yWindow="-103" windowWidth="33120" windowHeight="18000" activeTab="1" xr2:uid="{41C68473-F632-4B97-A971-F12BD1D560B6}"/>
  </bookViews>
  <sheets>
    <sheet name="inicio" sheetId="1" r:id="rId1"/>
    <sheet name="certificado" sheetId="13" r:id="rId2"/>
  </sheets>
  <functionGroups builtInGroupCount="19"/>
  <definedNames>
    <definedName name="_der1">#REF!</definedName>
    <definedName name="_der2">#REF!</definedName>
    <definedName name="_der3">#REF!</definedName>
    <definedName name="_der4">#REF!</definedName>
    <definedName name="_der5">#REF!</definedName>
    <definedName name="_der6">#REF!</definedName>
    <definedName name="_exv002">#REF!</definedName>
    <definedName name="_exv003">#REF!</definedName>
    <definedName name="_Hum10">#REF!</definedName>
    <definedName name="_Hum11">#REF!</definedName>
    <definedName name="_Hum12">#REF!</definedName>
    <definedName name="_Hum2">#REF!</definedName>
    <definedName name="_Hum3">#REF!</definedName>
    <definedName name="_Hum4">#REF!</definedName>
    <definedName name="_Hum5">#REF!</definedName>
    <definedName name="_Hum6">#REF!</definedName>
    <definedName name="_Hum7">#REF!</definedName>
    <definedName name="_Hum8">#REF!</definedName>
    <definedName name="_Hum9">#REF!</definedName>
    <definedName name="_INT1">#REF!</definedName>
    <definedName name="_INT10">#REF!</definedName>
    <definedName name="_INT11">#REF!</definedName>
    <definedName name="_INT12">#REF!</definedName>
    <definedName name="_INT2">#REF!</definedName>
    <definedName name="_INT3">#REF!</definedName>
    <definedName name="_INT4">#REF!</definedName>
    <definedName name="_INT5">#REF!</definedName>
    <definedName name="_INT6">#REF!</definedName>
    <definedName name="_INT7">#REF!</definedName>
    <definedName name="_INT8">#REF!</definedName>
    <definedName name="_INT9">#REF!</definedName>
    <definedName name="_ua1">#REF!</definedName>
    <definedName name="_ua10">#REF!</definedName>
    <definedName name="_ua11">#REF!</definedName>
    <definedName name="_ua12">#REF!</definedName>
    <definedName name="_UA2">#REF!</definedName>
    <definedName name="_ua3">#REF!</definedName>
    <definedName name="_ua4">#REF!</definedName>
    <definedName name="_ua5">#REF!</definedName>
    <definedName name="_ua6">#REF!</definedName>
    <definedName name="_ua7">#REF!</definedName>
    <definedName name="_ua8">#REF!</definedName>
    <definedName name="_ua9">#REF!</definedName>
    <definedName name="_uEc1">#REF!</definedName>
    <definedName name="_uEc2">#REF!</definedName>
    <definedName name="_uEc3">#REF!</definedName>
    <definedName name="_uEc4">#REF!</definedName>
    <definedName name="_uEc5">#REF!</definedName>
    <definedName name="_uEc6">#REF!</definedName>
    <definedName name="_VA9">#REF!</definedName>
    <definedName name="_vol20">#REF!</definedName>
    <definedName name="Alcance_de_Medición">#REF!</definedName>
    <definedName name="alf">#REF!</definedName>
    <definedName name="alfa">#REF!</definedName>
    <definedName name="alfaprom">#REF!</definedName>
    <definedName name="_xlnm.Print_Area" localSheetId="1">certificado!$A$1:$N$130</definedName>
    <definedName name="borosilicato">#REF!</definedName>
    <definedName name="CLASE">#REF!</definedName>
    <definedName name="COM1A">#REF!</definedName>
    <definedName name="COM1B">#REF!</definedName>
    <definedName name="COM1C">#REF!</definedName>
    <definedName name="COM1D">#REF!</definedName>
    <definedName name="COM2A">#REF!</definedName>
    <definedName name="COM2B">#REF!</definedName>
    <definedName name="COM2C">#REF!</definedName>
    <definedName name="COM2D">#REF!</definedName>
    <definedName name="COM3A">#REF!</definedName>
    <definedName name="COM3B">#REF!</definedName>
    <definedName name="COM3C">#REF!</definedName>
    <definedName name="COM3D">#REF!</definedName>
    <definedName name="COM4A">#REF!</definedName>
    <definedName name="COM4B">#REF!</definedName>
    <definedName name="COM4C">#REF!</definedName>
    <definedName name="COM4D">#REF!</definedName>
    <definedName name="COM5A">#REF!</definedName>
    <definedName name="COM5B">#REF!</definedName>
    <definedName name="COM5C">#REF!</definedName>
    <definedName name="COM5D">#REF!</definedName>
    <definedName name="COM6A">#REF!</definedName>
    <definedName name="COM6B">#REF!</definedName>
    <definedName name="COM6C">#REF!</definedName>
    <definedName name="COM6D">#REF!</definedName>
    <definedName name="COMA">#REF!</definedName>
    <definedName name="COMB">#REF!</definedName>
    <definedName name="COMC">#REF!</definedName>
    <definedName name="COMD">#REF!</definedName>
    <definedName name="d_agua1">#REF!</definedName>
    <definedName name="den_a">#REF!</definedName>
    <definedName name="den_b">#REF!</definedName>
    <definedName name="dena">#REF!</definedName>
    <definedName name="dena10">#REF!</definedName>
    <definedName name="dena11">#REF!</definedName>
    <definedName name="dena12">#REF!</definedName>
    <definedName name="dena2">#REF!</definedName>
    <definedName name="dena3">#REF!</definedName>
    <definedName name="dena4">#REF!</definedName>
    <definedName name="dena5">#REF!</definedName>
    <definedName name="dena6">#REF!</definedName>
    <definedName name="dena7">#REF!</definedName>
    <definedName name="dena8">#REF!</definedName>
    <definedName name="dena9">#REF!</definedName>
    <definedName name="denagua">#REF!</definedName>
    <definedName name="denagua10">#REF!</definedName>
    <definedName name="denagua11">#REF!</definedName>
    <definedName name="denagua12">#REF!</definedName>
    <definedName name="denagua2">#REF!</definedName>
    <definedName name="denagua3">#REF!</definedName>
    <definedName name="denagua4">#REF!</definedName>
    <definedName name="denagua5">#REF!</definedName>
    <definedName name="denagua6">#REF!</definedName>
    <definedName name="denagua7">#REF!</definedName>
    <definedName name="denagua8">#REF!</definedName>
    <definedName name="denagua9">#REF!</definedName>
    <definedName name="denmas">#REF!</definedName>
    <definedName name="denw">#REF!</definedName>
    <definedName name="Deriva1">#REF!</definedName>
    <definedName name="Deriva2">#REF!</definedName>
    <definedName name="Deriva3">#REF!</definedName>
    <definedName name="Deriva4">#REF!</definedName>
    <definedName name="Deriva5">#REF!</definedName>
    <definedName name="Deriva6">#REF!</definedName>
    <definedName name="Destagua12">#REF!</definedName>
    <definedName name="DestAir9">#REF!</definedName>
    <definedName name="DG">#REF!</definedName>
    <definedName name="División_minima">#REF!</definedName>
    <definedName name="divmin">#REF!</definedName>
    <definedName name="ec1c">#REF!</definedName>
    <definedName name="ec1com">#REF!</definedName>
    <definedName name="ena">#REF!</definedName>
    <definedName name="enb">#REF!</definedName>
    <definedName name="enc">#REF!</definedName>
    <definedName name="end">#REF!</definedName>
    <definedName name="epa">#REF!</definedName>
    <definedName name="epb">#REF!</definedName>
    <definedName name="epc">#REF!</definedName>
    <definedName name="epd">#REF!</definedName>
    <definedName name="ErrorP1">#REF!</definedName>
    <definedName name="estab">#REF!</definedName>
    <definedName name="exa">#REF!</definedName>
    <definedName name="exenbal">#REF!</definedName>
    <definedName name="EXENBAL2DO">#REF!</definedName>
    <definedName name="FACOB">#REF!</definedName>
    <definedName name="factconv">#REF!</definedName>
    <definedName name="FCHR">#REF!</definedName>
    <definedName name="FCinv">#REF!</definedName>
    <definedName name="FCNMN">#REF!</definedName>
    <definedName name="FCNMP">#REF!</definedName>
    <definedName name="FCPA">#REF!</definedName>
    <definedName name="FCTA">#REF!</definedName>
    <definedName name="FCTW">#REF!</definedName>
    <definedName name="fecha_calib">#REF!</definedName>
    <definedName name="fecha_recepcion">#REF!</definedName>
    <definedName name="Fnom">#REF!</definedName>
    <definedName name="GAGUA10">#REF!</definedName>
    <definedName name="GAGUA11">#REF!</definedName>
    <definedName name="GAGUA12">#REF!</definedName>
    <definedName name="GAGUA3">#REF!</definedName>
    <definedName name="GAGUA4">#REF!</definedName>
    <definedName name="GAGUA5">#REF!</definedName>
    <definedName name="GAGUA6">#REF!</definedName>
    <definedName name="GAGUA7">#REF!</definedName>
    <definedName name="GAGUA8">#REF!</definedName>
    <definedName name="GAGUA9">#REF!</definedName>
    <definedName name="GAIRE10">#REF!</definedName>
    <definedName name="GAIRE11">#REF!</definedName>
    <definedName name="GAIRE12">#REF!</definedName>
    <definedName name="GAIRE3">#REF!</definedName>
    <definedName name="GAIRE4">#REF!</definedName>
    <definedName name="GAIRE5">#REF!</definedName>
    <definedName name="GAIRE6">#REF!</definedName>
    <definedName name="GAIRE7">#REF!</definedName>
    <definedName name="GAIRE8">#REF!</definedName>
    <definedName name="GAIRE9">#REF!</definedName>
    <definedName name="GHUM1">#REF!</definedName>
    <definedName name="GHUM10">#REF!</definedName>
    <definedName name="GHUM11">#REF!</definedName>
    <definedName name="GHUM12">#REF!</definedName>
    <definedName name="GHUM2">#REF!</definedName>
    <definedName name="GHUM3">#REF!</definedName>
    <definedName name="GHUM4">#REF!</definedName>
    <definedName name="GHUM5">#REF!</definedName>
    <definedName name="GHUM6">#REF!</definedName>
    <definedName name="GHUM7">#REF!</definedName>
    <definedName name="GHUM8">#REF!</definedName>
    <definedName name="GHUM9">#REF!</definedName>
    <definedName name="GPRES1">#REF!</definedName>
    <definedName name="GPRES10">#REF!</definedName>
    <definedName name="GPRES11">#REF!</definedName>
    <definedName name="GPRES12">#REF!</definedName>
    <definedName name="GPRES2">#REF!</definedName>
    <definedName name="GPRES3">#REF!</definedName>
    <definedName name="GPRES4">#REF!</definedName>
    <definedName name="GPRES5">#REF!</definedName>
    <definedName name="GPRES6">#REF!</definedName>
    <definedName name="GPRES7">#REF!</definedName>
    <definedName name="GPRES8">#REF!</definedName>
    <definedName name="GPRES9">#REF!</definedName>
    <definedName name="GTAGUA1">#REF!</definedName>
    <definedName name="GTAGUA2">#REF!</definedName>
    <definedName name="GTAGUA3">#REF!</definedName>
    <definedName name="GTAIRE1">#REF!</definedName>
    <definedName name="GTAIRE2">#REF!</definedName>
    <definedName name="GTAIRE3">#REF!</definedName>
    <definedName name="Hum">#REF!</definedName>
    <definedName name="identificacion">#REF!</definedName>
    <definedName name="incerti">#REF!</definedName>
    <definedName name="incerti1">#REF!</definedName>
    <definedName name="instrumento">#REF!</definedName>
    <definedName name="liqref">#REF!</definedName>
    <definedName name="LOGO">#REF!</definedName>
    <definedName name="marca">#REF!</definedName>
    <definedName name="masa">#REF!</definedName>
    <definedName name="masar">#REF!</definedName>
    <definedName name="masar10">#REF!</definedName>
    <definedName name="masar11">#REF!</definedName>
    <definedName name="masar12">#REF!</definedName>
    <definedName name="masar2">#REF!</definedName>
    <definedName name="masar3">#REF!</definedName>
    <definedName name="masar4">#REF!</definedName>
    <definedName name="masar5">#REF!</definedName>
    <definedName name="masar6">#REF!</definedName>
    <definedName name="masar7">#REF!</definedName>
    <definedName name="masar8">#REF!</definedName>
    <definedName name="masar9">#REF!</definedName>
    <definedName name="masr2">#REF!</definedName>
    <definedName name="MENIS">#REF!</definedName>
    <definedName name="metodo">#REF!</definedName>
    <definedName name="mi">#REF!</definedName>
    <definedName name="modelo">#REF!</definedName>
    <definedName name="mreal">#REF!</definedName>
    <definedName name="mreal2">#REF!</definedName>
    <definedName name="mreal3">#REF!</definedName>
    <definedName name="mreal4">#REF!</definedName>
    <definedName name="mreal5">#REF!</definedName>
    <definedName name="mreal6">#REF!</definedName>
    <definedName name="mreal7">#REF!</definedName>
    <definedName name="mreal8">#REF!</definedName>
    <definedName name="mreal9">#REF!</definedName>
    <definedName name="n">#REF!</definedName>
    <definedName name="nombre">#REF!</definedName>
    <definedName name="norma">#REF!</definedName>
    <definedName name="oli">#REF!</definedName>
    <definedName name="plastico">#REF!</definedName>
    <definedName name="Pres">#REF!</definedName>
    <definedName name="Pres10">#REF!</definedName>
    <definedName name="Pres11">#REF!</definedName>
    <definedName name="Pres12">#REF!</definedName>
    <definedName name="Pres2">#REF!</definedName>
    <definedName name="Pres3">#REF!</definedName>
    <definedName name="Pres4">#REF!</definedName>
    <definedName name="Pres5">#REF!</definedName>
    <definedName name="Pres6">#REF!</definedName>
    <definedName name="Pres7">#REF!</definedName>
    <definedName name="Pres8">#REF!</definedName>
    <definedName name="Pres9">#REF!</definedName>
    <definedName name="Print_Area_MI">#REF!</definedName>
    <definedName name="r_agua">#REF!</definedName>
    <definedName name="r_agua10">#REF!</definedName>
    <definedName name="r_agua11">#REF!</definedName>
    <definedName name="r_agua12">#REF!</definedName>
    <definedName name="r_agua2">#REF!</definedName>
    <definedName name="r_agua3">#REF!</definedName>
    <definedName name="r_agua4">#REF!</definedName>
    <definedName name="r_agua5">#REF!</definedName>
    <definedName name="r_agua6">#REF!</definedName>
    <definedName name="r_agua7">#REF!</definedName>
    <definedName name="r_agua8">#REF!</definedName>
    <definedName name="r_agua9">#REF!</definedName>
    <definedName name="r_aire">#REF!</definedName>
    <definedName name="r_aire10">#REF!</definedName>
    <definedName name="r_aire11">#REF!</definedName>
    <definedName name="r_aire12">#REF!</definedName>
    <definedName name="r_aire2">#REF!</definedName>
    <definedName name="r_aire3">#REF!</definedName>
    <definedName name="r_aire4">#REF!</definedName>
    <definedName name="r_aire5">#REF!</definedName>
    <definedName name="r_aire6">#REF!</definedName>
    <definedName name="r_aire7">#REF!</definedName>
    <definedName name="r_aire8">#REF!</definedName>
    <definedName name="r_aire9">#REF!</definedName>
    <definedName name="r_aire91">#REF!</definedName>
    <definedName name="r_aire92">#REF!</definedName>
    <definedName name="r_masas">#REF!</definedName>
    <definedName name="r_masas2">#REF!</definedName>
    <definedName name="REPBAL2DO">#REF!</definedName>
    <definedName name="repetbal">#REF!</definedName>
    <definedName name="REPV002">#REF!</definedName>
    <definedName name="res_term">#REF!</definedName>
    <definedName name="resalfa">#REF!</definedName>
    <definedName name="resbal">#REF!</definedName>
    <definedName name="RESBAL2DO">#REF!</definedName>
    <definedName name="RESBAR">#REF!</definedName>
    <definedName name="resH">#REF!</definedName>
    <definedName name="RESN">#REF!</definedName>
    <definedName name="resnm">#REF!</definedName>
    <definedName name="Resolución">#REF!</definedName>
    <definedName name="Resolucion_balanza">#REF!</definedName>
    <definedName name="RESP">#REF!</definedName>
    <definedName name="resTaire">#REF!</definedName>
    <definedName name="resterm">#REF!</definedName>
    <definedName name="resTH">#REF!</definedName>
    <definedName name="ruido">#REF!</definedName>
    <definedName name="serie">#REF!</definedName>
    <definedName name="solicitante">#REF!</definedName>
    <definedName name="stdev">#REF!</definedName>
    <definedName name="tagua">#REF!</definedName>
    <definedName name="taire">#REF!</definedName>
    <definedName name="taire10">#REF!</definedName>
    <definedName name="taire11">#REF!</definedName>
    <definedName name="taire12">#REF!</definedName>
    <definedName name="taire2">#REF!</definedName>
    <definedName name="taire3">#REF!</definedName>
    <definedName name="taire4">#REF!</definedName>
    <definedName name="taire5">#REF!</definedName>
    <definedName name="taire6">#REF!</definedName>
    <definedName name="taire7">#REF!</definedName>
    <definedName name="taire8">#REF!</definedName>
    <definedName name="taire9">#REF!</definedName>
    <definedName name="tempagua">#REF!</definedName>
    <definedName name="tempagua10">#REF!</definedName>
    <definedName name="tempagua11">#REF!</definedName>
    <definedName name="tempagua12">#REF!</definedName>
    <definedName name="tempagua2">#REF!</definedName>
    <definedName name="tempagua3">#REF!</definedName>
    <definedName name="tempagua4">#REF!</definedName>
    <definedName name="tempagua5">#REF!</definedName>
    <definedName name="tempagua6">#REF!</definedName>
    <definedName name="tempagua7">#REF!</definedName>
    <definedName name="tempagua8">#REF!</definedName>
    <definedName name="tempagua9">#REF!</definedName>
    <definedName name="TIPO">#REF!</definedName>
    <definedName name="TRAC1A">#REF!</definedName>
    <definedName name="TRAC1B">#REF!</definedName>
    <definedName name="TRAC1C">#REF!</definedName>
    <definedName name="TRAC1D">#REF!</definedName>
    <definedName name="TRAC2A">#REF!</definedName>
    <definedName name="TRAC2B">#REF!</definedName>
    <definedName name="TRAC2BB">#REF!</definedName>
    <definedName name="TRAC2C">#REF!</definedName>
    <definedName name="TRAC2D">#REF!</definedName>
    <definedName name="TRAC3A">#REF!</definedName>
    <definedName name="TRAC3B">#REF!</definedName>
    <definedName name="TRAC3C">#REF!</definedName>
    <definedName name="TRAC3D">#REF!</definedName>
    <definedName name="TRAC4A">#REF!</definedName>
    <definedName name="TRAC4B">#REF!</definedName>
    <definedName name="TRAC4C">#REF!</definedName>
    <definedName name="TRAC4D">#REF!</definedName>
    <definedName name="TRAC5A">#REF!</definedName>
    <definedName name="TRAC5B">#REF!</definedName>
    <definedName name="TRAC5C">#REF!</definedName>
    <definedName name="TRAC5D">#REF!</definedName>
    <definedName name="TRAC6A">#REF!</definedName>
    <definedName name="TRAC6B">#REF!</definedName>
    <definedName name="TRAC6C">#REF!</definedName>
    <definedName name="TRAC6D">#REF!</definedName>
    <definedName name="tw">#REF!</definedName>
    <definedName name="tware41">#REF!</definedName>
    <definedName name="twater">#REF!</definedName>
    <definedName name="twater10">#REF!</definedName>
    <definedName name="twater11">#REF!</definedName>
    <definedName name="twater12">#REF!</definedName>
    <definedName name="twater2">#REF!</definedName>
    <definedName name="twater3">#REF!</definedName>
    <definedName name="twater4">#REF!</definedName>
    <definedName name="twater5">#REF!</definedName>
    <definedName name="twater6">#REF!</definedName>
    <definedName name="twater7">#REF!</definedName>
    <definedName name="twater8">#REF!</definedName>
    <definedName name="twater9">#REF!</definedName>
    <definedName name="U_alfa">#REF!</definedName>
    <definedName name="U_dena">#REF!</definedName>
    <definedName name="u_term">#REF!</definedName>
    <definedName name="Ualfa">#REF!</definedName>
    <definedName name="Ubal">#REF!</definedName>
    <definedName name="UBAL2DO">#REF!</definedName>
    <definedName name="Ubar">#REF!</definedName>
    <definedName name="Uconmb">#REF!</definedName>
    <definedName name="uDcom1">#REF!</definedName>
    <definedName name="uDcom2">#REF!</definedName>
    <definedName name="uDcom3">#REF!</definedName>
    <definedName name="uDcom4">#REF!</definedName>
    <definedName name="uDcom5">#REF!</definedName>
    <definedName name="uDcom6">#REF!</definedName>
    <definedName name="Udena">#REF!</definedName>
    <definedName name="Udena10">#REF!</definedName>
    <definedName name="Udena11">#REF!</definedName>
    <definedName name="Udena12">#REF!</definedName>
    <definedName name="Udena2">#REF!</definedName>
    <definedName name="Udena3">#REF!</definedName>
    <definedName name="Udena4">#REF!</definedName>
    <definedName name="Udena5">#REF!</definedName>
    <definedName name="Udena6">#REF!</definedName>
    <definedName name="Udena7">#REF!</definedName>
    <definedName name="Udena71">#REF!</definedName>
    <definedName name="Udena8">#REF!</definedName>
    <definedName name="Udena9">#REF!</definedName>
    <definedName name="Udenagua">#REF!</definedName>
    <definedName name="Udenagua10">#REF!</definedName>
    <definedName name="Udenagua11">#REF!</definedName>
    <definedName name="Udenagua12">#REF!</definedName>
    <definedName name="Udenagua2">#REF!</definedName>
    <definedName name="Udenagua3">#REF!</definedName>
    <definedName name="Udenagua4">#REF!</definedName>
    <definedName name="Udenagua5">#REF!</definedName>
    <definedName name="Udenagua6">#REF!</definedName>
    <definedName name="Udenagua7">#REF!</definedName>
    <definedName name="Üdenagua7">#REF!</definedName>
    <definedName name="Udenagua8">#REF!</definedName>
    <definedName name="Udenagua9">#REF!</definedName>
    <definedName name="Udenw">#REF!</definedName>
    <definedName name="uEc1com">#REF!</definedName>
    <definedName name="Uexp">#REF!</definedName>
    <definedName name="Uexp01">#REF!</definedName>
    <definedName name="Uexp1">#REF!</definedName>
    <definedName name="UH">#REF!</definedName>
    <definedName name="Umasas">#REF!</definedName>
    <definedName name="Umasas2">#REF!</definedName>
    <definedName name="Umasas3">#REF!</definedName>
    <definedName name="Umasas4">#REF!</definedName>
    <definedName name="Umasas5">#REF!</definedName>
    <definedName name="Umasas6">#REF!</definedName>
    <definedName name="Umasas7">#REF!</definedName>
    <definedName name="Umasas8">#REF!</definedName>
    <definedName name="Umasas9">#REF!</definedName>
    <definedName name="Umreal">#REF!</definedName>
    <definedName name="UTaire">#REF!</definedName>
    <definedName name="Utemp">#REF!</definedName>
    <definedName name="Uterm">#REF!</definedName>
    <definedName name="UTH">#REF!</definedName>
    <definedName name="Utipo_2">#REF!</definedName>
    <definedName name="UtipoA">#REF!</definedName>
    <definedName name="UtipoA_2">#REF!</definedName>
    <definedName name="Utwater">#REF!</definedName>
    <definedName name="Utwater10">#REF!</definedName>
    <definedName name="Utwater11">#REF!</definedName>
    <definedName name="Utwater12">#REF!</definedName>
    <definedName name="Utwater2">#REF!</definedName>
    <definedName name="Utwater3">#REF!</definedName>
    <definedName name="Utwater4">#REF!</definedName>
    <definedName name="Utwater41">#REF!</definedName>
    <definedName name="Utwater5">#REF!</definedName>
    <definedName name="Utwater6">#REF!</definedName>
    <definedName name="Utwater7">#REF!</definedName>
    <definedName name="Utwater8">#REF!</definedName>
    <definedName name="Utwater9">#REF!</definedName>
    <definedName name="Va">#REF!</definedName>
    <definedName name="Var_agua4">#REF!</definedName>
    <definedName name="Var_aire">#REF!</definedName>
    <definedName name="Var_aire10">#REF!</definedName>
    <definedName name="Var_aire11">#REF!</definedName>
    <definedName name="Var_aire12">#REF!</definedName>
    <definedName name="Var_aire2">#REF!</definedName>
    <definedName name="Var_aire3">#REF!</definedName>
    <definedName name="Var_aire4">#REF!</definedName>
    <definedName name="Var_aire5">#REF!</definedName>
    <definedName name="Var_aire6">#REF!</definedName>
    <definedName name="Var_aire7">#REF!</definedName>
    <definedName name="Var_aire8">#REF!</definedName>
    <definedName name="Var_aire9">#REF!</definedName>
    <definedName name="Var_aire91">#REF!</definedName>
    <definedName name="Varaire9">#REF!</definedName>
    <definedName name="Varalfaprom">#REF!</definedName>
    <definedName name="VarHum">#REF!</definedName>
    <definedName name="VarHum10">#REF!</definedName>
    <definedName name="VarHum11">#REF!</definedName>
    <definedName name="VarHum12">#REF!</definedName>
    <definedName name="VarHum2">#REF!</definedName>
    <definedName name="VarHum3">#REF!</definedName>
    <definedName name="VarHum4">#REF!</definedName>
    <definedName name="VarHum5">#REF!</definedName>
    <definedName name="VarHum6">#REF!</definedName>
    <definedName name="VarHum7">#REF!</definedName>
    <definedName name="VarHum8">#REF!</definedName>
    <definedName name="VarHum9">#REF!</definedName>
    <definedName name="Variacion">#REF!</definedName>
    <definedName name="Varmas">#REF!</definedName>
    <definedName name="Varmas10">#REF!</definedName>
    <definedName name="Varmas11">#REF!</definedName>
    <definedName name="Varmas12">#REF!</definedName>
    <definedName name="Varmas2">#REF!</definedName>
    <definedName name="Varmas3">#REF!</definedName>
    <definedName name="Varmas4">#REF!</definedName>
    <definedName name="Varmas5">#REF!</definedName>
    <definedName name="Varmas6">#REF!</definedName>
    <definedName name="Varmas7">#REF!</definedName>
    <definedName name="Varmas8">#REF!</definedName>
    <definedName name="Varmas9">#REF!</definedName>
    <definedName name="VarPres">#REF!</definedName>
    <definedName name="VarPres10">#REF!</definedName>
    <definedName name="VarPres11">#REF!</definedName>
    <definedName name="VarPres12">#REF!</definedName>
    <definedName name="VarPres2">#REF!</definedName>
    <definedName name="VarPres3">#REF!</definedName>
    <definedName name="VarPres4">#REF!</definedName>
    <definedName name="VarPres5">#REF!</definedName>
    <definedName name="VarPres6">#REF!</definedName>
    <definedName name="VarPres7">#REF!</definedName>
    <definedName name="VarPres8">#REF!</definedName>
    <definedName name="VarPres8ç">#REF!</definedName>
    <definedName name="VarPres9">#REF!</definedName>
    <definedName name="Varr_agua">#REF!</definedName>
    <definedName name="Varr_agua10">#REF!</definedName>
    <definedName name="Varr_agua11">#REF!</definedName>
    <definedName name="Varr_agua12">#REF!</definedName>
    <definedName name="Varr_agua2">#REF!</definedName>
    <definedName name="Varr_agua3">#REF!</definedName>
    <definedName name="Varr_agua5">#REF!</definedName>
    <definedName name="Varr_agua6">#REF!</definedName>
    <definedName name="Varr_agua7">#REF!</definedName>
    <definedName name="Varr_agua8">#REF!</definedName>
    <definedName name="Varr_agua9">#REF!</definedName>
    <definedName name="Varr_aire9">#REF!</definedName>
    <definedName name="Varr_masas">#REF!</definedName>
    <definedName name="Varta">#REF!</definedName>
    <definedName name="Varta10">#REF!</definedName>
    <definedName name="Varta11">#REF!</definedName>
    <definedName name="Varta12">#REF!</definedName>
    <definedName name="Varta2">#REF!</definedName>
    <definedName name="Varta3">#REF!</definedName>
    <definedName name="Varta4">#REF!</definedName>
    <definedName name="Varta5">#REF!</definedName>
    <definedName name="Varta6">#REF!</definedName>
    <definedName name="Varta7">#REF!</definedName>
    <definedName name="Varta8">#REF!</definedName>
    <definedName name="Varta9">#REF!</definedName>
    <definedName name="vartagua">#REF!</definedName>
    <definedName name="Vartagua10">#REF!</definedName>
    <definedName name="Vartagua11">#REF!</definedName>
    <definedName name="Vartagua12">#REF!</definedName>
    <definedName name="Vartagua2">#REF!</definedName>
    <definedName name="Vartagua3">#REF!</definedName>
    <definedName name="Vartagua4">#REF!</definedName>
    <definedName name="Vartagua5">#REF!</definedName>
    <definedName name="Vartagua6">#REF!</definedName>
    <definedName name="Vartagua7">#REF!</definedName>
    <definedName name="Vartagua8">#REF!</definedName>
    <definedName name="Vartagua9">#REF!</definedName>
    <definedName name="varthum2">#REF!</definedName>
    <definedName name="VartipoA_2">#REF!</definedName>
    <definedName name="Vartw">#REF!</definedName>
    <definedName name="vol20_10">#REF!</definedName>
    <definedName name="vol20_11">#REF!</definedName>
    <definedName name="vol20_12">#REF!</definedName>
    <definedName name="vol20_2">#REF!</definedName>
    <definedName name="vol20_3">#REF!</definedName>
    <definedName name="vol20_4">#REF!</definedName>
    <definedName name="vol20_5">#REF!</definedName>
    <definedName name="vol20_6">#REF!</definedName>
    <definedName name="vol20_7">#REF!</definedName>
    <definedName name="vol20_8">#REF!</definedName>
    <definedName name="vol20_9">#REF!</definedName>
    <definedName name="volumen20">#REF!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9" i="1" l="1"/>
  <c r="E29" i="1"/>
  <c r="D75" i="13" l="1"/>
  <c r="E75" i="13" s="1"/>
  <c r="I74" i="13"/>
  <c r="D74" i="13"/>
  <c r="E74" i="13" s="1"/>
  <c r="G70" i="13"/>
  <c r="F70" i="13"/>
  <c r="E70" i="13"/>
  <c r="D70" i="13"/>
  <c r="C70" i="13"/>
  <c r="G69" i="13"/>
  <c r="F69" i="13"/>
  <c r="E69" i="13"/>
  <c r="D69" i="13"/>
  <c r="C69" i="13"/>
  <c r="G68" i="13"/>
  <c r="F68" i="13"/>
  <c r="E68" i="13"/>
  <c r="D68" i="13"/>
  <c r="C68" i="13"/>
  <c r="G67" i="13"/>
  <c r="F67" i="13"/>
  <c r="E67" i="13"/>
  <c r="D67" i="13"/>
  <c r="C67" i="13"/>
  <c r="H65" i="13"/>
  <c r="G65" i="13"/>
  <c r="F65" i="13"/>
  <c r="E65" i="13"/>
  <c r="D65" i="13"/>
  <c r="C65" i="13"/>
  <c r="H64" i="13"/>
  <c r="G64" i="13"/>
  <c r="F64" i="13"/>
  <c r="E64" i="13"/>
  <c r="D64" i="13"/>
  <c r="C64" i="13"/>
  <c r="H63" i="13"/>
  <c r="G63" i="13"/>
  <c r="F63" i="13"/>
  <c r="E63" i="13"/>
  <c r="D63" i="13"/>
  <c r="C63" i="13"/>
  <c r="H62" i="13"/>
  <c r="G62" i="13"/>
  <c r="F62" i="13"/>
  <c r="E62" i="13"/>
  <c r="D62" i="13"/>
  <c r="C62" i="13"/>
</calcChain>
</file>

<file path=xl/sharedStrings.xml><?xml version="1.0" encoding="utf-8"?>
<sst xmlns="http://schemas.openxmlformats.org/spreadsheetml/2006/main" count="151" uniqueCount="132">
  <si>
    <t xml:space="preserve">• Av. Colinas del Cimatario No 381,  Col. Colinas del Cimatario, Querétaro, Qro., C. P. 76090
• Tel: (442) 2480250 • Fax: (442) 2481503 </t>
  </si>
  <si>
    <r>
      <t>C</t>
    </r>
    <r>
      <rPr>
        <b/>
        <sz val="28"/>
        <color theme="0"/>
        <rFont val="Arial"/>
        <family val="2"/>
      </rPr>
      <t>0</t>
    </r>
    <r>
      <rPr>
        <b/>
        <sz val="28"/>
        <color theme="1"/>
        <rFont val="Arial"/>
        <family val="2"/>
      </rPr>
      <t>E</t>
    </r>
    <r>
      <rPr>
        <b/>
        <sz val="28"/>
        <color theme="0"/>
        <rFont val="Arial"/>
        <family val="2"/>
      </rPr>
      <t>0</t>
    </r>
    <r>
      <rPr>
        <b/>
        <sz val="28"/>
        <color theme="1"/>
        <rFont val="Arial"/>
        <family val="2"/>
      </rPr>
      <t>R</t>
    </r>
    <r>
      <rPr>
        <b/>
        <sz val="28"/>
        <color theme="0"/>
        <rFont val="Arial"/>
        <family val="2"/>
      </rPr>
      <t>0</t>
    </r>
    <r>
      <rPr>
        <b/>
        <sz val="28"/>
        <color theme="1"/>
        <rFont val="Arial"/>
        <family val="2"/>
      </rPr>
      <t>T</t>
    </r>
    <r>
      <rPr>
        <b/>
        <sz val="28"/>
        <color theme="0"/>
        <rFont val="Arial"/>
        <family val="2"/>
      </rPr>
      <t>0</t>
    </r>
    <r>
      <rPr>
        <b/>
        <sz val="28"/>
        <color theme="1"/>
        <rFont val="Arial"/>
        <family val="2"/>
      </rPr>
      <t>I</t>
    </r>
    <r>
      <rPr>
        <b/>
        <sz val="28"/>
        <color theme="0"/>
        <rFont val="Arial"/>
        <family val="2"/>
      </rPr>
      <t>0</t>
    </r>
    <r>
      <rPr>
        <b/>
        <sz val="28"/>
        <color theme="1"/>
        <rFont val="Arial"/>
        <family val="2"/>
      </rPr>
      <t>F</t>
    </r>
    <r>
      <rPr>
        <b/>
        <sz val="28"/>
        <color theme="0"/>
        <rFont val="Arial"/>
        <family val="2"/>
      </rPr>
      <t>0</t>
    </r>
    <r>
      <rPr>
        <b/>
        <sz val="28"/>
        <color theme="1"/>
        <rFont val="Arial"/>
        <family val="2"/>
      </rPr>
      <t>I</t>
    </r>
    <r>
      <rPr>
        <b/>
        <sz val="28"/>
        <color theme="0"/>
        <rFont val="Arial"/>
        <family val="2"/>
      </rPr>
      <t>0</t>
    </r>
    <r>
      <rPr>
        <b/>
        <sz val="28"/>
        <color theme="1"/>
        <rFont val="Arial"/>
        <family val="2"/>
      </rPr>
      <t>C</t>
    </r>
    <r>
      <rPr>
        <b/>
        <sz val="28"/>
        <color theme="0"/>
        <rFont val="Arial"/>
        <family val="2"/>
      </rPr>
      <t>0</t>
    </r>
    <r>
      <rPr>
        <b/>
        <sz val="28"/>
        <color theme="1"/>
        <rFont val="Arial"/>
        <family val="2"/>
      </rPr>
      <t>A</t>
    </r>
    <r>
      <rPr>
        <b/>
        <sz val="28"/>
        <color theme="0"/>
        <rFont val="Arial"/>
        <family val="2"/>
      </rPr>
      <t>0</t>
    </r>
    <r>
      <rPr>
        <b/>
        <sz val="28"/>
        <color theme="1"/>
        <rFont val="Arial"/>
        <family val="2"/>
      </rPr>
      <t>D</t>
    </r>
    <r>
      <rPr>
        <b/>
        <sz val="28"/>
        <color theme="0"/>
        <rFont val="Arial"/>
        <family val="2"/>
      </rPr>
      <t>0</t>
    </r>
    <r>
      <rPr>
        <b/>
        <sz val="28"/>
        <color theme="1"/>
        <rFont val="Arial"/>
        <family val="2"/>
      </rPr>
      <t>O</t>
    </r>
    <r>
      <rPr>
        <b/>
        <sz val="28"/>
        <color theme="0"/>
        <rFont val="Arial"/>
        <family val="2"/>
      </rPr>
      <t>0 0</t>
    </r>
    <r>
      <rPr>
        <b/>
        <sz val="28"/>
        <color theme="1"/>
        <rFont val="Arial"/>
        <family val="2"/>
      </rPr>
      <t>D</t>
    </r>
    <r>
      <rPr>
        <b/>
        <sz val="28"/>
        <color theme="0"/>
        <rFont val="Arial"/>
        <family val="2"/>
      </rPr>
      <t>0</t>
    </r>
    <r>
      <rPr>
        <b/>
        <sz val="28"/>
        <color theme="1"/>
        <rFont val="Arial"/>
        <family val="2"/>
      </rPr>
      <t>E</t>
    </r>
    <r>
      <rPr>
        <b/>
        <sz val="28"/>
        <color theme="0"/>
        <rFont val="Arial"/>
        <family val="2"/>
      </rPr>
      <t>0</t>
    </r>
    <r>
      <rPr>
        <b/>
        <sz val="28"/>
        <color theme="1"/>
        <rFont val="Arial"/>
        <family val="2"/>
      </rPr>
      <t xml:space="preserve"> C</t>
    </r>
    <r>
      <rPr>
        <b/>
        <sz val="28"/>
        <color theme="0"/>
        <rFont val="Arial"/>
        <family val="2"/>
      </rPr>
      <t>0</t>
    </r>
    <r>
      <rPr>
        <b/>
        <sz val="28"/>
        <color theme="1"/>
        <rFont val="Arial"/>
        <family val="2"/>
      </rPr>
      <t>A</t>
    </r>
    <r>
      <rPr>
        <b/>
        <sz val="28"/>
        <color theme="0"/>
        <rFont val="Arial"/>
        <family val="2"/>
      </rPr>
      <t>0</t>
    </r>
    <r>
      <rPr>
        <b/>
        <sz val="28"/>
        <color theme="1"/>
        <rFont val="Arial"/>
        <family val="2"/>
      </rPr>
      <t>L</t>
    </r>
    <r>
      <rPr>
        <b/>
        <sz val="28"/>
        <color theme="0"/>
        <rFont val="Arial"/>
        <family val="2"/>
      </rPr>
      <t>0</t>
    </r>
    <r>
      <rPr>
        <b/>
        <sz val="28"/>
        <color theme="1"/>
        <rFont val="Arial"/>
        <family val="2"/>
      </rPr>
      <t>I</t>
    </r>
    <r>
      <rPr>
        <b/>
        <sz val="28"/>
        <color theme="0"/>
        <rFont val="Arial"/>
        <family val="2"/>
      </rPr>
      <t>0</t>
    </r>
    <r>
      <rPr>
        <b/>
        <sz val="28"/>
        <color theme="1"/>
        <rFont val="Arial"/>
        <family val="2"/>
      </rPr>
      <t>B</t>
    </r>
    <r>
      <rPr>
        <b/>
        <sz val="28"/>
        <color theme="0"/>
        <rFont val="Arial"/>
        <family val="2"/>
      </rPr>
      <t>0</t>
    </r>
    <r>
      <rPr>
        <b/>
        <sz val="28"/>
        <color theme="1"/>
        <rFont val="Arial"/>
        <family val="2"/>
      </rPr>
      <t>R</t>
    </r>
    <r>
      <rPr>
        <b/>
        <sz val="28"/>
        <color theme="0"/>
        <rFont val="Arial"/>
        <family val="2"/>
      </rPr>
      <t>0</t>
    </r>
    <r>
      <rPr>
        <b/>
        <sz val="28"/>
        <color theme="1"/>
        <rFont val="Arial"/>
        <family val="2"/>
      </rPr>
      <t>A</t>
    </r>
    <r>
      <rPr>
        <b/>
        <sz val="28"/>
        <color theme="0"/>
        <rFont val="Arial"/>
        <family val="2"/>
      </rPr>
      <t>0</t>
    </r>
    <r>
      <rPr>
        <b/>
        <sz val="28"/>
        <color theme="1"/>
        <rFont val="Arial"/>
        <family val="2"/>
      </rPr>
      <t>C</t>
    </r>
    <r>
      <rPr>
        <b/>
        <sz val="28"/>
        <color theme="0"/>
        <rFont val="Arial"/>
        <family val="2"/>
      </rPr>
      <t>0</t>
    </r>
    <r>
      <rPr>
        <b/>
        <sz val="28"/>
        <color theme="1"/>
        <rFont val="Arial"/>
        <family val="2"/>
      </rPr>
      <t>I</t>
    </r>
    <r>
      <rPr>
        <b/>
        <sz val="28"/>
        <color theme="0"/>
        <rFont val="Arial"/>
        <family val="2"/>
      </rPr>
      <t>0</t>
    </r>
    <r>
      <rPr>
        <b/>
        <sz val="28"/>
        <color theme="1"/>
        <rFont val="Arial"/>
        <family val="2"/>
      </rPr>
      <t>Ó</t>
    </r>
    <r>
      <rPr>
        <b/>
        <sz val="28"/>
        <color theme="0"/>
        <rFont val="Arial"/>
        <family val="2"/>
      </rPr>
      <t>0</t>
    </r>
    <r>
      <rPr>
        <b/>
        <sz val="28"/>
        <color theme="1"/>
        <rFont val="Arial"/>
        <family val="2"/>
      </rPr>
      <t xml:space="preserve">N                                
</t>
    </r>
    <r>
      <rPr>
        <b/>
        <i/>
        <sz val="17.5"/>
        <color theme="1"/>
        <rFont val="Arial"/>
        <family val="2"/>
      </rPr>
      <t/>
    </r>
  </si>
  <si>
    <t>Certificado#:4872.01. Válido Hasta 2024-12-31.
Certificate#:4872.01. Valid to 2024-12-31.</t>
  </si>
  <si>
    <r>
      <t xml:space="preserve">Nº de Certificado:
</t>
    </r>
    <r>
      <rPr>
        <i/>
        <sz val="14"/>
        <color rgb="FF002060"/>
        <rFont val="Arial"/>
        <family val="2"/>
      </rPr>
      <t>Certificate N°:</t>
    </r>
  </si>
  <si>
    <t xml:space="preserve">    C A L I B R A T I O N   C E R T I F I C A T E</t>
  </si>
  <si>
    <t>Pág 1 de 2</t>
  </si>
  <si>
    <r>
      <t xml:space="preserve">Información General / </t>
    </r>
    <r>
      <rPr>
        <i/>
        <sz val="16"/>
        <color theme="8" tint="-0.499984740745262"/>
        <rFont val="Arial"/>
        <family val="2"/>
      </rPr>
      <t>General Information</t>
    </r>
  </si>
  <si>
    <r>
      <rPr>
        <sz val="18"/>
        <color theme="8" tint="-0.499984740745262"/>
        <rFont val="Arial"/>
        <family val="2"/>
      </rPr>
      <t>Cliente:</t>
    </r>
    <r>
      <rPr>
        <sz val="16.5"/>
        <color theme="8" tint="-0.499984740745262"/>
        <rFont val="Arial"/>
        <family val="2"/>
      </rPr>
      <t xml:space="preserve">
</t>
    </r>
    <r>
      <rPr>
        <i/>
        <sz val="16"/>
        <color theme="8" tint="-0.499984740745262"/>
        <rFont val="Arial"/>
        <family val="2"/>
      </rPr>
      <t>Customer:</t>
    </r>
  </si>
  <si>
    <r>
      <rPr>
        <sz val="18"/>
        <color theme="8" tint="-0.499984740745262"/>
        <rFont val="Arial"/>
        <family val="2"/>
      </rPr>
      <t>Dirección y Teléfono:</t>
    </r>
    <r>
      <rPr>
        <sz val="16.5"/>
        <color theme="8" tint="-0.499984740745262"/>
        <rFont val="Arial"/>
        <family val="2"/>
      </rPr>
      <t xml:space="preserve">
</t>
    </r>
    <r>
      <rPr>
        <i/>
        <sz val="16"/>
        <color theme="8" tint="-0.499984740745262"/>
        <rFont val="Arial"/>
        <family val="2"/>
      </rPr>
      <t>Address and Phone:</t>
    </r>
  </si>
  <si>
    <r>
      <t xml:space="preserve">Información de Objeto / </t>
    </r>
    <r>
      <rPr>
        <i/>
        <sz val="16"/>
        <color theme="8" tint="-0.499984740745262"/>
        <rFont val="Arial"/>
        <family val="2"/>
      </rPr>
      <t>Object Information</t>
    </r>
  </si>
  <si>
    <t xml:space="preserve">Objeto: </t>
  </si>
  <si>
    <t>Nº Identificación:</t>
  </si>
  <si>
    <t>Object:</t>
  </si>
  <si>
    <t>Id N°:</t>
  </si>
  <si>
    <t>Fabricante:</t>
  </si>
  <si>
    <t>Exactitud:</t>
  </si>
  <si>
    <t>Manufacturer:</t>
  </si>
  <si>
    <t>Accuracy:</t>
  </si>
  <si>
    <t>Modelo:</t>
  </si>
  <si>
    <t>Resolución:</t>
  </si>
  <si>
    <t>Model:</t>
  </si>
  <si>
    <t>Graduation:</t>
  </si>
  <si>
    <t>N° de Serie</t>
  </si>
  <si>
    <t>Intervalo Nominal:</t>
  </si>
  <si>
    <t>Serial Number:</t>
  </si>
  <si>
    <t>Nominal Interval:</t>
  </si>
  <si>
    <r>
      <t xml:space="preserve">Método de Prueba / </t>
    </r>
    <r>
      <rPr>
        <i/>
        <sz val="16"/>
        <color theme="8" tint="-0.499984740745262"/>
        <rFont val="Arial"/>
        <family val="2"/>
      </rPr>
      <t>Testing Method</t>
    </r>
  </si>
  <si>
    <t>Procedimiento de Calibración:</t>
  </si>
  <si>
    <t>Documento de Referencia:</t>
  </si>
  <si>
    <t>Calibration Procedure:</t>
  </si>
  <si>
    <t>Reference document:</t>
  </si>
  <si>
    <r>
      <t xml:space="preserve">Patrón de Referencia / </t>
    </r>
    <r>
      <rPr>
        <i/>
        <sz val="16"/>
        <color theme="8" tint="-0.499984740745262"/>
        <rFont val="Arial"/>
        <family val="2"/>
      </rPr>
      <t>Reference Master</t>
    </r>
  </si>
  <si>
    <t>Instrumento Patrón:</t>
  </si>
  <si>
    <t>Trazabilidad Metrológica a (patrón primario):</t>
  </si>
  <si>
    <t>No. De Certificado de Calibración:</t>
  </si>
  <si>
    <t>Siguiente Calibración:</t>
  </si>
  <si>
    <t>Test Instrument:</t>
  </si>
  <si>
    <t>Metrologic Traceability to (primary master):</t>
  </si>
  <si>
    <t>Calibration certificate number:</t>
  </si>
  <si>
    <t>Next Calibration:</t>
  </si>
  <si>
    <r>
      <rPr>
        <sz val="16"/>
        <color theme="8" tint="-0.499984740745262"/>
        <rFont val="Arial"/>
        <family val="2"/>
      </rPr>
      <t>Fecha de Recepción:</t>
    </r>
    <r>
      <rPr>
        <sz val="14"/>
        <color theme="8" tint="-0.499984740745262"/>
        <rFont val="Arial"/>
        <family val="2"/>
      </rPr>
      <t xml:space="preserve">
</t>
    </r>
    <r>
      <rPr>
        <i/>
        <sz val="14"/>
        <color theme="8" tint="-0.499984740745262"/>
        <rFont val="Arial"/>
        <family val="2"/>
      </rPr>
      <t>Reception Date:</t>
    </r>
  </si>
  <si>
    <t>Realizó la Calibración:</t>
  </si>
  <si>
    <t>Autorizó la Calibración:</t>
  </si>
  <si>
    <t>Did the Calibration:</t>
  </si>
  <si>
    <t>Authorized Calibration:</t>
  </si>
  <si>
    <r>
      <rPr>
        <sz val="16"/>
        <color theme="8" tint="-0.499984740745262"/>
        <rFont val="Arial"/>
        <family val="2"/>
      </rPr>
      <t>Fecha de Calibración:</t>
    </r>
    <r>
      <rPr>
        <sz val="14"/>
        <color theme="8" tint="-0.499984740745262"/>
        <rFont val="Arial"/>
        <family val="2"/>
      </rPr>
      <t xml:space="preserve">
</t>
    </r>
    <r>
      <rPr>
        <i/>
        <sz val="14"/>
        <color theme="8" tint="-0.499984740745262"/>
        <rFont val="Arial"/>
        <family val="2"/>
      </rPr>
      <t>Calibration Date:</t>
    </r>
  </si>
  <si>
    <r>
      <rPr>
        <sz val="16"/>
        <color theme="8" tint="-0.499984740745262"/>
        <rFont val="Arial"/>
        <family val="2"/>
      </rPr>
      <t>Fecha de Emisión:</t>
    </r>
    <r>
      <rPr>
        <sz val="14"/>
        <color theme="8" tint="-0.499984740745262"/>
        <rFont val="Arial"/>
        <family val="2"/>
      </rPr>
      <t xml:space="preserve">
</t>
    </r>
    <r>
      <rPr>
        <i/>
        <sz val="14"/>
        <color theme="8" tint="-0.499984740745262"/>
        <rFont val="Arial"/>
        <family val="2"/>
      </rPr>
      <t>Issue Date:</t>
    </r>
  </si>
  <si>
    <t>F7.8.1.2m Certificado de Calibración (Versión 3)</t>
  </si>
  <si>
    <t xml:space="preserve">• Av. Colinas del Cimatario No 381,  Col. Colinas del Cimatario, Querétaro, Qro., C. P. 76090
• Tel: (442) 2480250 • Fax: (442) 2481503 • </t>
  </si>
  <si>
    <t>Nº de Certificado:
Certificate N°:</t>
  </si>
  <si>
    <t>Pág 2 de 2</t>
  </si>
  <si>
    <r>
      <t xml:space="preserve">Resultados Previos / </t>
    </r>
    <r>
      <rPr>
        <i/>
        <sz val="18"/>
        <color theme="8" tint="-0.499984740745262"/>
        <rFont val="Arial"/>
        <family val="2"/>
      </rPr>
      <t>Previous Results</t>
    </r>
  </si>
  <si>
    <t xml:space="preserve">No hay resultados previos puesto que el equipo no requirió ajuste y los valores reportes son la única medición necesaria para validarlo. </t>
  </si>
  <si>
    <t>There are no previous results because the equipment didn't required adjustment, and the values reported are the only measurements needed to validate it.</t>
  </si>
  <si>
    <r>
      <t xml:space="preserve">Valores Nominales  </t>
    </r>
    <r>
      <rPr>
        <b/>
        <i/>
        <sz val="9"/>
        <color theme="1"/>
        <rFont val="Arial"/>
        <family val="2"/>
      </rPr>
      <t xml:space="preserve">mm </t>
    </r>
    <r>
      <rPr>
        <sz val="9"/>
        <color theme="1"/>
        <rFont val="Arial"/>
        <family val="2"/>
      </rPr>
      <t>pulg.</t>
    </r>
  </si>
  <si>
    <r>
      <t xml:space="preserve">Error de indicación </t>
    </r>
    <r>
      <rPr>
        <b/>
        <i/>
        <sz val="9"/>
        <color theme="1"/>
        <rFont val="Arial"/>
        <family val="2"/>
      </rPr>
      <t>mm</t>
    </r>
    <r>
      <rPr>
        <sz val="9"/>
        <color theme="1"/>
        <rFont val="Arial"/>
        <family val="2"/>
      </rPr>
      <t>pulg.</t>
    </r>
  </si>
  <si>
    <r>
      <rPr>
        <b/>
        <i/>
        <sz val="11"/>
        <color theme="1"/>
        <rFont val="Calibri"/>
        <family val="2"/>
      </rPr>
      <t>µ</t>
    </r>
    <r>
      <rPr>
        <b/>
        <i/>
        <sz val="9.9"/>
        <color theme="1"/>
        <rFont val="Aharoni"/>
      </rPr>
      <t>m</t>
    </r>
  </si>
  <si>
    <t>pulg.</t>
  </si>
  <si>
    <t xml:space="preserve">Paralelismo entre caras de medición </t>
  </si>
  <si>
    <t>Fuerza de medición (N).</t>
  </si>
  <si>
    <t>Planitud</t>
  </si>
  <si>
    <r>
      <t xml:space="preserve">Resultados de Calibración / </t>
    </r>
    <r>
      <rPr>
        <i/>
        <sz val="18"/>
        <color theme="8" tint="-0.499984740745262"/>
        <rFont val="Arial"/>
        <family val="2"/>
      </rPr>
      <t>Calibration Results</t>
    </r>
  </si>
  <si>
    <t>µm</t>
  </si>
  <si>
    <r>
      <t xml:space="preserve">Paralelismo entre caras de medición                         </t>
    </r>
    <r>
      <rPr>
        <i/>
        <sz val="12"/>
        <color rgb="FF002060"/>
        <rFont val="Arial"/>
        <family val="2"/>
      </rPr>
      <t>Parallelism between measuring faces</t>
    </r>
  </si>
  <si>
    <r>
      <t xml:space="preserve">Fuerza de medición (N).  
</t>
    </r>
    <r>
      <rPr>
        <i/>
        <sz val="12"/>
        <color rgb="FF002060"/>
        <rFont val="Arial"/>
        <family val="2"/>
      </rPr>
      <t xml:space="preserve">Measuring Force    </t>
    </r>
  </si>
  <si>
    <r>
      <t xml:space="preserve">Planitud / </t>
    </r>
    <r>
      <rPr>
        <i/>
        <sz val="12"/>
        <color rgb="FF002060"/>
        <rFont val="Arial"/>
        <family val="2"/>
      </rPr>
      <t xml:space="preserve">Flatness </t>
    </r>
  </si>
  <si>
    <r>
      <t xml:space="preserve">Incertidumbre   
   </t>
    </r>
    <r>
      <rPr>
        <b/>
        <i/>
        <sz val="15"/>
        <color theme="4" tint="-0.499984740745262"/>
        <rFont val="Arial"/>
        <family val="2"/>
      </rPr>
      <t xml:space="preserve"> Uncertainty</t>
    </r>
    <r>
      <rPr>
        <b/>
        <sz val="15"/>
        <color theme="4" tint="-0.499984740745262"/>
        <rFont val="Arial"/>
        <family val="2"/>
      </rPr>
      <t xml:space="preserve">: 
</t>
    </r>
  </si>
  <si>
    <r>
      <t xml:space="preserve">Condiciones Ambientales / </t>
    </r>
    <r>
      <rPr>
        <i/>
        <sz val="16"/>
        <color theme="8" tint="-0.499984740745262"/>
        <rFont val="Arial"/>
        <family val="2"/>
      </rPr>
      <t>Environmental Conditions</t>
    </r>
  </si>
  <si>
    <r>
      <t>Temperatura de Calibración:
C</t>
    </r>
    <r>
      <rPr>
        <i/>
        <sz val="14"/>
        <color theme="8" tint="-0.499984740745262"/>
        <rFont val="Arial"/>
        <family val="2"/>
      </rPr>
      <t>alibration Temperature:</t>
    </r>
  </si>
  <si>
    <r>
      <t xml:space="preserve">Humedad relativa:
</t>
    </r>
    <r>
      <rPr>
        <i/>
        <sz val="14"/>
        <color theme="8" tint="-0.499984740745262"/>
        <rFont val="Arial"/>
        <family val="2"/>
      </rPr>
      <t>Relative Humidity:</t>
    </r>
  </si>
  <si>
    <r>
      <t xml:space="preserve">Observaciones / </t>
    </r>
    <r>
      <rPr>
        <i/>
        <sz val="16"/>
        <color rgb="FF002060"/>
        <rFont val="Arial"/>
        <family val="2"/>
      </rPr>
      <t>Observations</t>
    </r>
  </si>
  <si>
    <r>
      <rPr>
        <sz val="14"/>
        <color theme="8" tint="-0.499984740745262"/>
        <rFont val="Arial"/>
        <family val="2"/>
      </rPr>
      <t>La incertidumbre de la medición es reportada para los valores medidos con un factor K=2 (factor de confianza de 95% aproximadamente). La incertidumbre no es considerada cuando se considera el cumplimiento de especificaciones. Es responsabilidad del cliente determinar la aceptación del elemento calibrado para su uso en el alcance de medida reportado.</t>
    </r>
    <r>
      <rPr>
        <i/>
        <sz val="18"/>
        <color theme="8" tint="-0.499984740745262"/>
        <rFont val="Arial"/>
        <family val="2"/>
      </rPr>
      <t xml:space="preserve">
</t>
    </r>
    <r>
      <rPr>
        <i/>
        <sz val="12"/>
        <color theme="8" tint="-0.499984740745262"/>
        <rFont val="Arial"/>
        <family val="2"/>
      </rPr>
      <t>The measurement uncertainty is reported for the measured values with a factor K = 2 (confidence factor of approximately 95%). Uncertainty is not considered when considering compliance with specifications. It is the customer's responsibility to determine the acceptance of the calibrated element for use in the scope of measurement reported.</t>
    </r>
  </si>
  <si>
    <r>
      <rPr>
        <sz val="14"/>
        <color theme="8" tint="-0.499984740745262"/>
        <rFont val="Arial"/>
        <family val="2"/>
      </rPr>
      <t>La incertidumbre de medición fue estimada de acuerdo a la norma NMX-CH-140-IMNC 2002 Guía para la expresión de la incertidumbre en las mediciones, equivalente al documento JCGM 100:2008 (GUM 1995 with minor corrections).</t>
    </r>
    <r>
      <rPr>
        <sz val="18"/>
        <color theme="8" tint="-0.499984740745262"/>
        <rFont val="Arial"/>
        <family val="2"/>
      </rPr>
      <t xml:space="preserve"> </t>
    </r>
    <r>
      <rPr>
        <sz val="14"/>
        <color theme="8" tint="-0.499984740745262"/>
        <rFont val="Arial"/>
        <family val="2"/>
      </rPr>
      <t>Evaluación de datos de medición - Guía para la expresión de incertidumbre en la medición, con correcciones menores BIPM. Primeras Ediciones - Septiembre 2008</t>
    </r>
    <r>
      <rPr>
        <sz val="18"/>
        <color theme="8" tint="-0.499984740745262"/>
        <rFont val="Arial"/>
        <family val="2"/>
      </rPr>
      <t xml:space="preserve">. 
</t>
    </r>
    <r>
      <rPr>
        <i/>
        <sz val="12"/>
        <color theme="8" tint="-0.499984740745262"/>
        <rFont val="Arial"/>
        <family val="2"/>
      </rPr>
      <t>Uncertainty was estimated according to NMX-CH-140-IMNC 2002, Guide for  uncertainty of measurements, equivalent to JCGM 100:2008 (GUM 1995 with minor corrections) Evalution of measurement data - Guide to the expression of uncertainty in measurement, with minor corrections BIPM. First Editions - September 2008.</t>
    </r>
  </si>
  <si>
    <r>
      <rPr>
        <sz val="14"/>
        <color theme="8" tint="-0.499984740745262"/>
        <rFont val="Arial"/>
        <family val="2"/>
      </rPr>
      <t>La siguiente calibración a solicitud del cliente es:</t>
    </r>
    <r>
      <rPr>
        <sz val="18"/>
        <color theme="8" tint="-0.499984740745262"/>
        <rFont val="Arial"/>
        <family val="2"/>
      </rPr>
      <t xml:space="preserve">
</t>
    </r>
    <r>
      <rPr>
        <i/>
        <sz val="12"/>
        <color theme="8" tint="-0.499984740745262"/>
        <rFont val="Arial"/>
        <family val="2"/>
      </rPr>
      <t>The next calibration at the customer's request is:</t>
    </r>
  </si>
  <si>
    <r>
      <rPr>
        <sz val="14"/>
        <color theme="8" tint="-0.499984740745262"/>
        <rFont val="Arial"/>
        <family val="2"/>
      </rPr>
      <t>Servicio de calibración con acreditación:</t>
    </r>
    <r>
      <rPr>
        <sz val="18"/>
        <color theme="8" tint="-0.499984740745262"/>
        <rFont val="Arial"/>
        <family val="2"/>
      </rPr>
      <t xml:space="preserve">
</t>
    </r>
    <r>
      <rPr>
        <i/>
        <sz val="12"/>
        <color theme="8" tint="-0.499984740745262"/>
        <rFont val="Arial"/>
        <family val="2"/>
      </rPr>
      <t>Calibration Service with accreditation</t>
    </r>
    <r>
      <rPr>
        <sz val="12"/>
        <color theme="8" tint="-0.499984740745262"/>
        <rFont val="Arial"/>
        <family val="2"/>
      </rPr>
      <t>:</t>
    </r>
  </si>
  <si>
    <r>
      <rPr>
        <sz val="14"/>
        <color theme="8" tint="-0.499984740745262"/>
        <rFont val="Arial"/>
        <family val="2"/>
      </rPr>
      <t>El servicio fue realizado en instalaciones del cliente:</t>
    </r>
    <r>
      <rPr>
        <i/>
        <sz val="14"/>
        <color theme="8" tint="-0.499984740745262"/>
        <rFont val="Arial"/>
        <family val="2"/>
      </rPr>
      <t xml:space="preserve">
</t>
    </r>
    <r>
      <rPr>
        <i/>
        <sz val="12"/>
        <color theme="8" tint="-0.499984740745262"/>
        <rFont val="Arial"/>
        <family val="2"/>
      </rPr>
      <t>The service was performed  in customer's facilities:</t>
    </r>
  </si>
  <si>
    <t>No</t>
  </si>
  <si>
    <r>
      <t xml:space="preserve"> </t>
    </r>
    <r>
      <rPr>
        <b/>
        <sz val="14"/>
        <color theme="1"/>
        <rFont val="Arial"/>
        <family val="2"/>
      </rPr>
      <t xml:space="preserve">Tabla de error permisible de acuerdo a la norma NMX-CH-099-IMNC-2005 para micrómetros de exteriores </t>
    </r>
  </si>
  <si>
    <t>n/a</t>
  </si>
  <si>
    <t>CONDICIONES AMBIENTALES</t>
  </si>
  <si>
    <t>Temperatura Inicial</t>
  </si>
  <si>
    <t>Temperatura Final</t>
  </si>
  <si>
    <t>Humedad Inicial</t>
  </si>
  <si>
    <t>Humedad Final</t>
  </si>
  <si>
    <t>Calibró:</t>
  </si>
  <si>
    <t>Autorizó:</t>
  </si>
  <si>
    <t>promedio</t>
  </si>
  <si>
    <r>
      <t xml:space="preserve">Planitud en </t>
    </r>
    <r>
      <rPr>
        <sz val="11"/>
        <color theme="1"/>
        <rFont val="Calibri"/>
        <family val="2"/>
      </rPr>
      <t>µm</t>
    </r>
  </si>
  <si>
    <t>Paralelismo µm</t>
  </si>
  <si>
    <t>Tope Husillo</t>
  </si>
  <si>
    <t>Tope Fijo</t>
  </si>
  <si>
    <t>Lecturas</t>
  </si>
  <si>
    <t>Fuerza de Medición (N)</t>
  </si>
  <si>
    <t>numero de cliente</t>
  </si>
  <si>
    <t>numero de certificado</t>
  </si>
  <si>
    <t>patron</t>
  </si>
  <si>
    <t>Alcance</t>
  </si>
  <si>
    <t>Método Empleado:</t>
  </si>
  <si>
    <t>Measuring Method:</t>
  </si>
  <si>
    <t>0082 milime</t>
  </si>
  <si>
    <t>MICROMETRO DE EXTERIORES  TOPE PLANO</t>
  </si>
  <si>
    <t>MITUTOYO</t>
  </si>
  <si>
    <t>Hyrsa Aerospace Maquinados CNC de Precisión, S. de R.L. de C.V.</t>
  </si>
  <si>
    <t>12 meses</t>
  </si>
  <si>
    <r>
      <t>Valores Nominales mm (in)_x000D_</t>
    </r>
    <r>
      <rPr>
        <sz val="11"/>
        <color rgb="FF002060"/>
        <rFont val="Arial"/>
        <family val="2"/>
      </rPr>
      <t xml:space="preserve">
Nominal Values mm (in</t>
    </r>
    <r>
      <rPr>
        <b/>
        <sz val="11"/>
        <color rgb="FF002060"/>
        <rFont val="Arial"/>
        <family val="2"/>
      </rPr>
      <t>)</t>
    </r>
  </si>
  <si>
    <r>
      <t>Error de medida mm (in)_x000D_</t>
    </r>
    <r>
      <rPr>
        <sz val="11"/>
        <color rgb="FF002060"/>
        <rFont val="Arial"/>
        <family val="2"/>
      </rPr>
      <t xml:space="preserve">
Error mm (in</t>
    </r>
    <r>
      <rPr>
        <b/>
        <sz val="11"/>
        <color rgb="FF002060"/>
        <rFont val="Arial"/>
        <family val="2"/>
      </rPr>
      <t>)</t>
    </r>
  </si>
  <si>
    <t>TCM2303-0193</t>
  </si>
  <si>
    <t>293-181-30</t>
  </si>
  <si>
    <t>GM01/615</t>
  </si>
  <si>
    <t>1-2 in</t>
  </si>
  <si>
    <t>1 - 2 in</t>
  </si>
  <si>
    <t>0.00005 in</t>
  </si>
  <si>
    <t>0193 pulgadas</t>
  </si>
  <si>
    <t>25.400 (1.00)</t>
  </si>
  <si>
    <t>28.070 (1.11)</t>
  </si>
  <si>
    <t>30.730 (1.21)</t>
  </si>
  <si>
    <t>33.400 (1.32)</t>
  </si>
  <si>
    <t>36.070 (1.42)</t>
  </si>
  <si>
    <t>38.100 (1.50)</t>
  </si>
  <si>
    <t>40.770 (1.61)</t>
  </si>
  <si>
    <t>43.430 (1.71)</t>
  </si>
  <si>
    <t>46.100 (1.82)</t>
  </si>
  <si>
    <t>48.770 (1.92)</t>
  </si>
  <si>
    <t>50.800 (2.00)</t>
  </si>
  <si>
    <t>33.870 (1.33)</t>
  </si>
  <si>
    <t xml:space="preserve">Los Rosales  6 Felipe Carrillo Puerto 76138 Querétaro Querétaro México Los Rosales  6 Felipe Carrillo Puerto 76138 Querétaro Querétaro México Los Rosales  6 Felipe Carrillo Puerto 76138 Querétaro Querétaro México </t>
  </si>
  <si>
    <t>P7.2.1.5</t>
  </si>
  <si>
    <t>Comparacion directa</t>
  </si>
  <si>
    <t>NMX-CH-099-IMNC-2005</t>
  </si>
  <si>
    <t>KAL021</t>
  </si>
  <si>
    <t>Bloques cortos acero</t>
  </si>
  <si>
    <t>TCM2205-1235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</si>
</sst>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mmm\-yyyy"/>
    <numFmt numFmtId="165" formatCode="yyyy\-mmm\-dd"/>
    <numFmt numFmtId="166" formatCode="yyyy\-mm\-dd;@"/>
    <numFmt numFmtId="167" formatCode="0.0"/>
    <numFmt numFmtId="168" formatCode="0.000"/>
    <numFmt numFmtId="169" formatCode="0.0000"/>
  </numFmts>
  <fonts count="86" x14ac:knownFonts="1">
    <font>
      <sz val="11"/>
      <color theme="1"/>
      <name val="Calibri"/>
      <family val="2"/>
      <scheme val="minor"/>
    </font>
    <font>
      <b/>
      <sz val="11"/>
      <color theme="1"/>
      <name val="Calibri"/>
      <family val="2"/>
      <scheme val="minor"/>
    </font>
    <font>
      <sz val="14"/>
      <color theme="1"/>
      <name val="Arial"/>
      <family val="2"/>
    </font>
    <font>
      <sz val="20"/>
      <color rgb="FF002060"/>
      <name val="Arial"/>
      <family val="2"/>
    </font>
    <font>
      <sz val="14"/>
      <color rgb="FF002060"/>
      <name val="Arial"/>
      <family val="2"/>
    </font>
    <font>
      <b/>
      <sz val="28"/>
      <color theme="1"/>
      <name val="Arial"/>
      <family val="2"/>
    </font>
    <font>
      <b/>
      <sz val="28"/>
      <color theme="0"/>
      <name val="Arial"/>
      <family val="2"/>
    </font>
    <font>
      <b/>
      <i/>
      <sz val="17.5"/>
      <color theme="1"/>
      <name val="Arial"/>
      <family val="2"/>
    </font>
    <font>
      <b/>
      <sz val="12"/>
      <color theme="4" tint="-0.499984740745262"/>
      <name val="Arial"/>
      <family val="2"/>
    </font>
    <font>
      <b/>
      <sz val="14"/>
      <color rgb="FF002060"/>
      <name val="Arial"/>
      <family val="2"/>
    </font>
    <font>
      <i/>
      <sz val="14"/>
      <color rgb="FF002060"/>
      <name val="Arial"/>
      <family val="2"/>
    </font>
    <font>
      <b/>
      <sz val="16"/>
      <color theme="1"/>
      <name val="Arial"/>
      <family val="2"/>
    </font>
    <font>
      <i/>
      <sz val="19"/>
      <color theme="8" tint="-0.249977111117893"/>
      <name val="Arial"/>
      <family val="2"/>
    </font>
    <font>
      <i/>
      <sz val="8"/>
      <color theme="1"/>
      <name val="Arial"/>
      <family val="2"/>
    </font>
    <font>
      <sz val="12"/>
      <color rgb="FF002060"/>
      <name val="Arial"/>
      <family val="2"/>
    </font>
    <font>
      <sz val="10"/>
      <color theme="1"/>
      <name val="Times New Roman"/>
      <family val="1"/>
    </font>
    <font>
      <sz val="9"/>
      <color theme="1"/>
      <name val="Arial"/>
      <family val="2"/>
    </font>
    <font>
      <b/>
      <sz val="18"/>
      <color theme="8" tint="-0.499984740745262"/>
      <name val="Arial"/>
      <family val="2"/>
    </font>
    <font>
      <i/>
      <sz val="16"/>
      <color theme="8" tint="-0.499984740745262"/>
      <name val="Arial"/>
      <family val="2"/>
    </font>
    <font>
      <sz val="16.5"/>
      <color theme="8" tint="-0.499984740745262"/>
      <name val="Arial"/>
      <family val="2"/>
    </font>
    <font>
      <sz val="18"/>
      <color theme="8" tint="-0.499984740745262"/>
      <name val="Arial"/>
      <family val="2"/>
    </font>
    <font>
      <b/>
      <sz val="18"/>
      <color theme="1"/>
      <name val="Arial"/>
      <family val="2"/>
    </font>
    <font>
      <sz val="8"/>
      <color theme="1"/>
      <name val="Times New Roman"/>
      <family val="1"/>
    </font>
    <font>
      <sz val="16"/>
      <color theme="8" tint="-0.499984740745262"/>
      <name val="Arial"/>
      <family val="2"/>
    </font>
    <font>
      <i/>
      <sz val="14"/>
      <color theme="8" tint="-0.499984740745262"/>
      <name val="Arial"/>
      <family val="2"/>
    </font>
    <font>
      <sz val="16.5"/>
      <color theme="1"/>
      <name val="Times New Roman"/>
      <family val="1"/>
    </font>
    <font>
      <b/>
      <sz val="16"/>
      <color theme="8" tint="-0.499984740745262"/>
      <name val="Arial"/>
      <family val="2"/>
    </font>
    <font>
      <sz val="8"/>
      <color theme="1"/>
      <name val="Arial"/>
      <family val="2"/>
    </font>
    <font>
      <sz val="16"/>
      <color theme="1"/>
      <name val="Arial"/>
      <family val="2"/>
    </font>
    <font>
      <sz val="14"/>
      <color theme="8" tint="-0.499984740745262"/>
      <name val="Arial"/>
      <family val="2"/>
    </font>
    <font>
      <sz val="18"/>
      <color theme="1"/>
      <name val="Arial"/>
      <family val="2"/>
    </font>
    <font>
      <sz val="10"/>
      <color theme="1"/>
      <name val="Calibri"/>
      <family val="2"/>
      <scheme val="minor"/>
    </font>
    <font>
      <b/>
      <sz val="14"/>
      <color theme="1"/>
      <name val="Arial"/>
      <family val="2"/>
    </font>
    <font>
      <i/>
      <sz val="14"/>
      <color theme="1"/>
      <name val="Arial"/>
      <family val="2"/>
    </font>
    <font>
      <sz val="14"/>
      <color theme="1"/>
      <name val="Calibri"/>
      <family val="2"/>
      <scheme val="minor"/>
    </font>
    <font>
      <sz val="12"/>
      <color theme="1"/>
      <name val="Times New Roman"/>
      <family val="1"/>
    </font>
    <font>
      <sz val="20"/>
      <color theme="8" tint="-0.499984740745262"/>
      <name val="Arial"/>
      <family val="2"/>
    </font>
    <font>
      <b/>
      <sz val="9"/>
      <color theme="1"/>
      <name val="Arial"/>
      <family val="2"/>
    </font>
    <font>
      <sz val="11"/>
      <color rgb="FF002060"/>
      <name val="Arial"/>
      <family val="2"/>
    </font>
    <font>
      <sz val="7"/>
      <color theme="1"/>
      <name val="Arial"/>
      <family val="2"/>
    </font>
    <font>
      <i/>
      <sz val="18"/>
      <color theme="8" tint="-0.499984740745262"/>
      <name val="Arial"/>
      <family val="2"/>
    </font>
    <font>
      <i/>
      <sz val="12"/>
      <color theme="8" tint="-0.499984740745262"/>
      <name val="Arial"/>
      <family val="2"/>
    </font>
    <font>
      <i/>
      <sz val="9"/>
      <color theme="1"/>
      <name val="Arial"/>
      <family val="2"/>
    </font>
    <font>
      <b/>
      <i/>
      <sz val="9"/>
      <color theme="1"/>
      <name val="Arial"/>
      <family val="2"/>
    </font>
    <font>
      <b/>
      <i/>
      <sz val="10"/>
      <color theme="1"/>
      <name val="Arial"/>
      <family val="2"/>
    </font>
    <font>
      <i/>
      <sz val="10"/>
      <color theme="1"/>
      <name val="Arial"/>
      <family val="2"/>
    </font>
    <font>
      <sz val="11"/>
      <color theme="1"/>
      <name val="Courier New"/>
      <family val="3"/>
    </font>
    <font>
      <b/>
      <i/>
      <sz val="11"/>
      <color theme="1"/>
      <name val="Calibri"/>
      <family val="2"/>
      <scheme val="minor"/>
    </font>
    <font>
      <b/>
      <i/>
      <sz val="10"/>
      <color theme="1"/>
      <name val="Calibri"/>
      <family val="2"/>
      <scheme val="minor"/>
    </font>
    <font>
      <i/>
      <sz val="9"/>
      <color theme="1"/>
      <name val="Courier New"/>
      <family val="3"/>
    </font>
    <font>
      <b/>
      <sz val="11"/>
      <color theme="1"/>
      <name val="Aharoni"/>
    </font>
    <font>
      <b/>
      <i/>
      <sz val="11"/>
      <color theme="1"/>
      <name val="Aharoni"/>
    </font>
    <font>
      <b/>
      <i/>
      <sz val="11"/>
      <color theme="1"/>
      <name val="Calibri"/>
      <family val="2"/>
    </font>
    <font>
      <b/>
      <i/>
      <sz val="9.9"/>
      <color theme="1"/>
      <name val="Aharoni"/>
    </font>
    <font>
      <b/>
      <sz val="14"/>
      <color theme="1"/>
      <name val="Calibri"/>
      <family val="2"/>
      <scheme val="minor"/>
    </font>
    <font>
      <b/>
      <sz val="14"/>
      <color theme="1"/>
      <name val="Aharoni"/>
    </font>
    <font>
      <b/>
      <i/>
      <sz val="14"/>
      <color theme="1"/>
      <name val="Arial"/>
      <family val="2"/>
    </font>
    <font>
      <b/>
      <i/>
      <sz val="14"/>
      <color rgb="FF002060"/>
      <name val="Arial"/>
      <family val="2"/>
    </font>
    <font>
      <i/>
      <sz val="12"/>
      <color rgb="FF002060"/>
      <name val="Arial"/>
      <family val="2"/>
    </font>
    <font>
      <b/>
      <sz val="14"/>
      <color rgb="FF002060"/>
      <name val="Courier New"/>
      <family val="3"/>
    </font>
    <font>
      <b/>
      <sz val="15"/>
      <color theme="4" tint="-0.499984740745262"/>
      <name val="Arial"/>
      <family val="2"/>
    </font>
    <font>
      <b/>
      <i/>
      <sz val="15"/>
      <color theme="4" tint="-0.499984740745262"/>
      <name val="Arial"/>
      <family val="2"/>
    </font>
    <font>
      <sz val="16"/>
      <color theme="1"/>
      <name val="Calibri"/>
      <family val="2"/>
      <scheme val="minor"/>
    </font>
    <font>
      <b/>
      <sz val="18"/>
      <color rgb="FF002060"/>
      <name val="Arial"/>
      <family val="2"/>
    </font>
    <font>
      <i/>
      <sz val="16"/>
      <color rgb="FF002060"/>
      <name val="Arial"/>
      <family val="2"/>
    </font>
    <font>
      <sz val="12"/>
      <color theme="8" tint="-0.499984740745262"/>
      <name val="Arial"/>
      <family val="2"/>
    </font>
    <font>
      <b/>
      <sz val="14"/>
      <color rgb="FF31849B"/>
      <name val="Arial"/>
      <family val="2"/>
    </font>
    <font>
      <sz val="14"/>
      <color rgb="FF31849B"/>
      <name val="Arial"/>
      <family val="2"/>
    </font>
    <font>
      <sz val="14"/>
      <color theme="1"/>
      <name val="Times New Roman"/>
      <family val="1"/>
    </font>
    <font>
      <sz val="14"/>
      <color rgb="FF31849B"/>
      <name val="Symbol"/>
      <family val="1"/>
      <charset val="2"/>
    </font>
    <font>
      <sz val="14"/>
      <name val="Arial"/>
      <family val="2"/>
    </font>
    <font>
      <sz val="11"/>
      <color rgb="FFFA7D00"/>
      <name val="Calibri"/>
      <family val="2"/>
      <scheme val="minor"/>
    </font>
    <font>
      <b/>
      <sz val="13"/>
      <color theme="1"/>
      <name val="Calibri"/>
      <family val="2"/>
      <scheme val="minor"/>
    </font>
    <font>
      <b/>
      <sz val="16"/>
      <color rgb="FFFF0000"/>
      <name val="Arial"/>
      <family val="2"/>
    </font>
    <font>
      <b/>
      <sz val="14"/>
      <color rgb="FF000000"/>
      <name val="Arial"/>
      <family val="2"/>
    </font>
    <font>
      <sz val="14"/>
      <color rgb="FF000000"/>
      <name val="Arial"/>
      <family val="2"/>
    </font>
    <font>
      <sz val="11"/>
      <color theme="1"/>
      <name val="Calibri"/>
      <family val="2"/>
    </font>
    <font>
      <sz val="10"/>
      <name val="Arial"/>
      <family val="2"/>
    </font>
    <font>
      <u/>
      <sz val="11"/>
      <color theme="1"/>
      <name val="Calibri"/>
      <family val="2"/>
      <scheme val="minor"/>
    </font>
    <font>
      <b/>
      <u/>
      <sz val="14"/>
      <color rgb="FF000000"/>
      <name val="Arial"/>
      <family val="2"/>
    </font>
    <font>
      <u/>
      <sz val="14"/>
      <color theme="1"/>
      <name val="Calibri"/>
      <family val="2"/>
      <scheme val="minor"/>
    </font>
    <font>
      <b/>
      <sz val="7"/>
      <color theme="8" tint="-0.499984740745262"/>
      <name val="Arial"/>
      <family val="2"/>
    </font>
    <font>
      <b/>
      <sz val="11"/>
      <color rgb="FF002060"/>
      <name val="Arial"/>
      <family val="2"/>
    </font>
    <font>
      <b/>
      <u/>
      <sz val="16"/>
      <color rgb="FFFF0000"/>
      <name val="Arial"/>
      <family val="2"/>
    </font>
    <font>
      <b/>
      <sz val="12"/>
      <color theme="8" tint="-0.499984740745262"/>
      <name val="Arial"/>
      <family val="2"/>
    </font>
    <font>
      <u/>
      <sz val="16"/>
      <color theme="1"/>
      <name val="Arial"/>
      <family val="2"/>
    </font>
  </fonts>
  <fills count="8">
    <fill>
      <patternFill patternType="none"/>
    </fill>
    <fill>
      <patternFill patternType="gray125"/>
    </fill>
    <fill>
      <patternFill patternType="solid">
        <fgColor theme="0"/>
        <bgColor indexed="64"/>
      </patternFill>
    </fill>
    <fill>
      <patternFill patternType="solid">
        <fgColor rgb="FFD5EAFF"/>
        <bgColor indexed="64"/>
      </patternFill>
    </fill>
    <fill>
      <patternFill patternType="solid">
        <fgColor theme="4" tint="0.59999389629810485"/>
        <bgColor indexed="64"/>
      </patternFill>
    </fill>
    <fill>
      <patternFill patternType="solid">
        <fgColor rgb="FFFFFF00"/>
        <bgColor indexed="64"/>
      </patternFill>
    </fill>
    <fill>
      <patternFill patternType="solid">
        <fgColor rgb="FF92D050"/>
        <bgColor indexed="64"/>
      </patternFill>
    </fill>
    <fill>
      <patternFill patternType="lightTrellis">
        <fgColor rgb="FFBDD6EE"/>
        <bgColor rgb="FFE8F0F9"/>
      </patternFill>
    </fill>
  </fills>
  <borders count="89">
    <border>
      <left/>
      <right/>
      <top/>
      <bottom/>
      <diagonal/>
    </border>
    <border>
      <left/>
      <right/>
      <top/>
      <bottom style="double">
        <color rgb="FF0070C0"/>
      </bottom>
      <diagonal/>
    </border>
    <border>
      <left/>
      <right/>
      <top/>
      <bottom style="double">
        <color theme="4" tint="-0.249977111117893"/>
      </bottom>
      <diagonal/>
    </border>
    <border>
      <left style="medium">
        <color rgb="FF0070C0"/>
      </left>
      <right/>
      <top style="medium">
        <color rgb="FF0070C0"/>
      </top>
      <bottom style="medium">
        <color rgb="FF0070C0"/>
      </bottom>
      <diagonal/>
    </border>
    <border>
      <left/>
      <right style="medium">
        <color theme="4" tint="-0.249977111117893"/>
      </right>
      <top style="medium">
        <color rgb="FF0070C0"/>
      </top>
      <bottom style="medium">
        <color rgb="FF0070C0"/>
      </bottom>
      <diagonal/>
    </border>
    <border>
      <left style="medium">
        <color theme="4" tint="-0.249977111117893"/>
      </left>
      <right/>
      <top style="medium">
        <color theme="4" tint="-0.249977111117893"/>
      </top>
      <bottom style="medium">
        <color theme="4" tint="-0.249977111117893"/>
      </bottom>
      <diagonal/>
    </border>
    <border>
      <left/>
      <right style="medium">
        <color theme="4" tint="-0.249977111117893"/>
      </right>
      <top style="medium">
        <color theme="4" tint="-0.249977111117893"/>
      </top>
      <bottom style="medium">
        <color theme="4" tint="-0.249977111117893"/>
      </bottom>
      <diagonal/>
    </border>
    <border>
      <left/>
      <right/>
      <top style="medium">
        <color theme="4" tint="-0.249977111117893"/>
      </top>
      <bottom style="double">
        <color theme="4" tint="-0.249977111117893"/>
      </bottom>
      <diagonal/>
    </border>
    <border>
      <left/>
      <right/>
      <top/>
      <bottom style="medium">
        <color theme="4" tint="-0.249977111117893"/>
      </bottom>
      <diagonal/>
    </border>
    <border>
      <left/>
      <right/>
      <top style="medium">
        <color theme="4" tint="-0.249977111117893"/>
      </top>
      <bottom style="medium">
        <color theme="4" tint="-0.249977111117893"/>
      </bottom>
      <diagonal/>
    </border>
    <border>
      <left style="medium">
        <color theme="4" tint="-0.249977111117893"/>
      </left>
      <right/>
      <top style="medium">
        <color theme="4" tint="-0.249977111117893"/>
      </top>
      <bottom/>
      <diagonal/>
    </border>
    <border>
      <left/>
      <right/>
      <top style="medium">
        <color theme="4" tint="-0.249977111117893"/>
      </top>
      <bottom/>
      <diagonal/>
    </border>
    <border>
      <left style="medium">
        <color rgb="FF0070C0"/>
      </left>
      <right/>
      <top style="medium">
        <color rgb="FF0070C0"/>
      </top>
      <bottom/>
      <diagonal/>
    </border>
    <border>
      <left/>
      <right/>
      <top style="medium">
        <color rgb="FF0070C0"/>
      </top>
      <bottom/>
      <diagonal/>
    </border>
    <border>
      <left/>
      <right style="medium">
        <color rgb="FF0070C0"/>
      </right>
      <top style="medium">
        <color rgb="FF0070C0"/>
      </top>
      <bottom/>
      <diagonal/>
    </border>
    <border>
      <left/>
      <right style="medium">
        <color theme="4" tint="-0.249977111117893"/>
      </right>
      <top style="medium">
        <color theme="4" tint="-0.249977111117893"/>
      </top>
      <bottom/>
      <diagonal/>
    </border>
    <border>
      <left style="medium">
        <color theme="4" tint="-0.249977111117893"/>
      </left>
      <right/>
      <top/>
      <bottom style="medium">
        <color theme="4" tint="-0.249977111117893"/>
      </bottom>
      <diagonal/>
    </border>
    <border>
      <left style="medium">
        <color rgb="FF0070C0"/>
      </left>
      <right/>
      <top/>
      <bottom style="medium">
        <color rgb="FF0070C0"/>
      </bottom>
      <diagonal/>
    </border>
    <border>
      <left/>
      <right/>
      <top/>
      <bottom style="medium">
        <color rgb="FF0070C0"/>
      </bottom>
      <diagonal/>
    </border>
    <border>
      <left/>
      <right style="medium">
        <color rgb="FF0070C0"/>
      </right>
      <top/>
      <bottom style="medium">
        <color rgb="FF0070C0"/>
      </bottom>
      <diagonal/>
    </border>
    <border>
      <left/>
      <right style="medium">
        <color theme="4" tint="-0.249977111117893"/>
      </right>
      <top/>
      <bottom style="medium">
        <color theme="4" tint="-0.249977111117893"/>
      </bottom>
      <diagonal/>
    </border>
    <border>
      <left/>
      <right style="medium">
        <color theme="4" tint="-0.249977111117893"/>
      </right>
      <top style="medium">
        <color rgb="FF0070C0"/>
      </top>
      <bottom/>
      <diagonal/>
    </border>
    <border>
      <left/>
      <right style="medium">
        <color theme="4" tint="-0.249977111117893"/>
      </right>
      <top/>
      <bottom style="medium">
        <color rgb="FF0070C0"/>
      </bottom>
      <diagonal/>
    </border>
    <border>
      <left/>
      <right/>
      <top style="double">
        <color theme="4" tint="-0.249977111117893"/>
      </top>
      <bottom/>
      <diagonal/>
    </border>
    <border>
      <left style="thin">
        <color theme="4" tint="-0.249977111117893"/>
      </left>
      <right/>
      <top style="medium">
        <color theme="4" tint="-0.249977111117893"/>
      </top>
      <bottom/>
      <diagonal/>
    </border>
    <border>
      <left style="thin">
        <color theme="4" tint="-0.249977111117893"/>
      </left>
      <right/>
      <top/>
      <bottom style="medium">
        <color theme="4" tint="-0.249977111117893"/>
      </bottom>
      <diagonal/>
    </border>
    <border>
      <left style="thin">
        <color rgb="FF0070C0"/>
      </left>
      <right/>
      <top style="thin">
        <color rgb="FF0070C0"/>
      </top>
      <bottom/>
      <diagonal/>
    </border>
    <border>
      <left/>
      <right/>
      <top style="thin">
        <color rgb="FF0070C0"/>
      </top>
      <bottom/>
      <diagonal/>
    </border>
    <border>
      <left/>
      <right style="thin">
        <color theme="4" tint="-0.249977111117893"/>
      </right>
      <top style="thin">
        <color rgb="FF0070C0"/>
      </top>
      <bottom/>
      <diagonal/>
    </border>
    <border>
      <left style="thin">
        <color theme="4" tint="-0.249977111117893"/>
      </left>
      <right/>
      <top style="thin">
        <color rgb="FF0070C0"/>
      </top>
      <bottom/>
      <diagonal/>
    </border>
    <border>
      <left/>
      <right style="thin">
        <color rgb="FF0070C0"/>
      </right>
      <top style="thin">
        <color rgb="FF0070C0"/>
      </top>
      <bottom/>
      <diagonal/>
    </border>
    <border>
      <left style="medium">
        <color rgb="FF0070C0"/>
      </left>
      <right/>
      <top/>
      <bottom/>
      <diagonal/>
    </border>
    <border>
      <left/>
      <right style="medium">
        <color rgb="FF0070C0"/>
      </right>
      <top/>
      <bottom/>
      <diagonal/>
    </border>
    <border>
      <left/>
      <right/>
      <top style="double">
        <color theme="4" tint="-0.249977111117893"/>
      </top>
      <bottom style="thin">
        <color theme="4" tint="-0.249977111117893"/>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top style="medium">
        <color auto="1"/>
      </top>
      <bottom/>
      <diagonal/>
    </border>
    <border>
      <left style="medium">
        <color indexed="64"/>
      </left>
      <right/>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right style="thin">
        <color indexed="64"/>
      </right>
      <top/>
      <bottom style="medium">
        <color indexed="64"/>
      </bottom>
      <diagonal/>
    </border>
    <border>
      <left/>
      <right/>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right/>
      <top/>
      <bottom style="thin">
        <color indexed="64"/>
      </bottom>
      <diagonal/>
    </border>
    <border>
      <left style="thin">
        <color indexed="64"/>
      </left>
      <right style="medium">
        <color indexed="64"/>
      </right>
      <top/>
      <bottom style="medium">
        <color indexed="64"/>
      </bottom>
      <diagonal/>
    </border>
    <border>
      <left style="double">
        <color indexed="64"/>
      </left>
      <right style="double">
        <color indexed="64"/>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medium">
        <color theme="8" tint="-0.499984740745262"/>
      </left>
      <right style="medium">
        <color theme="8" tint="-0.499984740745262"/>
      </right>
      <top style="medium">
        <color theme="8" tint="-0.499984740745262"/>
      </top>
      <bottom style="thin">
        <color theme="8" tint="-0.499984740745262"/>
      </bottom>
      <diagonal/>
    </border>
    <border>
      <left style="medium">
        <color theme="8" tint="-0.499984740745262"/>
      </left>
      <right/>
      <top style="medium">
        <color theme="8" tint="-0.499984740745262"/>
      </top>
      <bottom style="thin">
        <color theme="8" tint="-0.499984740745262"/>
      </bottom>
      <diagonal/>
    </border>
    <border>
      <left/>
      <right/>
      <top style="medium">
        <color theme="8" tint="-0.499984740745262"/>
      </top>
      <bottom style="thin">
        <color theme="8" tint="-0.499984740745262"/>
      </bottom>
      <diagonal/>
    </border>
    <border>
      <left/>
      <right style="medium">
        <color theme="8" tint="-0.499984740745262"/>
      </right>
      <top style="medium">
        <color theme="8" tint="-0.499984740745262"/>
      </top>
      <bottom style="thin">
        <color theme="8" tint="-0.499984740745262"/>
      </bottom>
      <diagonal/>
    </border>
    <border>
      <left/>
      <right style="medium">
        <color theme="8" tint="-0.499984740745262"/>
      </right>
      <top style="thin">
        <color theme="8" tint="-0.499984740745262"/>
      </top>
      <bottom style="thin">
        <color theme="8" tint="-0.499984740745262"/>
      </bottom>
      <diagonal/>
    </border>
    <border>
      <left style="medium">
        <color theme="8" tint="-0.499984740745262"/>
      </left>
      <right/>
      <top style="medium">
        <color theme="8" tint="-0.499984740745262"/>
      </top>
      <bottom style="medium">
        <color theme="8" tint="-0.499984740745262"/>
      </bottom>
      <diagonal/>
    </border>
    <border>
      <left/>
      <right/>
      <top style="medium">
        <color theme="8" tint="-0.499984740745262"/>
      </top>
      <bottom style="medium">
        <color theme="8" tint="-0.499984740745262"/>
      </bottom>
      <diagonal/>
    </border>
    <border>
      <left/>
      <right style="medium">
        <color theme="8" tint="-0.499984740745262"/>
      </right>
      <top style="medium">
        <color theme="8" tint="-0.499984740745262"/>
      </top>
      <bottom style="medium">
        <color theme="8" tint="-0.499984740745262"/>
      </bottom>
      <diagonal/>
    </border>
    <border>
      <left style="medium">
        <color theme="8" tint="-0.499984740745262"/>
      </left>
      <right/>
      <top/>
      <bottom style="medium">
        <color theme="8" tint="-0.499984740745262"/>
      </bottom>
      <diagonal/>
    </border>
    <border>
      <left/>
      <right/>
      <top/>
      <bottom style="medium">
        <color theme="8" tint="-0.499984740745262"/>
      </bottom>
      <diagonal/>
    </border>
    <border>
      <left/>
      <right style="medium">
        <color theme="8" tint="-0.499984740745262"/>
      </right>
      <top/>
      <bottom style="medium">
        <color theme="8" tint="-0.499984740745262"/>
      </bottom>
      <diagonal/>
    </border>
    <border>
      <left/>
      <right style="medium">
        <color theme="8" tint="-0.499984740745262"/>
      </right>
      <top style="thin">
        <color theme="8" tint="-0.499984740745262"/>
      </top>
      <bottom style="medium">
        <color theme="8" tint="-0.499984740745262"/>
      </bottom>
      <diagonal/>
    </border>
    <border>
      <left/>
      <right/>
      <top style="double">
        <color rgb="FF0070C0"/>
      </top>
      <bottom style="medium">
        <color rgb="FF0070C0"/>
      </bottom>
      <diagonal/>
    </border>
    <border>
      <left/>
      <right/>
      <top/>
      <bottom style="double">
        <color rgb="FFFF8001"/>
      </bottom>
      <diagonal/>
    </border>
    <border>
      <left style="thin">
        <color indexed="64"/>
      </left>
      <right style="thin">
        <color indexed="64"/>
      </right>
      <top style="thin">
        <color indexed="64"/>
      </top>
      <bottom style="thin">
        <color indexed="64"/>
      </bottom>
      <diagonal/>
    </border>
    <border>
      <left style="thin">
        <color rgb="FF305496"/>
      </left>
      <right style="thin">
        <color rgb="FF305496"/>
      </right>
      <top style="thin">
        <color rgb="FF305496"/>
      </top>
      <bottom style="thin">
        <color rgb="FF305496"/>
      </bottom>
      <diagonal/>
    </border>
    <border>
      <left style="thin">
        <color indexed="64"/>
      </left>
      <right/>
      <top/>
      <bottom style="thin">
        <color indexed="64"/>
      </bottom>
      <diagonal/>
    </border>
    <border>
      <left/>
      <right/>
      <top style="thin">
        <color indexed="64"/>
      </top>
      <bottom/>
      <diagonal/>
    </border>
    <border>
      <left style="thin">
        <color theme="1"/>
      </left>
      <right style="thin">
        <color theme="1"/>
      </right>
      <top style="thin">
        <color theme="1"/>
      </top>
      <bottom style="thin">
        <color theme="1"/>
      </bottom>
      <diagonal/>
    </border>
    <border>
      <left style="thin">
        <color theme="4" tint="-0.499984740745262"/>
      </left>
      <right style="thin">
        <color theme="4" tint="-0.499984740745262"/>
      </right>
      <top style="medium">
        <color theme="4" tint="-0.499984740745262"/>
      </top>
      <bottom style="thin">
        <color theme="4" tint="-0.499984740745262"/>
      </bottom>
      <diagonal/>
    </border>
    <border>
      <left style="thin">
        <color theme="4" tint="-0.499984740745262"/>
      </left>
      <right style="thin">
        <color theme="4" tint="-0.499984740745262"/>
      </right>
      <top style="thin">
        <color theme="4" tint="-0.499984740745262"/>
      </top>
      <bottom style="medium">
        <color theme="4" tint="-0.499984740745262"/>
      </bottom>
      <diagonal/>
    </border>
    <border>
      <left style="medium">
        <color theme="4" tint="-0.499984740745262"/>
      </left>
      <right/>
      <top style="medium">
        <color theme="4" tint="-0.499984740745262"/>
      </top>
      <bottom style="thin">
        <color theme="4" tint="-0.499984740745262"/>
      </bottom>
      <diagonal/>
    </border>
    <border>
      <left/>
      <right style="thin">
        <color theme="4" tint="-0.499984740745262"/>
      </right>
      <top style="medium">
        <color theme="4" tint="-0.499984740745262"/>
      </top>
      <bottom style="thin">
        <color theme="4" tint="-0.499984740745262"/>
      </bottom>
      <diagonal/>
    </border>
    <border>
      <left style="medium">
        <color theme="4" tint="-0.499984740745262"/>
      </left>
      <right/>
      <top style="thin">
        <color theme="4" tint="-0.499984740745262"/>
      </top>
      <bottom style="medium">
        <color theme="4" tint="-0.499984740745262"/>
      </bottom>
      <diagonal/>
    </border>
    <border>
      <left/>
      <right style="thin">
        <color theme="4" tint="-0.499984740745262"/>
      </right>
      <top style="thin">
        <color theme="4" tint="-0.499984740745262"/>
      </top>
      <bottom style="medium">
        <color theme="4" tint="-0.499984740745262"/>
      </bottom>
      <diagonal/>
    </border>
    <border>
      <left style="thin">
        <color theme="4" tint="-0.499984740745262"/>
      </left>
      <right style="medium">
        <color rgb="FF002060"/>
      </right>
      <top style="medium">
        <color theme="4" tint="-0.499984740745262"/>
      </top>
      <bottom style="thin">
        <color theme="4" tint="-0.499984740745262"/>
      </bottom>
      <diagonal/>
    </border>
    <border>
      <left/>
      <right/>
      <top style="medium">
        <color rgb="FF002060"/>
      </top>
      <bottom/>
      <diagonal/>
    </border>
    <border>
      <left style="thin">
        <color theme="4" tint="-0.499984740745262"/>
      </left>
      <right style="medium">
        <color theme="4" tint="-0.499984740745262"/>
      </right>
      <top style="thin">
        <color theme="4" tint="-0.499984740745262"/>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rgb="FF002060"/>
      </left>
      <right style="medium">
        <color rgb="FF002060"/>
      </right>
      <top style="medium">
        <color rgb="FF002060"/>
      </top>
      <bottom style="medium">
        <color rgb="FF002060"/>
      </bottom>
      <diagonal/>
    </border>
    <border>
      <left style="thin">
        <color theme="4" tint="-0.499984740745262"/>
      </left>
      <right style="medium">
        <color rgb="FF002060"/>
      </right>
      <top style="medium">
        <color theme="4" tint="-0.499984740745262"/>
      </top>
      <bottom/>
      <diagonal/>
    </border>
    <border>
      <left style="medium">
        <color theme="4" tint="-0.499984740745262"/>
      </left>
      <right style="medium">
        <color theme="4" tint="-0.499984740745262"/>
      </right>
      <top style="thin">
        <color indexed="64"/>
      </top>
      <bottom style="medium">
        <color indexed="64"/>
      </bottom>
      <diagonal/>
    </border>
  </borders>
  <cellStyleXfs count="3">
    <xf numFmtId="0" fontId="0" fillId="0" borderId="0"/>
    <xf numFmtId="0" fontId="71" fillId="0" borderId="69" applyNumberFormat="0" applyFill="0" applyAlignment="0" applyProtection="0"/>
    <xf numFmtId="0" fontId="77" fillId="0" borderId="0"/>
  </cellStyleXfs>
  <cellXfs count="309">
    <xf numFmtId="0" fontId="0" fillId="0" borderId="0" xfId="0"/>
    <xf numFmtId="0" fontId="0" fillId="0" borderId="0" xfId="0" applyProtection="1">
      <protection locked="0"/>
    </xf>
    <xf numFmtId="0" fontId="2" fillId="0" borderId="0" xfId="0" applyFont="1" applyAlignment="1">
      <alignment vertical="center" wrapText="1"/>
    </xf>
    <xf numFmtId="0" fontId="2" fillId="0" borderId="1" xfId="0" applyFont="1" applyBorder="1" applyAlignment="1">
      <alignment vertical="center" wrapText="1"/>
    </xf>
    <xf numFmtId="0" fontId="4" fillId="0" borderId="1" xfId="0" applyFont="1" applyBorder="1" applyAlignment="1">
      <alignment vertical="center" wrapText="1"/>
    </xf>
    <xf numFmtId="0" fontId="0" fillId="0" borderId="2" xfId="0" applyBorder="1"/>
    <xf numFmtId="0" fontId="0" fillId="0" borderId="2" xfId="0" applyBorder="1" applyProtection="1">
      <protection locked="0"/>
    </xf>
    <xf numFmtId="0" fontId="13" fillId="0" borderId="0" xfId="0" applyFont="1" applyAlignment="1">
      <alignment horizontal="center" vertical="center" wrapText="1"/>
    </xf>
    <xf numFmtId="0" fontId="15" fillId="0" borderId="2" xfId="0" applyFont="1" applyBorder="1" applyAlignment="1">
      <alignment vertical="center" wrapText="1"/>
    </xf>
    <xf numFmtId="0" fontId="13" fillId="0" borderId="2" xfId="0" applyFont="1" applyBorder="1" applyAlignment="1">
      <alignment horizontal="center" vertical="center" wrapText="1"/>
    </xf>
    <xf numFmtId="0" fontId="16" fillId="0" borderId="2" xfId="0" applyFont="1" applyBorder="1" applyAlignment="1">
      <alignment horizontal="center" vertical="center" wrapText="1"/>
    </xf>
    <xf numFmtId="0" fontId="16" fillId="0" borderId="7" xfId="0" applyFont="1" applyBorder="1" applyAlignment="1">
      <alignment horizontal="center" vertical="center" wrapText="1"/>
    </xf>
    <xf numFmtId="0" fontId="0" fillId="0" borderId="7" xfId="0" applyBorder="1" applyProtection="1">
      <protection locked="0"/>
    </xf>
    <xf numFmtId="0" fontId="0" fillId="2" borderId="0" xfId="0" applyFill="1" applyProtection="1">
      <protection locked="0"/>
    </xf>
    <xf numFmtId="0" fontId="22" fillId="0" borderId="2" xfId="0" applyFont="1" applyBorder="1" applyAlignment="1">
      <alignment vertical="center"/>
    </xf>
    <xf numFmtId="0" fontId="17" fillId="0" borderId="0" xfId="0" applyFont="1" applyAlignment="1">
      <alignment horizontal="center" vertical="center" wrapText="1"/>
    </xf>
    <xf numFmtId="0" fontId="25" fillId="0" borderId="2" xfId="0" applyFont="1" applyBorder="1" applyAlignment="1">
      <alignment vertical="center"/>
    </xf>
    <xf numFmtId="0" fontId="16" fillId="0" borderId="2" xfId="0" applyFont="1" applyBorder="1" applyAlignment="1">
      <alignment vertical="center" wrapText="1"/>
    </xf>
    <xf numFmtId="0" fontId="2" fillId="0" borderId="0" xfId="0" applyFont="1" applyAlignment="1" applyProtection="1">
      <alignment horizontal="center" vertical="center" wrapText="1"/>
      <protection locked="0"/>
    </xf>
    <xf numFmtId="164" fontId="2" fillId="0" borderId="0" xfId="0" applyNumberFormat="1" applyFont="1" applyAlignment="1" applyProtection="1">
      <alignment horizontal="center" vertical="center" wrapText="1"/>
      <protection locked="0"/>
    </xf>
    <xf numFmtId="0" fontId="31" fillId="0" borderId="0" xfId="0" applyFont="1" applyProtection="1">
      <protection locked="0"/>
    </xf>
    <xf numFmtId="166" fontId="32" fillId="0" borderId="31" xfId="0" applyNumberFormat="1" applyFont="1" applyBorder="1" applyAlignment="1">
      <alignment horizontal="center" vertical="center" wrapText="1"/>
    </xf>
    <xf numFmtId="0" fontId="32" fillId="0" borderId="0" xfId="0" applyFont="1" applyAlignment="1">
      <alignment vertical="center" wrapText="1"/>
    </xf>
    <xf numFmtId="0" fontId="32" fillId="0" borderId="32" xfId="0" applyFont="1" applyBorder="1" applyAlignment="1">
      <alignment vertical="center" wrapText="1"/>
    </xf>
    <xf numFmtId="0" fontId="31" fillId="0" borderId="31" xfId="0" applyFont="1" applyBorder="1" applyProtection="1">
      <protection locked="0"/>
    </xf>
    <xf numFmtId="0" fontId="33" fillId="0" borderId="32" xfId="0" applyFont="1" applyBorder="1" applyAlignment="1">
      <alignment horizontal="center" vertical="center" wrapText="1"/>
    </xf>
    <xf numFmtId="0" fontId="33" fillId="0" borderId="0" xfId="0" applyFont="1" applyAlignment="1">
      <alignment horizontal="center" vertical="center" wrapText="1"/>
    </xf>
    <xf numFmtId="0" fontId="34" fillId="0" borderId="31" xfId="0" applyFont="1" applyBorder="1" applyProtection="1">
      <protection locked="0"/>
    </xf>
    <xf numFmtId="0" fontId="2" fillId="0" borderId="0" xfId="0" applyFont="1" applyAlignment="1" applyProtection="1">
      <alignment vertical="center" wrapText="1"/>
      <protection locked="0"/>
    </xf>
    <xf numFmtId="0" fontId="34" fillId="0" borderId="0" xfId="0" applyFont="1" applyProtection="1">
      <protection locked="0"/>
    </xf>
    <xf numFmtId="0" fontId="34" fillId="0" borderId="32" xfId="0" applyFont="1" applyBorder="1" applyProtection="1">
      <protection locked="0"/>
    </xf>
    <xf numFmtId="0" fontId="29" fillId="0" borderId="1" xfId="0" applyFont="1" applyBorder="1" applyAlignment="1">
      <alignment vertical="center" wrapText="1"/>
    </xf>
    <xf numFmtId="0" fontId="0" fillId="0" borderId="1" xfId="0" applyBorder="1"/>
    <xf numFmtId="0" fontId="37" fillId="0" borderId="0" xfId="0" applyFont="1" applyAlignment="1">
      <alignment vertical="center" wrapText="1"/>
    </xf>
    <xf numFmtId="0" fontId="27" fillId="0" borderId="0" xfId="0" applyFont="1" applyAlignment="1">
      <alignment horizontal="left" vertical="center" wrapText="1" indent="5"/>
    </xf>
    <xf numFmtId="0" fontId="15" fillId="0" borderId="0" xfId="0" applyFont="1" applyAlignment="1">
      <alignment vertical="center" wrapText="1"/>
    </xf>
    <xf numFmtId="0" fontId="39" fillId="0" borderId="0" xfId="0" applyFont="1" applyAlignment="1">
      <alignment horizontal="center" vertical="center" wrapText="1"/>
    </xf>
    <xf numFmtId="0" fontId="16" fillId="0" borderId="0" xfId="0" applyFont="1" applyAlignment="1">
      <alignment horizontal="center" vertical="center" wrapText="1"/>
    </xf>
    <xf numFmtId="0" fontId="35" fillId="0" borderId="2" xfId="0" applyFont="1" applyBorder="1" applyAlignment="1">
      <alignment vertical="center"/>
    </xf>
    <xf numFmtId="0" fontId="42" fillId="0" borderId="0" xfId="0" applyFont="1" applyAlignment="1" applyProtection="1">
      <alignment horizontal="center" vertical="center"/>
      <protection locked="0"/>
    </xf>
    <xf numFmtId="0" fontId="44" fillId="3" borderId="35" xfId="0" applyFont="1" applyFill="1" applyBorder="1" applyAlignment="1" applyProtection="1">
      <alignment horizontal="center" vertical="center"/>
      <protection locked="0"/>
    </xf>
    <xf numFmtId="167" fontId="44" fillId="3" borderId="36" xfId="0" applyNumberFormat="1" applyFont="1" applyFill="1" applyBorder="1" applyAlignment="1" applyProtection="1">
      <alignment horizontal="center" vertical="center"/>
      <protection locked="0"/>
    </xf>
    <xf numFmtId="0" fontId="1" fillId="0" borderId="37" xfId="0" applyFont="1" applyBorder="1" applyAlignment="1" applyProtection="1">
      <alignment vertical="center"/>
      <protection locked="0"/>
    </xf>
    <xf numFmtId="168" fontId="45" fillId="3" borderId="39" xfId="0" applyNumberFormat="1" applyFont="1" applyFill="1" applyBorder="1" applyAlignment="1" applyProtection="1">
      <alignment horizontal="center" vertical="center"/>
      <protection locked="0"/>
    </xf>
    <xf numFmtId="168" fontId="45" fillId="3" borderId="40" xfId="0" applyNumberFormat="1" applyFont="1" applyFill="1" applyBorder="1" applyAlignment="1" applyProtection="1">
      <alignment horizontal="center" vertical="center"/>
      <protection locked="0"/>
    </xf>
    <xf numFmtId="168" fontId="45" fillId="3" borderId="41" xfId="0" applyNumberFormat="1" applyFont="1" applyFill="1" applyBorder="1" applyAlignment="1" applyProtection="1">
      <alignment horizontal="center" vertical="center"/>
      <protection locked="0"/>
    </xf>
    <xf numFmtId="0" fontId="1" fillId="0" borderId="0" xfId="0" applyFont="1" applyAlignment="1" applyProtection="1">
      <alignment horizontal="center"/>
      <protection locked="0"/>
    </xf>
    <xf numFmtId="168" fontId="46" fillId="0" borderId="43" xfId="0" applyNumberFormat="1" applyFont="1" applyBorder="1" applyAlignment="1" applyProtection="1">
      <alignment horizontal="center" vertical="center"/>
      <protection locked="0"/>
    </xf>
    <xf numFmtId="168" fontId="46" fillId="0" borderId="44" xfId="0" applyNumberFormat="1" applyFont="1" applyBorder="1" applyAlignment="1" applyProtection="1">
      <alignment horizontal="center" vertical="center"/>
      <protection locked="0"/>
    </xf>
    <xf numFmtId="0" fontId="47" fillId="2" borderId="0" xfId="0" applyFont="1" applyFill="1" applyAlignment="1" applyProtection="1">
      <alignment horizontal="center" vertical="center"/>
      <protection locked="0"/>
    </xf>
    <xf numFmtId="0" fontId="48" fillId="2" borderId="0" xfId="0" applyFont="1" applyFill="1" applyAlignment="1" applyProtection="1">
      <alignment horizontal="center" vertical="center"/>
      <protection locked="0"/>
    </xf>
    <xf numFmtId="168" fontId="49" fillId="0" borderId="46" xfId="0" applyNumberFormat="1" applyFont="1" applyBorder="1" applyAlignment="1" applyProtection="1">
      <alignment horizontal="center" vertical="center"/>
      <protection locked="0"/>
    </xf>
    <xf numFmtId="168" fontId="49" fillId="0" borderId="47" xfId="0" applyNumberFormat="1" applyFont="1" applyBorder="1" applyAlignment="1" applyProtection="1">
      <alignment horizontal="center" vertical="center"/>
      <protection locked="0"/>
    </xf>
    <xf numFmtId="0" fontId="42" fillId="2" borderId="37" xfId="0" applyFont="1" applyFill="1" applyBorder="1" applyAlignment="1" applyProtection="1">
      <alignment horizontal="center" vertical="center"/>
      <protection locked="0"/>
    </xf>
    <xf numFmtId="0" fontId="42" fillId="2" borderId="0" xfId="0" applyFont="1" applyFill="1" applyAlignment="1" applyProtection="1">
      <alignment horizontal="center" vertical="center"/>
      <protection locked="0"/>
    </xf>
    <xf numFmtId="0" fontId="1" fillId="2" borderId="0" xfId="0" applyFont="1" applyFill="1" applyAlignment="1" applyProtection="1">
      <alignment horizontal="center" vertical="center"/>
      <protection locked="0"/>
    </xf>
    <xf numFmtId="167" fontId="44" fillId="3" borderId="49" xfId="0" applyNumberFormat="1" applyFont="1" applyFill="1" applyBorder="1" applyAlignment="1" applyProtection="1">
      <alignment horizontal="center" vertical="center"/>
      <protection locked="0"/>
    </xf>
    <xf numFmtId="168" fontId="45" fillId="3" borderId="50" xfId="0" applyNumberFormat="1" applyFont="1" applyFill="1" applyBorder="1" applyAlignment="1" applyProtection="1">
      <alignment horizontal="center" vertical="center"/>
      <protection locked="0"/>
    </xf>
    <xf numFmtId="168" fontId="49" fillId="0" borderId="51" xfId="0" applyNumberFormat="1" applyFont="1" applyBorder="1" applyAlignment="1" applyProtection="1">
      <alignment horizontal="center" vertical="center"/>
      <protection locked="0"/>
    </xf>
    <xf numFmtId="0" fontId="50" fillId="0" borderId="0" xfId="0" applyFont="1" applyProtection="1">
      <protection locked="0"/>
    </xf>
    <xf numFmtId="0" fontId="51" fillId="0" borderId="0" xfId="0" applyFont="1" applyProtection="1">
      <protection locked="0"/>
    </xf>
    <xf numFmtId="0" fontId="43" fillId="0" borderId="53" xfId="0" applyFont="1" applyBorder="1" applyAlignment="1" applyProtection="1">
      <alignment horizontal="center" vertical="center"/>
      <protection locked="0"/>
    </xf>
    <xf numFmtId="169" fontId="47" fillId="0" borderId="54" xfId="0" applyNumberFormat="1" applyFont="1" applyBorder="1" applyAlignment="1" applyProtection="1">
      <alignment horizontal="center" vertical="center"/>
      <protection locked="0"/>
    </xf>
    <xf numFmtId="0" fontId="0" fillId="0" borderId="54" xfId="0" applyBorder="1" applyAlignment="1" applyProtection="1">
      <alignment horizontal="center"/>
      <protection locked="0"/>
    </xf>
    <xf numFmtId="0" fontId="42" fillId="0" borderId="2" xfId="0" applyFont="1" applyBorder="1" applyAlignment="1">
      <alignment horizontal="center" vertical="center"/>
    </xf>
    <xf numFmtId="0" fontId="27" fillId="0" borderId="0" xfId="0" applyFont="1" applyAlignment="1" applyProtection="1">
      <alignment horizontal="justify" vertical="center"/>
      <protection locked="0"/>
    </xf>
    <xf numFmtId="0" fontId="2" fillId="0" borderId="0" xfId="0" applyFont="1" applyAlignment="1" applyProtection="1">
      <alignment horizontal="justify" vertical="center"/>
      <protection locked="0"/>
    </xf>
    <xf numFmtId="0" fontId="34" fillId="2" borderId="0" xfId="0" applyFont="1" applyFill="1" applyProtection="1">
      <protection locked="0"/>
    </xf>
    <xf numFmtId="0" fontId="54" fillId="0" borderId="0" xfId="0" applyFont="1" applyAlignment="1" applyProtection="1">
      <alignment horizontal="center"/>
      <protection locked="0"/>
    </xf>
    <xf numFmtId="168" fontId="55" fillId="0" borderId="0" xfId="0" applyNumberFormat="1" applyFont="1" applyProtection="1">
      <protection locked="0"/>
    </xf>
    <xf numFmtId="169" fontId="55" fillId="0" borderId="0" xfId="0" applyNumberFormat="1" applyFont="1" applyProtection="1">
      <protection locked="0"/>
    </xf>
    <xf numFmtId="0" fontId="33" fillId="2" borderId="0" xfId="0" applyFont="1" applyFill="1" applyAlignment="1" applyProtection="1">
      <alignment horizontal="center" vertical="center" wrapText="1"/>
      <protection locked="0"/>
    </xf>
    <xf numFmtId="0" fontId="56" fillId="2" borderId="0" xfId="0" applyFont="1" applyFill="1" applyAlignment="1" applyProtection="1">
      <alignment horizontal="center" vertical="center"/>
      <protection locked="0"/>
    </xf>
    <xf numFmtId="0" fontId="9" fillId="4" borderId="56" xfId="0" applyFont="1" applyFill="1" applyBorder="1" applyAlignment="1" applyProtection="1">
      <alignment horizontal="center" vertical="center"/>
      <protection locked="0"/>
    </xf>
    <xf numFmtId="0" fontId="59" fillId="0" borderId="60" xfId="0" applyFont="1" applyBorder="1" applyAlignment="1" applyProtection="1">
      <alignment horizontal="center" vertical="center"/>
      <protection locked="0"/>
    </xf>
    <xf numFmtId="0" fontId="55" fillId="0" borderId="0" xfId="0" applyFont="1" applyProtection="1">
      <protection locked="0"/>
    </xf>
    <xf numFmtId="2" fontId="59" fillId="0" borderId="63" xfId="0" applyNumberFormat="1" applyFont="1" applyBorder="1" applyAlignment="1" applyProtection="1">
      <alignment horizontal="center" vertical="center"/>
      <protection locked="0"/>
    </xf>
    <xf numFmtId="0" fontId="59" fillId="0" borderId="67" xfId="0" applyFont="1" applyBorder="1" applyAlignment="1" applyProtection="1">
      <alignment horizontal="center" vertical="center"/>
      <protection locked="0"/>
    </xf>
    <xf numFmtId="0" fontId="33" fillId="0" borderId="0" xfId="0" applyFont="1" applyAlignment="1" applyProtection="1">
      <alignment horizontal="center" vertical="center"/>
      <protection locked="0"/>
    </xf>
    <xf numFmtId="0" fontId="2" fillId="0" borderId="2" xfId="0" applyFont="1" applyBorder="1" applyAlignment="1" applyProtection="1">
      <alignment horizontal="justify" vertical="center"/>
      <protection locked="0"/>
    </xf>
    <xf numFmtId="0" fontId="34" fillId="0" borderId="2" xfId="0" applyFont="1" applyBorder="1" applyProtection="1">
      <protection locked="0"/>
    </xf>
    <xf numFmtId="0" fontId="23" fillId="0" borderId="0" xfId="0" applyFont="1" applyAlignment="1">
      <alignment horizontal="center" vertical="top" wrapText="1"/>
    </xf>
    <xf numFmtId="0" fontId="28" fillId="0" borderId="0" xfId="0" applyFont="1" applyAlignment="1" applyProtection="1">
      <alignment horizontal="right" vertical="center" wrapText="1"/>
      <protection locked="0"/>
    </xf>
    <xf numFmtId="0" fontId="28" fillId="0" borderId="0" xfId="0" applyFont="1" applyAlignment="1" applyProtection="1">
      <alignment horizontal="left" vertical="center"/>
      <protection locked="0"/>
    </xf>
    <xf numFmtId="0" fontId="62" fillId="0" borderId="0" xfId="0" applyFont="1" applyProtection="1">
      <protection locked="0"/>
    </xf>
    <xf numFmtId="0" fontId="23" fillId="0" borderId="0" xfId="0" applyFont="1" applyAlignment="1">
      <alignment vertical="top" wrapText="1"/>
    </xf>
    <xf numFmtId="0" fontId="23" fillId="0" borderId="0" xfId="0" applyFont="1" applyAlignment="1" applyProtection="1">
      <alignment horizontal="center" vertical="center"/>
      <protection locked="0"/>
    </xf>
    <xf numFmtId="0" fontId="29" fillId="0" borderId="0" xfId="0" applyFont="1" applyAlignment="1">
      <alignment vertical="center" wrapText="1"/>
    </xf>
    <xf numFmtId="165" fontId="26" fillId="0" borderId="0" xfId="0" applyNumberFormat="1" applyFont="1" applyAlignment="1">
      <alignment vertical="center" wrapText="1"/>
    </xf>
    <xf numFmtId="0" fontId="23" fillId="0" borderId="0" xfId="0" applyFont="1" applyAlignment="1">
      <alignment vertical="center" wrapText="1"/>
    </xf>
    <xf numFmtId="0" fontId="11" fillId="0" borderId="0" xfId="0" applyFont="1" applyAlignment="1" applyProtection="1">
      <alignment horizontal="right" vertical="center" wrapText="1"/>
      <protection locked="0"/>
    </xf>
    <xf numFmtId="0" fontId="20" fillId="0" borderId="0" xfId="0" applyFont="1" applyAlignment="1">
      <alignment vertical="center" wrapText="1"/>
    </xf>
    <xf numFmtId="0" fontId="28" fillId="0" borderId="0" xfId="0" applyFont="1" applyAlignment="1">
      <alignment vertical="top" wrapText="1"/>
    </xf>
    <xf numFmtId="0" fontId="67" fillId="0" borderId="0" xfId="0" applyFont="1" applyAlignment="1" applyProtection="1">
      <alignment vertical="center" wrapText="1"/>
      <protection locked="0"/>
    </xf>
    <xf numFmtId="0" fontId="28" fillId="0" borderId="0" xfId="0" applyFont="1" applyAlignment="1" applyProtection="1">
      <alignment horizontal="left" vertical="center" wrapText="1"/>
      <protection locked="0"/>
    </xf>
    <xf numFmtId="0" fontId="68" fillId="0" borderId="0" xfId="0" applyFont="1" applyAlignment="1">
      <alignment vertical="top" wrapText="1"/>
    </xf>
    <xf numFmtId="0" fontId="34" fillId="0" borderId="0" xfId="0" applyFont="1"/>
    <xf numFmtId="0" fontId="68" fillId="0" borderId="0" xfId="0" applyFont="1" applyAlignment="1">
      <alignment vertical="center" wrapText="1"/>
    </xf>
    <xf numFmtId="0" fontId="2" fillId="0" borderId="0" xfId="0" applyFont="1" applyAlignment="1" applyProtection="1">
      <alignment horizontal="right" vertical="center" wrapText="1"/>
      <protection locked="0"/>
    </xf>
    <xf numFmtId="0" fontId="69" fillId="0" borderId="0" xfId="0" applyFont="1" applyAlignment="1" applyProtection="1">
      <alignment horizontal="left" vertical="center" wrapText="1" indent="5"/>
      <protection locked="0"/>
    </xf>
    <xf numFmtId="0" fontId="32" fillId="0" borderId="0" xfId="0" applyFont="1" applyAlignment="1" applyProtection="1">
      <alignment horizontal="left" vertical="center" wrapText="1" indent="5"/>
      <protection locked="0"/>
    </xf>
    <xf numFmtId="0" fontId="70" fillId="0" borderId="0" xfId="0" applyFont="1" applyAlignment="1" applyProtection="1">
      <alignment horizontal="left" vertical="center" wrapText="1" indent="5"/>
      <protection locked="0"/>
    </xf>
    <xf numFmtId="0" fontId="34" fillId="0" borderId="0" xfId="0" applyFont="1" applyAlignment="1">
      <alignment vertical="center"/>
    </xf>
    <xf numFmtId="0" fontId="1" fillId="0" borderId="0" xfId="0" applyFont="1" applyAlignment="1">
      <alignment vertical="center"/>
    </xf>
    <xf numFmtId="0" fontId="34" fillId="5" borderId="70" xfId="0" applyFont="1" applyFill="1" applyBorder="1" applyProtection="1">
      <protection locked="0"/>
    </xf>
    <xf numFmtId="0" fontId="1" fillId="0" borderId="0" xfId="0" applyFont="1"/>
    <xf numFmtId="0" fontId="54" fillId="0" borderId="0" xfId="0" applyFont="1"/>
    <xf numFmtId="0" fontId="34" fillId="0" borderId="0" xfId="0" applyFont="1" applyAlignment="1">
      <alignment horizontal="center"/>
    </xf>
    <xf numFmtId="0" fontId="74" fillId="7" borderId="50" xfId="0" applyFont="1" applyFill="1" applyBorder="1" applyAlignment="1">
      <alignment horizontal="center" vertical="center" wrapText="1"/>
    </xf>
    <xf numFmtId="0" fontId="75" fillId="7" borderId="70" xfId="0" applyFont="1" applyFill="1" applyBorder="1" applyAlignment="1">
      <alignment horizontal="center" vertical="center" wrapText="1"/>
    </xf>
    <xf numFmtId="0" fontId="54" fillId="4" borderId="70" xfId="0" applyFont="1" applyFill="1" applyBorder="1" applyAlignment="1">
      <alignment horizontal="center" vertical="center"/>
    </xf>
    <xf numFmtId="0" fontId="62" fillId="4" borderId="70" xfId="0" applyFont="1" applyFill="1" applyBorder="1" applyAlignment="1">
      <alignment vertical="center"/>
    </xf>
    <xf numFmtId="168" fontId="0" fillId="0" borderId="70" xfId="0" applyNumberFormat="1" applyBorder="1" applyAlignment="1" applyProtection="1">
      <alignment horizontal="center" vertical="center"/>
      <protection locked="0"/>
    </xf>
    <xf numFmtId="169" fontId="74" fillId="5" borderId="70" xfId="0" applyNumberFormat="1" applyFont="1" applyFill="1" applyBorder="1" applyAlignment="1" applyProtection="1">
      <alignment horizontal="center" vertical="center"/>
      <protection locked="0"/>
    </xf>
    <xf numFmtId="169" fontId="54" fillId="0" borderId="70" xfId="0" applyNumberFormat="1" applyFont="1" applyBorder="1" applyAlignment="1">
      <alignment horizontal="center"/>
    </xf>
    <xf numFmtId="0" fontId="34" fillId="0" borderId="73" xfId="0" applyFont="1" applyBorder="1" applyAlignment="1">
      <alignment horizontal="center"/>
    </xf>
    <xf numFmtId="0" fontId="0" fillId="0" borderId="0" xfId="0" applyAlignment="1" applyProtection="1">
      <alignment vertical="center"/>
      <protection locked="0"/>
    </xf>
    <xf numFmtId="0" fontId="0" fillId="0" borderId="74" xfId="0" applyBorder="1" applyAlignment="1">
      <alignment vertical="center"/>
    </xf>
    <xf numFmtId="0" fontId="0" fillId="5" borderId="74" xfId="0" applyFill="1" applyBorder="1" applyAlignment="1" applyProtection="1">
      <alignment horizontal="center" vertical="center"/>
      <protection locked="0"/>
    </xf>
    <xf numFmtId="0" fontId="0" fillId="6" borderId="0" xfId="0" applyFill="1" applyAlignment="1">
      <alignment horizontal="center" vertical="center"/>
    </xf>
    <xf numFmtId="0" fontId="0" fillId="5" borderId="74" xfId="0" applyFill="1" applyBorder="1" applyAlignment="1">
      <alignment horizontal="center" vertical="center"/>
    </xf>
    <xf numFmtId="0" fontId="0" fillId="0" borderId="0" xfId="0" applyAlignment="1">
      <alignment horizontal="center" vertical="center"/>
    </xf>
    <xf numFmtId="0" fontId="34" fillId="0" borderId="82" xfId="0" applyFont="1" applyBorder="1" applyProtection="1">
      <protection locked="0"/>
    </xf>
    <xf numFmtId="0" fontId="72" fillId="0" borderId="0" xfId="0" applyFont="1"/>
    <xf numFmtId="0" fontId="73" fillId="0" borderId="0" xfId="0" applyFont="1" applyAlignment="1" applyProtection="1">
      <alignment vertical="center"/>
      <protection locked="0"/>
    </xf>
    <xf numFmtId="0" fontId="28" fillId="0" borderId="0" xfId="0" applyFont="1" applyAlignment="1">
      <alignment vertical="center" wrapText="1"/>
    </xf>
    <xf numFmtId="0" fontId="28" fillId="0" borderId="0" xfId="0" applyFont="1" applyAlignment="1">
      <alignment vertical="center"/>
    </xf>
    <xf numFmtId="169" fontId="62" fillId="5" borderId="84" xfId="0" applyNumberFormat="1" applyFont="1" applyFill="1" applyBorder="1" applyAlignment="1" applyProtection="1">
      <alignment horizontal="center" vertical="center"/>
      <protection locked="0"/>
    </xf>
    <xf numFmtId="0" fontId="0" fillId="0" borderId="0" xfId="0" applyAlignment="1">
      <alignment horizontal="right"/>
    </xf>
    <xf numFmtId="0" fontId="34" fillId="0" borderId="0" xfId="0" applyFont="1" applyAlignment="1">
      <alignment horizontal="left"/>
    </xf>
    <xf numFmtId="0" fontId="72" fillId="0" borderId="70" xfId="0" applyFont="1" applyBorder="1" applyAlignment="1">
      <alignment horizontal="center"/>
    </xf>
    <xf numFmtId="0" fontId="54" fillId="0" borderId="70" xfId="0" applyFont="1" applyBorder="1"/>
    <xf numFmtId="0" fontId="72" fillId="0" borderId="84" xfId="0" applyFont="1" applyBorder="1"/>
    <xf numFmtId="0" fontId="72" fillId="0" borderId="85" xfId="0" applyFont="1" applyBorder="1"/>
    <xf numFmtId="0" fontId="0" fillId="0" borderId="74" xfId="0" applyBorder="1" applyAlignment="1">
      <alignment horizontal="center" vertical="center"/>
    </xf>
    <xf numFmtId="0" fontId="0" fillId="0" borderId="86" xfId="0" applyBorder="1"/>
    <xf numFmtId="0" fontId="78" fillId="0" borderId="0" xfId="0" applyFont="1" applyAlignment="1">
      <alignment horizontal="right"/>
    </xf>
    <xf numFmtId="0" fontId="78" fillId="0" borderId="0" xfId="0" applyFont="1"/>
    <xf numFmtId="169" fontId="79" fillId="5" borderId="70" xfId="0" applyNumberFormat="1" applyFont="1" applyFill="1" applyBorder="1" applyAlignment="1" applyProtection="1">
      <alignment horizontal="center" vertical="center"/>
      <protection locked="0"/>
    </xf>
    <xf numFmtId="0" fontId="80" fillId="0" borderId="0" xfId="0" applyFont="1" applyAlignment="1">
      <alignment horizontal="center"/>
    </xf>
    <xf numFmtId="0" fontId="54" fillId="0" borderId="70" xfId="0" applyFont="1" applyBorder="1" applyAlignment="1">
      <alignment horizontal="center"/>
    </xf>
    <xf numFmtId="0" fontId="54" fillId="0" borderId="0" xfId="0" applyFont="1" applyAlignment="1" applyProtection="1">
      <alignment horizontal="center"/>
      <protection locked="0"/>
    </xf>
    <xf numFmtId="0" fontId="1" fillId="0" borderId="86" xfId="0" applyFont="1" applyBorder="1" applyAlignment="1">
      <alignment horizontal="center"/>
    </xf>
    <xf numFmtId="0" fontId="74" fillId="7" borderId="72" xfId="0" applyFont="1" applyFill="1" applyBorder="1" applyAlignment="1">
      <alignment horizontal="center" vertical="center" wrapText="1"/>
    </xf>
    <xf numFmtId="0" fontId="74" fillId="7" borderId="50" xfId="0" applyFont="1" applyFill="1" applyBorder="1" applyAlignment="1">
      <alignment horizontal="center" vertical="center" wrapText="1"/>
    </xf>
    <xf numFmtId="0" fontId="28" fillId="0" borderId="0" xfId="0" applyFont="1" applyAlignment="1">
      <alignment horizontal="center" vertical="center"/>
    </xf>
    <xf numFmtId="0" fontId="17" fillId="0" borderId="8" xfId="0" applyFont="1" applyBorder="1" applyAlignment="1">
      <alignment horizontal="center" vertical="center" wrapText="1"/>
    </xf>
    <xf numFmtId="0" fontId="19" fillId="2" borderId="5" xfId="0" applyFont="1" applyFill="1" applyBorder="1" applyAlignment="1">
      <alignment horizontal="center" vertical="center" wrapText="1"/>
    </xf>
    <xf numFmtId="0" fontId="19" fillId="2" borderId="9" xfId="0" applyFont="1" applyFill="1" applyBorder="1" applyAlignment="1">
      <alignment horizontal="center" vertical="center" wrapText="1"/>
    </xf>
    <xf numFmtId="0" fontId="19" fillId="2" borderId="6" xfId="0" applyFont="1" applyFill="1" applyBorder="1" applyAlignment="1">
      <alignment horizontal="center" vertical="center" wrapText="1"/>
    </xf>
    <xf numFmtId="0" fontId="21" fillId="2" borderId="5" xfId="0" applyFont="1" applyFill="1" applyBorder="1" applyAlignment="1" applyProtection="1">
      <alignment horizontal="center" vertical="center" wrapText="1"/>
      <protection locked="0"/>
    </xf>
    <xf numFmtId="0" fontId="21" fillId="2" borderId="9" xfId="0" applyFont="1" applyFill="1" applyBorder="1" applyAlignment="1" applyProtection="1">
      <alignment horizontal="center" vertical="center" wrapText="1"/>
      <protection locked="0"/>
    </xf>
    <xf numFmtId="0" fontId="21" fillId="2" borderId="6" xfId="0" applyFont="1" applyFill="1" applyBorder="1" applyAlignment="1" applyProtection="1">
      <alignment horizontal="center" vertical="center" wrapText="1"/>
      <protection locked="0"/>
    </xf>
    <xf numFmtId="0" fontId="19" fillId="0" borderId="5" xfId="0" applyFont="1" applyBorder="1" applyAlignment="1">
      <alignment horizontal="center" vertical="center" wrapText="1"/>
    </xf>
    <xf numFmtId="0" fontId="19" fillId="0" borderId="9" xfId="0" applyFont="1" applyBorder="1" applyAlignment="1">
      <alignment horizontal="center" vertical="center" wrapText="1"/>
    </xf>
    <xf numFmtId="0" fontId="19" fillId="0" borderId="6" xfId="0" applyFont="1" applyBorder="1" applyAlignment="1">
      <alignment horizontal="center" vertical="center" wrapText="1"/>
    </xf>
    <xf numFmtId="0" fontId="21" fillId="0" borderId="5" xfId="0" applyFont="1" applyBorder="1" applyAlignment="1" applyProtection="1">
      <alignment horizontal="center" vertical="center" wrapText="1"/>
      <protection locked="0"/>
    </xf>
    <xf numFmtId="0" fontId="21" fillId="0" borderId="9" xfId="0" applyFont="1" applyBorder="1" applyAlignment="1" applyProtection="1">
      <alignment horizontal="center" vertical="center" wrapText="1"/>
      <protection locked="0"/>
    </xf>
    <xf numFmtId="0" fontId="21" fillId="0" borderId="6" xfId="0" applyFont="1" applyBorder="1" applyAlignment="1" applyProtection="1">
      <alignment horizontal="center" vertical="center" wrapText="1"/>
      <protection locked="0"/>
    </xf>
    <xf numFmtId="0" fontId="17" fillId="0" borderId="0" xfId="0" applyFont="1" applyAlignment="1">
      <alignment horizontal="center" vertical="center" wrapText="1"/>
    </xf>
    <xf numFmtId="0" fontId="3" fillId="0" borderId="0" xfId="0" applyFont="1" applyAlignment="1">
      <alignment horizontal="center" vertical="center" wrapText="1"/>
    </xf>
    <xf numFmtId="0" fontId="3" fillId="0" borderId="2" xfId="0" applyFont="1" applyBorder="1" applyAlignment="1">
      <alignment horizontal="center" vertical="center" wrapText="1"/>
    </xf>
    <xf numFmtId="0" fontId="5" fillId="0" borderId="0" xfId="0" applyFont="1" applyAlignment="1">
      <alignment horizontal="center" wrapText="1"/>
    </xf>
    <xf numFmtId="0" fontId="8" fillId="0" borderId="0" xfId="0" applyFont="1" applyAlignment="1">
      <alignment horizontal="center" vertical="center" wrapText="1"/>
    </xf>
    <xf numFmtId="0" fontId="9" fillId="0" borderId="3" xfId="0" applyFont="1" applyBorder="1" applyAlignment="1">
      <alignment horizontal="center" vertical="center" wrapText="1"/>
    </xf>
    <xf numFmtId="0" fontId="9" fillId="0" borderId="4" xfId="0" applyFont="1" applyBorder="1" applyAlignment="1">
      <alignment horizontal="center" vertical="center" wrapText="1"/>
    </xf>
    <xf numFmtId="14" fontId="11" fillId="0" borderId="5" xfId="0" applyNumberFormat="1" applyFont="1" applyBorder="1" applyAlignment="1" applyProtection="1">
      <alignment horizontal="center" vertical="center" wrapText="1"/>
      <protection locked="0"/>
    </xf>
    <xf numFmtId="0" fontId="11" fillId="0" borderId="6" xfId="0" applyFont="1" applyBorder="1" applyAlignment="1" applyProtection="1">
      <alignment horizontal="center" vertical="center" wrapText="1"/>
      <protection locked="0"/>
    </xf>
    <xf numFmtId="0" fontId="12" fillId="0" borderId="0" xfId="0" applyFont="1" applyAlignment="1">
      <alignment horizontal="center" vertical="top" wrapText="1"/>
    </xf>
    <xf numFmtId="0" fontId="14" fillId="0" borderId="5" xfId="0" applyFont="1" applyBorder="1" applyAlignment="1">
      <alignment horizontal="center" vertical="center" wrapText="1"/>
    </xf>
    <xf numFmtId="0" fontId="14" fillId="0" borderId="6" xfId="0" applyFont="1" applyBorder="1" applyAlignment="1">
      <alignment horizontal="center" vertical="center" wrapText="1"/>
    </xf>
    <xf numFmtId="0" fontId="23" fillId="0" borderId="10" xfId="0" applyFont="1" applyBorder="1" applyAlignment="1">
      <alignment horizontal="center" wrapText="1"/>
    </xf>
    <xf numFmtId="0" fontId="23" fillId="0" borderId="11" xfId="0" applyFont="1" applyBorder="1" applyAlignment="1">
      <alignment horizontal="center" wrapText="1"/>
    </xf>
    <xf numFmtId="0" fontId="21" fillId="0" borderId="12" xfId="0" applyFont="1" applyBorder="1" applyAlignment="1" applyProtection="1">
      <alignment horizontal="center" vertical="center" wrapText="1"/>
      <protection locked="0"/>
    </xf>
    <xf numFmtId="0" fontId="21" fillId="0" borderId="13" xfId="0" applyFont="1" applyBorder="1" applyAlignment="1" applyProtection="1">
      <alignment horizontal="center" vertical="center" wrapText="1"/>
      <protection locked="0"/>
    </xf>
    <xf numFmtId="0" fontId="21" fillId="0" borderId="14" xfId="0" applyFont="1" applyBorder="1" applyAlignment="1" applyProtection="1">
      <alignment horizontal="center" vertical="center" wrapText="1"/>
      <protection locked="0"/>
    </xf>
    <xf numFmtId="0" fontId="21" fillId="0" borderId="17" xfId="0" applyFont="1" applyBorder="1" applyAlignment="1" applyProtection="1">
      <alignment horizontal="center" vertical="center" wrapText="1"/>
      <protection locked="0"/>
    </xf>
    <xf numFmtId="0" fontId="21" fillId="0" borderId="18" xfId="0" applyFont="1" applyBorder="1" applyAlignment="1" applyProtection="1">
      <alignment horizontal="center" vertical="center" wrapText="1"/>
      <protection locked="0"/>
    </xf>
    <xf numFmtId="0" fontId="21" fillId="0" borderId="19" xfId="0" applyFont="1" applyBorder="1" applyAlignment="1" applyProtection="1">
      <alignment horizontal="center" vertical="center" wrapText="1"/>
      <protection locked="0"/>
    </xf>
    <xf numFmtId="0" fontId="23" fillId="0" borderId="12" xfId="0" applyFont="1" applyBorder="1" applyAlignment="1">
      <alignment horizontal="center" wrapText="1"/>
    </xf>
    <xf numFmtId="0" fontId="23" fillId="0" borderId="21" xfId="0" applyFont="1" applyBorder="1" applyAlignment="1">
      <alignment horizontal="center" wrapText="1"/>
    </xf>
    <xf numFmtId="0" fontId="21" fillId="0" borderId="10" xfId="0" applyFont="1" applyBorder="1" applyAlignment="1" applyProtection="1">
      <alignment horizontal="center" vertical="center" wrapText="1"/>
      <protection locked="0"/>
    </xf>
    <xf numFmtId="0" fontId="21" fillId="0" borderId="11" xfId="0" applyFont="1" applyBorder="1" applyAlignment="1" applyProtection="1">
      <alignment horizontal="center" vertical="center" wrapText="1"/>
      <protection locked="0"/>
    </xf>
    <xf numFmtId="0" fontId="21" fillId="0" borderId="15" xfId="0" applyFont="1" applyBorder="1" applyAlignment="1" applyProtection="1">
      <alignment horizontal="center" vertical="center" wrapText="1"/>
      <protection locked="0"/>
    </xf>
    <xf numFmtId="0" fontId="21" fillId="0" borderId="16" xfId="0" applyFont="1" applyBorder="1" applyAlignment="1" applyProtection="1">
      <alignment horizontal="center" vertical="center" wrapText="1"/>
      <protection locked="0"/>
    </xf>
    <xf numFmtId="0" fontId="21" fillId="0" borderId="8" xfId="0" applyFont="1" applyBorder="1" applyAlignment="1" applyProtection="1">
      <alignment horizontal="center" vertical="center" wrapText="1"/>
      <protection locked="0"/>
    </xf>
    <xf numFmtId="0" fontId="21" fillId="0" borderId="20" xfId="0" applyFont="1" applyBorder="1" applyAlignment="1" applyProtection="1">
      <alignment horizontal="center" vertical="center" wrapText="1"/>
      <protection locked="0"/>
    </xf>
    <xf numFmtId="0" fontId="24" fillId="0" borderId="16" xfId="0" applyFont="1" applyBorder="1" applyAlignment="1">
      <alignment horizontal="center" wrapText="1"/>
    </xf>
    <xf numFmtId="0" fontId="24" fillId="0" borderId="8" xfId="0" applyFont="1" applyBorder="1" applyAlignment="1">
      <alignment horizontal="center" wrapText="1"/>
    </xf>
    <xf numFmtId="0" fontId="24" fillId="0" borderId="17" xfId="0" applyFont="1" applyBorder="1" applyAlignment="1">
      <alignment horizontal="center" wrapText="1"/>
    </xf>
    <xf numFmtId="0" fontId="24" fillId="0" borderId="22" xfId="0" applyFont="1" applyBorder="1" applyAlignment="1">
      <alignment horizontal="center" wrapText="1"/>
    </xf>
    <xf numFmtId="0" fontId="11" fillId="0" borderId="12" xfId="0" applyFont="1" applyBorder="1" applyAlignment="1" applyProtection="1">
      <alignment horizontal="center" vertical="center" wrapText="1"/>
      <protection locked="0"/>
    </xf>
    <xf numFmtId="0" fontId="11" fillId="0" borderId="13" xfId="0" applyFont="1" applyBorder="1" applyAlignment="1" applyProtection="1">
      <alignment horizontal="center" vertical="center" wrapText="1"/>
      <protection locked="0"/>
    </xf>
    <xf numFmtId="0" fontId="11" fillId="0" borderId="14" xfId="0" applyFont="1" applyBorder="1" applyAlignment="1" applyProtection="1">
      <alignment horizontal="center" vertical="center" wrapText="1"/>
      <protection locked="0"/>
    </xf>
    <xf numFmtId="0" fontId="11" fillId="0" borderId="17" xfId="0" applyFont="1" applyBorder="1" applyAlignment="1" applyProtection="1">
      <alignment horizontal="center" vertical="center" wrapText="1"/>
      <protection locked="0"/>
    </xf>
    <xf numFmtId="0" fontId="11" fillId="0" borderId="18" xfId="0" applyFont="1" applyBorder="1" applyAlignment="1" applyProtection="1">
      <alignment horizontal="center" vertical="center" wrapText="1"/>
      <protection locked="0"/>
    </xf>
    <xf numFmtId="0" fontId="11" fillId="0" borderId="19" xfId="0" applyFont="1" applyBorder="1" applyAlignment="1" applyProtection="1">
      <alignment horizontal="center" vertical="center" wrapText="1"/>
      <protection locked="0"/>
    </xf>
    <xf numFmtId="0" fontId="23" fillId="0" borderId="14" xfId="0" applyFont="1" applyBorder="1" applyAlignment="1">
      <alignment horizontal="center" wrapText="1"/>
    </xf>
    <xf numFmtId="0" fontId="24" fillId="0" borderId="19" xfId="0" applyFont="1" applyBorder="1" applyAlignment="1">
      <alignment horizontal="center" wrapText="1"/>
    </xf>
    <xf numFmtId="14" fontId="21" fillId="0" borderId="11" xfId="0" applyNumberFormat="1" applyFont="1" applyBorder="1" applyAlignment="1" applyProtection="1">
      <alignment horizontal="center" vertical="center" wrapText="1"/>
      <protection locked="0"/>
    </xf>
    <xf numFmtId="0" fontId="17" fillId="0" borderId="23" xfId="0" applyFont="1" applyBorder="1" applyAlignment="1">
      <alignment horizontal="center" vertical="center" wrapText="1"/>
    </xf>
    <xf numFmtId="0" fontId="26" fillId="0" borderId="10" xfId="0" applyFont="1" applyBorder="1" applyAlignment="1">
      <alignment horizontal="center" wrapText="1"/>
    </xf>
    <xf numFmtId="0" fontId="26" fillId="0" borderId="11" xfId="0" applyFont="1" applyBorder="1" applyAlignment="1">
      <alignment horizontal="center" wrapText="1"/>
    </xf>
    <xf numFmtId="0" fontId="11" fillId="0" borderId="11" xfId="0" applyFont="1" applyBorder="1" applyAlignment="1" applyProtection="1">
      <alignment horizontal="center" vertical="center"/>
      <protection locked="0"/>
    </xf>
    <xf numFmtId="0" fontId="11" fillId="0" borderId="8" xfId="0" applyFont="1" applyBorder="1" applyAlignment="1" applyProtection="1">
      <alignment horizontal="center" vertical="center"/>
      <protection locked="0"/>
    </xf>
    <xf numFmtId="0" fontId="26" fillId="0" borderId="24" xfId="0" applyFont="1" applyBorder="1" applyAlignment="1">
      <alignment horizontal="center" wrapText="1"/>
    </xf>
    <xf numFmtId="0" fontId="11" fillId="0" borderId="11"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wrapText="1"/>
      <protection locked="0"/>
    </xf>
    <xf numFmtId="0" fontId="11" fillId="0" borderId="8" xfId="0" applyFont="1" applyBorder="1" applyAlignment="1" applyProtection="1">
      <alignment horizontal="center" vertical="center" wrapText="1"/>
      <protection locked="0"/>
    </xf>
    <xf numFmtId="0" fontId="11" fillId="0" borderId="20" xfId="0" applyFont="1" applyBorder="1" applyAlignment="1" applyProtection="1">
      <alignment horizontal="center" vertical="center" wrapText="1"/>
      <protection locked="0"/>
    </xf>
    <xf numFmtId="0" fontId="24" fillId="0" borderId="16" xfId="0" applyFont="1" applyBorder="1" applyAlignment="1">
      <alignment horizontal="center" vertical="top" wrapText="1"/>
    </xf>
    <xf numFmtId="0" fontId="24" fillId="0" borderId="8" xfId="0" applyFont="1" applyBorder="1" applyAlignment="1">
      <alignment horizontal="center" vertical="top" wrapText="1"/>
    </xf>
    <xf numFmtId="0" fontId="24" fillId="0" borderId="25" xfId="0" applyFont="1" applyBorder="1" applyAlignment="1">
      <alignment horizontal="center" vertical="top" wrapText="1"/>
    </xf>
    <xf numFmtId="0" fontId="24" fillId="0" borderId="71" xfId="0" applyFont="1" applyBorder="1" applyAlignment="1">
      <alignment horizontal="center" vertical="top" wrapText="1"/>
    </xf>
    <xf numFmtId="0" fontId="16" fillId="0" borderId="2" xfId="0" applyFont="1" applyBorder="1" applyAlignment="1">
      <alignment vertical="center" wrapText="1"/>
    </xf>
    <xf numFmtId="0" fontId="27" fillId="0" borderId="2" xfId="0" applyFont="1" applyBorder="1" applyAlignment="1">
      <alignment vertical="center" wrapText="1"/>
    </xf>
    <xf numFmtId="0" fontId="26" fillId="0" borderId="26" xfId="0" applyFont="1" applyBorder="1" applyAlignment="1">
      <alignment horizontal="center" wrapText="1"/>
    </xf>
    <xf numFmtId="0" fontId="26" fillId="0" borderId="27" xfId="0" applyFont="1" applyBorder="1" applyAlignment="1">
      <alignment horizontal="center" wrapText="1"/>
    </xf>
    <xf numFmtId="0" fontId="26" fillId="0" borderId="28" xfId="0" applyFont="1" applyBorder="1" applyAlignment="1">
      <alignment horizontal="center" wrapText="1"/>
    </xf>
    <xf numFmtId="0" fontId="26" fillId="0" borderId="29" xfId="0" applyFont="1" applyBorder="1" applyAlignment="1">
      <alignment horizontal="center" wrapText="1"/>
    </xf>
    <xf numFmtId="0" fontId="26" fillId="0" borderId="30" xfId="0" applyFont="1" applyBorder="1" applyAlignment="1">
      <alignment horizontal="center" wrapText="1"/>
    </xf>
    <xf numFmtId="0" fontId="29" fillId="0" borderId="10" xfId="0" applyFont="1" applyBorder="1" applyAlignment="1">
      <alignment horizontal="center" vertical="center" wrapText="1"/>
    </xf>
    <xf numFmtId="0" fontId="29" fillId="0" borderId="11"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8" xfId="0" applyFont="1" applyBorder="1" applyAlignment="1">
      <alignment horizontal="center" vertical="center" wrapText="1"/>
    </xf>
    <xf numFmtId="165" fontId="30" fillId="0" borderId="12" xfId="0" applyNumberFormat="1" applyFont="1" applyBorder="1" applyAlignment="1" applyProtection="1">
      <alignment horizontal="center" vertical="center" wrapText="1"/>
      <protection locked="0"/>
    </xf>
    <xf numFmtId="0" fontId="20" fillId="0" borderId="12" xfId="0" applyFont="1" applyBorder="1" applyAlignment="1">
      <alignment horizontal="center" wrapText="1"/>
    </xf>
    <xf numFmtId="0" fontId="20" fillId="0" borderId="13" xfId="0" applyFont="1" applyBorder="1" applyAlignment="1">
      <alignment horizontal="center" wrapText="1"/>
    </xf>
    <xf numFmtId="0" fontId="20" fillId="0" borderId="14" xfId="0" applyFont="1" applyBorder="1" applyAlignment="1">
      <alignment horizontal="center" wrapText="1"/>
    </xf>
    <xf numFmtId="0" fontId="18" fillId="0" borderId="31" xfId="0" applyFont="1" applyBorder="1" applyAlignment="1">
      <alignment horizontal="center" vertical="top" wrapText="1"/>
    </xf>
    <xf numFmtId="0" fontId="18" fillId="0" borderId="0" xfId="0" applyFont="1" applyAlignment="1">
      <alignment horizontal="center" vertical="top" wrapText="1"/>
    </xf>
    <xf numFmtId="0" fontId="18" fillId="0" borderId="32" xfId="0" applyFont="1" applyBorder="1" applyAlignment="1">
      <alignment horizontal="center" vertical="top" wrapText="1"/>
    </xf>
    <xf numFmtId="0" fontId="71" fillId="0" borderId="0" xfId="1" applyFill="1" applyBorder="1" applyAlignment="1" applyProtection="1">
      <alignment horizontal="center" vertical="center" wrapText="1"/>
      <protection locked="0"/>
    </xf>
    <xf numFmtId="0" fontId="35" fillId="0" borderId="11" xfId="0" applyFont="1" applyBorder="1" applyAlignment="1">
      <alignment horizontal="left" vertical="center"/>
    </xf>
    <xf numFmtId="0" fontId="35" fillId="0" borderId="0" xfId="0" applyFont="1" applyAlignment="1">
      <alignment horizontal="left" vertical="center"/>
    </xf>
    <xf numFmtId="0" fontId="36" fillId="0" borderId="0" xfId="0" applyFont="1" applyAlignment="1">
      <alignment horizontal="center" vertical="center" wrapText="1"/>
    </xf>
    <xf numFmtId="0" fontId="36" fillId="0" borderId="1" xfId="0" applyFont="1" applyBorder="1" applyAlignment="1">
      <alignment horizontal="center" vertical="center" wrapText="1"/>
    </xf>
    <xf numFmtId="0" fontId="9" fillId="0" borderId="5" xfId="0" applyFont="1" applyBorder="1" applyAlignment="1">
      <alignment horizontal="center" vertical="center" wrapText="1"/>
    </xf>
    <xf numFmtId="0" fontId="9" fillId="0" borderId="6" xfId="0" applyFont="1" applyBorder="1" applyAlignment="1">
      <alignment horizontal="center" vertical="center" wrapText="1"/>
    </xf>
    <xf numFmtId="0" fontId="32" fillId="0" borderId="5" xfId="0" applyFont="1" applyBorder="1" applyAlignment="1" applyProtection="1">
      <alignment horizontal="center" vertical="center" wrapText="1"/>
      <protection locked="0"/>
    </xf>
    <xf numFmtId="0" fontId="32" fillId="0" borderId="6" xfId="0" applyFont="1" applyBorder="1" applyAlignment="1" applyProtection="1">
      <alignment horizontal="center" vertical="center" wrapText="1"/>
      <protection locked="0"/>
    </xf>
    <xf numFmtId="0" fontId="42" fillId="2" borderId="0" xfId="0" applyFont="1" applyFill="1" applyAlignment="1" applyProtection="1">
      <alignment horizontal="center" vertical="center" wrapText="1"/>
      <protection locked="0"/>
    </xf>
    <xf numFmtId="0" fontId="42" fillId="0" borderId="42" xfId="0" applyFont="1" applyBorder="1" applyAlignment="1" applyProtection="1">
      <alignment horizontal="center" vertical="center" wrapText="1"/>
      <protection locked="0"/>
    </xf>
    <xf numFmtId="0" fontId="42" fillId="0" borderId="45" xfId="0" applyFont="1" applyBorder="1" applyAlignment="1" applyProtection="1">
      <alignment horizontal="center" vertical="center" wrapText="1"/>
      <protection locked="0"/>
    </xf>
    <xf numFmtId="0" fontId="42" fillId="3" borderId="48" xfId="0" applyFont="1" applyFill="1" applyBorder="1" applyAlignment="1" applyProtection="1">
      <alignment horizontal="center" vertical="center" wrapText="1"/>
      <protection locked="0"/>
    </xf>
    <xf numFmtId="0" fontId="42" fillId="3" borderId="42" xfId="0" applyFont="1" applyFill="1" applyBorder="1" applyAlignment="1" applyProtection="1">
      <alignment horizontal="center" vertical="center" wrapText="1"/>
      <protection locked="0"/>
    </xf>
    <xf numFmtId="0" fontId="43" fillId="0" borderId="0" xfId="0" applyFont="1" applyAlignment="1" applyProtection="1">
      <alignment horizontal="center" vertical="center"/>
      <protection locked="0"/>
    </xf>
    <xf numFmtId="0" fontId="38" fillId="0" borderId="5" xfId="0" applyFont="1" applyBorder="1" applyAlignment="1">
      <alignment horizontal="center" vertical="center" wrapText="1"/>
    </xf>
    <xf numFmtId="0" fontId="38" fillId="0" borderId="6" xfId="0" applyFont="1" applyBorder="1" applyAlignment="1">
      <alignment horizontal="center" vertical="center" wrapText="1"/>
    </xf>
    <xf numFmtId="0" fontId="17" fillId="0" borderId="33" xfId="0" applyFont="1" applyBorder="1" applyAlignment="1">
      <alignment horizontal="center" vertical="center" wrapText="1"/>
    </xf>
    <xf numFmtId="0" fontId="29" fillId="0" borderId="0" xfId="0" applyFont="1" applyAlignment="1" applyProtection="1">
      <alignment horizontal="center"/>
      <protection locked="0"/>
    </xf>
    <xf numFmtId="0" fontId="41" fillId="0" borderId="0" xfId="0" applyFont="1" applyAlignment="1" applyProtection="1">
      <alignment horizontal="center" vertical="top" wrapText="1"/>
      <protection locked="0"/>
    </xf>
    <xf numFmtId="0" fontId="42" fillId="3" borderId="34" xfId="0" applyFont="1" applyFill="1" applyBorder="1" applyAlignment="1" applyProtection="1">
      <alignment horizontal="center" vertical="center" wrapText="1"/>
      <protection locked="0"/>
    </xf>
    <xf numFmtId="0" fontId="42" fillId="3" borderId="38" xfId="0" applyFont="1" applyFill="1" applyBorder="1" applyAlignment="1" applyProtection="1">
      <alignment horizontal="center" vertical="center" wrapText="1"/>
      <protection locked="0"/>
    </xf>
    <xf numFmtId="0" fontId="57" fillId="4" borderId="64" xfId="0" applyFont="1" applyFill="1" applyBorder="1" applyAlignment="1" applyProtection="1">
      <alignment horizontal="center" vertical="center"/>
      <protection locked="0"/>
    </xf>
    <xf numFmtId="0" fontId="57" fillId="4" borderId="65" xfId="0" applyFont="1" applyFill="1" applyBorder="1" applyAlignment="1" applyProtection="1">
      <alignment horizontal="center" vertical="center"/>
      <protection locked="0"/>
    </xf>
    <xf numFmtId="0" fontId="57" fillId="4" borderId="66" xfId="0" applyFont="1" applyFill="1" applyBorder="1" applyAlignment="1" applyProtection="1">
      <alignment horizontal="center" vertical="center"/>
      <protection locked="0"/>
    </xf>
    <xf numFmtId="0" fontId="56" fillId="0" borderId="0" xfId="0" applyFont="1" applyAlignment="1" applyProtection="1">
      <alignment horizontal="center" vertical="center"/>
      <protection locked="0"/>
    </xf>
    <xf numFmtId="0" fontId="60" fillId="0" borderId="0" xfId="0" applyFont="1" applyAlignment="1">
      <alignment horizontal="right" vertical="top" wrapText="1"/>
    </xf>
    <xf numFmtId="0" fontId="60" fillId="0" borderId="0" xfId="0" applyFont="1" applyAlignment="1">
      <alignment horizontal="right" vertical="top"/>
    </xf>
    <xf numFmtId="2" fontId="26" fillId="0" borderId="0" xfId="0" applyNumberFormat="1" applyFont="1" applyAlignment="1" applyProtection="1">
      <alignment horizontal="center" vertical="center" wrapText="1"/>
      <protection locked="0"/>
    </xf>
    <xf numFmtId="2" fontId="29" fillId="0" borderId="0" xfId="0" applyNumberFormat="1" applyFont="1" applyAlignment="1" applyProtection="1">
      <alignment horizontal="left" vertical="center" wrapText="1"/>
      <protection locked="0"/>
    </xf>
    <xf numFmtId="0" fontId="43" fillId="3" borderId="52" xfId="0" applyFont="1" applyFill="1" applyBorder="1" applyAlignment="1" applyProtection="1">
      <alignment horizontal="center" vertical="center"/>
      <protection locked="0"/>
    </xf>
    <xf numFmtId="0" fontId="47" fillId="3" borderId="53" xfId="0" applyFont="1" applyFill="1" applyBorder="1" applyAlignment="1" applyProtection="1">
      <alignment horizontal="center"/>
      <protection locked="0"/>
    </xf>
    <xf numFmtId="0" fontId="47" fillId="3" borderId="55" xfId="0" applyFont="1" applyFill="1" applyBorder="1" applyAlignment="1" applyProtection="1">
      <alignment horizontal="center"/>
      <protection locked="0"/>
    </xf>
    <xf numFmtId="0" fontId="42" fillId="0" borderId="2" xfId="0" applyFont="1" applyBorder="1" applyAlignment="1">
      <alignment horizontal="center" vertical="center"/>
    </xf>
    <xf numFmtId="0" fontId="57" fillId="4" borderId="57" xfId="0" applyFont="1" applyFill="1" applyBorder="1" applyAlignment="1" applyProtection="1">
      <alignment horizontal="center" vertical="center" wrapText="1"/>
      <protection locked="0"/>
    </xf>
    <xf numFmtId="0" fontId="57" fillId="4" borderId="58" xfId="0" applyFont="1" applyFill="1" applyBorder="1" applyAlignment="1" applyProtection="1">
      <alignment horizontal="center" vertical="center" wrapText="1"/>
      <protection locked="0"/>
    </xf>
    <xf numFmtId="0" fontId="57" fillId="4" borderId="59" xfId="0" applyFont="1" applyFill="1" applyBorder="1" applyAlignment="1" applyProtection="1">
      <alignment horizontal="center" vertical="center" wrapText="1"/>
      <protection locked="0"/>
    </xf>
    <xf numFmtId="0" fontId="9" fillId="4" borderId="61" xfId="0" applyFont="1" applyFill="1" applyBorder="1" applyAlignment="1" applyProtection="1">
      <alignment horizontal="center" vertical="center" wrapText="1"/>
      <protection locked="0"/>
    </xf>
    <xf numFmtId="0" fontId="9" fillId="4" borderId="62" xfId="0" applyFont="1" applyFill="1" applyBorder="1" applyAlignment="1" applyProtection="1">
      <alignment horizontal="center" vertical="center" wrapText="1"/>
      <protection locked="0"/>
    </xf>
    <xf numFmtId="0" fontId="9" fillId="4" borderId="63" xfId="0" applyFont="1" applyFill="1" applyBorder="1" applyAlignment="1" applyProtection="1">
      <alignment horizontal="center" vertical="center" wrapText="1"/>
      <protection locked="0"/>
    </xf>
    <xf numFmtId="0" fontId="82" fillId="4" borderId="77" xfId="2" applyFont="1" applyFill="1" applyBorder="1" applyAlignment="1">
      <alignment horizontal="center" vertical="center" wrapText="1"/>
    </xf>
    <xf numFmtId="0" fontId="82" fillId="4" borderId="78" xfId="2" applyFont="1" applyFill="1" applyBorder="1" applyAlignment="1">
      <alignment horizontal="center" vertical="center" wrapText="1"/>
    </xf>
    <xf numFmtId="0" fontId="82" fillId="4" borderId="79" xfId="2" applyFont="1" applyFill="1" applyBorder="1" applyAlignment="1">
      <alignment horizontal="center" vertical="center" wrapText="1"/>
    </xf>
    <xf numFmtId="0" fontId="82" fillId="4" borderId="80" xfId="2" applyFont="1" applyFill="1" applyBorder="1" applyAlignment="1">
      <alignment horizontal="center" vertical="center" wrapText="1"/>
    </xf>
    <xf numFmtId="0" fontId="20" fillId="0" borderId="0" xfId="0" applyFont="1" applyAlignment="1">
      <alignment horizontal="left" vertical="center" wrapText="1"/>
    </xf>
    <xf numFmtId="0" fontId="23" fillId="0" borderId="0" xfId="0" applyFont="1" applyAlignment="1" applyProtection="1">
      <alignment horizontal="left" vertical="center" wrapText="1"/>
      <protection locked="0"/>
    </xf>
    <xf numFmtId="0" fontId="66" fillId="0" borderId="0" xfId="0" applyFont="1" applyAlignment="1" applyProtection="1">
      <alignment horizontal="center" vertical="center" wrapText="1"/>
      <protection locked="0"/>
    </xf>
    <xf numFmtId="0" fontId="35" fillId="0" borderId="0" xfId="0" applyFont="1" applyAlignment="1">
      <alignment horizontal="left" wrapText="1"/>
    </xf>
    <xf numFmtId="0" fontId="70" fillId="0" borderId="0" xfId="0" applyFont="1" applyAlignment="1" applyProtection="1">
      <alignment horizontal="left" vertical="center" wrapText="1" indent="5"/>
      <protection locked="0"/>
    </xf>
    <xf numFmtId="0" fontId="23" fillId="0" borderId="0" xfId="0" applyFont="1" applyAlignment="1">
      <alignment horizontal="center" vertical="top" wrapText="1"/>
    </xf>
    <xf numFmtId="0" fontId="23" fillId="0" borderId="0" xfId="0" applyFont="1" applyAlignment="1">
      <alignment horizontal="right" vertical="top" wrapText="1" indent="1"/>
    </xf>
    <xf numFmtId="0" fontId="63" fillId="0" borderId="68" xfId="0" applyFont="1" applyBorder="1" applyAlignment="1">
      <alignment horizontal="center" vertical="center" wrapText="1"/>
    </xf>
    <xf numFmtId="0" fontId="20" fillId="0" borderId="0" xfId="0" applyFont="1" applyAlignment="1">
      <alignment horizontal="justify" vertical="center" wrapText="1"/>
    </xf>
    <xf numFmtId="165" fontId="26" fillId="0" borderId="0" xfId="0" applyNumberFormat="1" applyFont="1" applyAlignment="1">
      <alignment horizontal="left" vertical="center" wrapText="1"/>
    </xf>
    <xf numFmtId="15" fontId="54" fillId="0" borderId="0" xfId="0" applyNumberFormat="1" applyFont="1" applyAlignment="1" applyProtection="1">
      <alignment horizontal="center"/>
      <protection locked="0"/>
    </xf>
    <xf numFmtId="0" fontId="83" fillId="0" borderId="0" xfId="0" applyFont="1" applyAlignment="1" applyProtection="1">
      <alignment vertical="center"/>
      <protection locked="0"/>
    </xf>
    <xf numFmtId="0" fontId="84" fillId="4" borderId="75" xfId="0" applyFont="1" applyFill="1" applyBorder="1" applyAlignment="1">
      <alignment horizontal="center" vertical="center" wrapText="1"/>
    </xf>
    <xf numFmtId="0" fontId="84" fillId="4" borderId="81" xfId="0" applyFont="1" applyFill="1" applyBorder="1" applyAlignment="1">
      <alignment horizontal="center" vertical="center" wrapText="1"/>
    </xf>
    <xf numFmtId="0" fontId="84" fillId="4" borderId="87" xfId="0" applyFont="1" applyFill="1" applyBorder="1" applyAlignment="1">
      <alignment horizontal="center" vertical="center" wrapText="1"/>
    </xf>
    <xf numFmtId="0" fontId="85" fillId="0" borderId="0" xfId="0" applyFont="1" applyAlignment="1">
      <alignment vertical="center" wrapText="1"/>
    </xf>
    <xf numFmtId="2" fontId="81" fillId="0" borderId="76" xfId="0" applyNumberFormat="1" applyFont="1" applyBorder="1" applyAlignment="1">
      <alignment horizontal="center" vertical="center" wrapText="1"/>
    </xf>
    <xf numFmtId="2" fontId="81" fillId="0" borderId="83" xfId="0" applyNumberFormat="1" applyFont="1" applyBorder="1" applyAlignment="1">
      <alignment horizontal="center" vertical="center" wrapText="1"/>
    </xf>
    <xf numFmtId="2" fontId="81" fillId="0" borderId="88" xfId="0" applyNumberFormat="1" applyFont="1" applyBorder="1" applyAlignment="1">
      <alignment horizontal="center" vertical="center" wrapText="1"/>
    </xf>
    <xf numFmtId="0" fontId="28" fillId="0" borderId="71" xfId="0" applyFont="1" applyFill="1" applyBorder="1" applyAlignment="1" applyProtection="1">
      <alignment horizontal="center" vertical="center" wrapText="1"/>
      <protection locked="0"/>
    </xf>
    <xf numFmtId="0" fontId="28" fillId="0" borderId="0" xfId="0" applyFont="1" applyFill="1" applyBorder="1" applyAlignment="1" applyProtection="1">
      <alignment horizontal="center" vertical="center" wrapText="1"/>
      <protection locked="0"/>
    </xf>
    <xf numFmtId="14" fontId="28" fillId="0" borderId="0" xfId="0" applyNumberFormat="1" applyFont="1" applyFill="1" applyBorder="1" applyAlignment="1" applyProtection="1">
      <alignment horizontal="center" vertical="center" wrapText="1"/>
      <protection locked="0"/>
    </xf>
    <xf numFmtId="14" fontId="2" fillId="0" borderId="0" xfId="0" applyNumberFormat="1" applyFont="1" applyAlignment="1" applyProtection="1">
      <alignment horizontal="center" vertical="center" wrapText="1"/>
      <protection locked="0"/>
    </xf>
    <xf numFmtId="166" fontId="28" fillId="0" borderId="71" xfId="0" applyNumberFormat="1" applyFont="1" applyFill="1" applyBorder="1" applyAlignment="1" applyProtection="1">
      <alignment horizontal="center" vertical="center" wrapText="1"/>
      <protection locked="0"/>
    </xf>
    <xf numFmtId="0" fontId="30" fillId="0" borderId="13" xfId="0" applyNumberFormat="1" applyFont="1" applyBorder="1" applyAlignment="1" applyProtection="1">
      <alignment horizontal="center" vertical="center" wrapText="1"/>
      <protection locked="0"/>
    </xf>
    <xf numFmtId="0" fontId="30" fillId="0" borderId="14" xfId="0" applyNumberFormat="1" applyFont="1" applyBorder="1" applyAlignment="1" applyProtection="1">
      <alignment horizontal="center" vertical="center" wrapText="1"/>
      <protection locked="0"/>
    </xf>
    <xf numFmtId="0" fontId="30" fillId="0" borderId="17" xfId="0" applyNumberFormat="1" applyFont="1" applyBorder="1" applyAlignment="1" applyProtection="1">
      <alignment horizontal="center" vertical="center" wrapText="1"/>
      <protection locked="0"/>
    </xf>
    <xf numFmtId="0" fontId="30" fillId="0" borderId="18" xfId="0" applyNumberFormat="1" applyFont="1" applyBorder="1" applyAlignment="1" applyProtection="1">
      <alignment horizontal="center" vertical="center" wrapText="1"/>
      <protection locked="0"/>
    </xf>
    <xf numFmtId="0" fontId="30" fillId="0" borderId="19" xfId="0" applyNumberFormat="1" applyFont="1" applyBorder="1" applyAlignment="1" applyProtection="1">
      <alignment horizontal="center" vertical="center" wrapText="1"/>
      <protection locked="0"/>
    </xf>
    <xf numFmtId="0" fontId="30" fillId="0" borderId="31" xfId="0" applyNumberFormat="1" applyFont="1" applyBorder="1" applyAlignment="1" applyProtection="1">
      <alignment horizontal="center" vertical="center" wrapText="1"/>
      <protection locked="0"/>
    </xf>
    <xf numFmtId="0" fontId="30" fillId="0" borderId="0" xfId="0" applyNumberFormat="1" applyFont="1" applyAlignment="1" applyProtection="1">
      <alignment horizontal="center" vertical="center" wrapText="1"/>
      <protection locked="0"/>
    </xf>
    <xf numFmtId="0" fontId="30" fillId="0" borderId="32" xfId="0" applyNumberFormat="1" applyFont="1" applyBorder="1" applyAlignment="1" applyProtection="1">
      <alignment horizontal="center" vertical="center" wrapText="1"/>
      <protection locked="0"/>
    </xf>
    <xf numFmtId="165" fontId="28" fillId="0" borderId="71" xfId="0" applyNumberFormat="1" applyFont="1" applyFill="1" applyBorder="1" applyAlignment="1" applyProtection="1">
      <alignment horizontal="center" vertical="center" wrapText="1"/>
      <protection locked="0"/>
    </xf>
  </cellXfs>
  <cellStyles count="3">
    <cellStyle name="Celda vinculada" xfId="1" builtinId="24"/>
    <cellStyle name="Normal" xfId="0" builtinId="0"/>
    <cellStyle name="Normal 2" xfId="2" xr:uid="{67F02755-BDF6-4217-B85A-AC3A39B561E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3" Type="http://schemas.openxmlformats.org/officeDocument/2006/relationships/image" Target="../media/image9.jpeg"/><Relationship Id="rId2" Type="http://schemas.openxmlformats.org/officeDocument/2006/relationships/image" Target="../media/image8.png"/><Relationship Id="rId1" Type="http://schemas.openxmlformats.org/officeDocument/2006/relationships/image" Target="../media/image7.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6" Type="http://schemas.openxmlformats.org/officeDocument/2006/relationships/image" Target="../media/image1.emf"/><Relationship Id="rId5" Type="http://schemas.openxmlformats.org/officeDocument/2006/relationships/image" Target="../media/image2.emf"/><Relationship Id="rId4"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0</xdr:colOff>
          <xdr:row>3</xdr:row>
          <xdr:rowOff>38100</xdr:rowOff>
        </xdr:from>
        <xdr:to>
          <xdr:col>11</xdr:col>
          <xdr:colOff>696686</xdr:colOff>
          <xdr:row>5</xdr:row>
          <xdr:rowOff>21771</xdr:rowOff>
        </xdr:to>
        <xdr:sp macro="" textlink="">
          <xdr:nvSpPr>
            <xdr:cNvPr id="2049" name="BuscarRutas"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6</xdr:row>
          <xdr:rowOff>0</xdr:rowOff>
        </xdr:from>
        <xdr:to>
          <xdr:col>11</xdr:col>
          <xdr:colOff>429986</xdr:colOff>
          <xdr:row>7</xdr:row>
          <xdr:rowOff>185057</xdr:rowOff>
        </xdr:to>
        <xdr:sp macro="" textlink="">
          <xdr:nvSpPr>
            <xdr:cNvPr id="2050" name="BuscarCliente"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767443</xdr:colOff>
          <xdr:row>8</xdr:row>
          <xdr:rowOff>223157</xdr:rowOff>
        </xdr:from>
        <xdr:to>
          <xdr:col>11</xdr:col>
          <xdr:colOff>408214</xdr:colOff>
          <xdr:row>10</xdr:row>
          <xdr:rowOff>201386</xdr:rowOff>
        </xdr:to>
        <xdr:sp macro="" textlink="">
          <xdr:nvSpPr>
            <xdr:cNvPr id="2051" name="BuscarEquipo"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772886</xdr:colOff>
          <xdr:row>11</xdr:row>
          <xdr:rowOff>190500</xdr:rowOff>
        </xdr:from>
        <xdr:to>
          <xdr:col>11</xdr:col>
          <xdr:colOff>413657</xdr:colOff>
          <xdr:row>13</xdr:row>
          <xdr:rowOff>92529</xdr:rowOff>
        </xdr:to>
        <xdr:sp macro="" textlink="">
          <xdr:nvSpPr>
            <xdr:cNvPr id="2059" name="BuscarPatron"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762000</xdr:colOff>
          <xdr:row>11</xdr:row>
          <xdr:rowOff>179614</xdr:rowOff>
        </xdr:from>
        <xdr:to>
          <xdr:col>13</xdr:col>
          <xdr:colOff>402771</xdr:colOff>
          <xdr:row>13</xdr:row>
          <xdr:rowOff>81643</xdr:rowOff>
        </xdr:to>
        <xdr:sp macro="" textlink="">
          <xdr:nvSpPr>
            <xdr:cNvPr id="2070" name="Borrarpatron" hidden="1">
              <a:extLst>
                <a:ext uri="{63B3BB69-23CF-44E3-9099-C40C66FF867C}">
                  <a14:compatExt spid="_x0000_s2070"/>
                </a:ext>
                <a:ext uri="{FF2B5EF4-FFF2-40B4-BE49-F238E27FC236}">
                  <a16:creationId xmlns:a16="http://schemas.microsoft.com/office/drawing/2014/main" id="{00000000-0008-0000-0000-00001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14</xdr:row>
          <xdr:rowOff>38100</xdr:rowOff>
        </xdr:from>
        <xdr:to>
          <xdr:col>11</xdr:col>
          <xdr:colOff>419100</xdr:colOff>
          <xdr:row>15</xdr:row>
          <xdr:rowOff>201386</xdr:rowOff>
        </xdr:to>
        <xdr:sp macro="" textlink="">
          <xdr:nvSpPr>
            <xdr:cNvPr id="2078" name="LlenarCampos" hidden="1">
              <a:extLst>
                <a:ext uri="{63B3BB69-23CF-44E3-9099-C40C66FF867C}">
                  <a14:compatExt spid="_x0000_s2078"/>
                </a:ext>
                <a:ext uri="{FF2B5EF4-FFF2-40B4-BE49-F238E27FC236}">
                  <a16:creationId xmlns:a16="http://schemas.microsoft.com/office/drawing/2014/main" id="{6F138F98-7DCF-1F49-38A1-06BDFA5DE3D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13</xdr:col>
      <xdr:colOff>607097</xdr:colOff>
      <xdr:row>145</xdr:row>
      <xdr:rowOff>0</xdr:rowOff>
    </xdr:from>
    <xdr:to>
      <xdr:col>29</xdr:col>
      <xdr:colOff>465667</xdr:colOff>
      <xdr:row>145</xdr:row>
      <xdr:rowOff>4948</xdr:rowOff>
    </xdr:to>
    <xdr:sp macro="" textlink="">
      <xdr:nvSpPr>
        <xdr:cNvPr id="9" name="Text Box 276">
          <a:extLst>
            <a:ext uri="{FF2B5EF4-FFF2-40B4-BE49-F238E27FC236}">
              <a16:creationId xmlns:a16="http://schemas.microsoft.com/office/drawing/2014/main" id="{00000000-0008-0000-0100-000009000000}"/>
            </a:ext>
          </a:extLst>
        </xdr:cNvPr>
        <xdr:cNvSpPr txBox="1">
          <a:spLocks noChangeArrowheads="1"/>
        </xdr:cNvSpPr>
      </xdr:nvSpPr>
      <xdr:spPr bwMode="auto">
        <a:xfrm>
          <a:off x="16146454" y="58374643"/>
          <a:ext cx="13531027" cy="49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r>
            <a:rPr lang="es-MX" sz="13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 Kalibrixcal S. A. de C. V. El Certificado de Calibración es válido solo con sello. Este Certificado de Calibración es válido únicamente para el instrumento calibrado y en las condiciones en que fue realizada la calibración. La frecuencia de Calibración es responsabilidad del usuario.</a:t>
          </a:r>
        </a:p>
        <a:p>
          <a:endParaRPr lang="en-US" sz="1300" i="1">
            <a:effectLst/>
            <a:latin typeface="Times New Roman" pitchFamily="18" charset="0"/>
            <a:ea typeface="+mn-ea"/>
            <a:cs typeface="Times New Roman" pitchFamily="18" charset="0"/>
          </a:endParaRPr>
        </a:p>
        <a:p>
          <a:r>
            <a:rPr lang="en-US" sz="1300" i="1">
              <a:effectLst/>
              <a:latin typeface="Times New Roman" pitchFamily="18" charset="0"/>
              <a:ea typeface="+mn-ea"/>
              <a:cs typeface="Times New Roman" pitchFamily="18" charset="0"/>
            </a:rPr>
            <a:t>This Calibration Certificate may not be reproduced other than in full except with the permission of the issuing Laboratory. Calibration Certificate is valid only with seal. This Certificate is valid only for the Object calibrated and under the conditions in which calibration was performed. The user is responsible for the calibration frequency.</a:t>
          </a:r>
          <a:endParaRPr lang="es-MX" sz="1300">
            <a:effectLst/>
            <a:latin typeface="Times New Roman" pitchFamily="18" charset="0"/>
            <a:ea typeface="+mn-ea"/>
            <a:cs typeface="Times New Roman" pitchFamily="18" charset="0"/>
          </a:endParaRPr>
        </a:p>
      </xdr:txBody>
    </xdr:sp>
    <xdr:clientData/>
  </xdr:twoCellAnchor>
  <xdr:twoCellAnchor editAs="oneCell">
    <xdr:from>
      <xdr:col>3</xdr:col>
      <xdr:colOff>301666</xdr:colOff>
      <xdr:row>112</xdr:row>
      <xdr:rowOff>325513</xdr:rowOff>
    </xdr:from>
    <xdr:to>
      <xdr:col>11</xdr:col>
      <xdr:colOff>610496</xdr:colOff>
      <xdr:row>123</xdr:row>
      <xdr:rowOff>97539</xdr:rowOff>
    </xdr:to>
    <xdr:pic>
      <xdr:nvPicPr>
        <xdr:cNvPr id="10" name="Imagen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20423" y="43933684"/>
          <a:ext cx="10394444" cy="4134478"/>
        </a:xfrm>
        <a:prstGeom prst="rect">
          <a:avLst/>
        </a:prstGeom>
      </xdr:spPr>
    </xdr:pic>
    <xdr:clientData/>
  </xdr:twoCellAnchor>
  <xdr:twoCellAnchor editAs="oneCell">
    <xdr:from>
      <xdr:col>0</xdr:col>
      <xdr:colOff>139117</xdr:colOff>
      <xdr:row>0</xdr:row>
      <xdr:rowOff>299315</xdr:rowOff>
    </xdr:from>
    <xdr:to>
      <xdr:col>3</xdr:col>
      <xdr:colOff>1037413</xdr:colOff>
      <xdr:row>1</xdr:row>
      <xdr:rowOff>840113</xdr:rowOff>
    </xdr:to>
    <xdr:pic>
      <xdr:nvPicPr>
        <xdr:cNvPr id="11" name="Imagen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2"/>
        <a:stretch>
          <a:fillRect/>
        </a:stretch>
      </xdr:blipFill>
      <xdr:spPr>
        <a:xfrm>
          <a:off x="139117" y="299315"/>
          <a:ext cx="4015693" cy="1139512"/>
        </a:xfrm>
        <a:prstGeom prst="rect">
          <a:avLst/>
        </a:prstGeom>
      </xdr:spPr>
    </xdr:pic>
    <xdr:clientData/>
  </xdr:twoCellAnchor>
  <xdr:twoCellAnchor editAs="oneCell">
    <xdr:from>
      <xdr:col>11</xdr:col>
      <xdr:colOff>143838</xdr:colOff>
      <xdr:row>0</xdr:row>
      <xdr:rowOff>115282</xdr:rowOff>
    </xdr:from>
    <xdr:to>
      <xdr:col>13</xdr:col>
      <xdr:colOff>1193250</xdr:colOff>
      <xdr:row>1</xdr:row>
      <xdr:rowOff>998549</xdr:rowOff>
    </xdr:to>
    <xdr:pic>
      <xdr:nvPicPr>
        <xdr:cNvPr id="12" name="Imagen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 cstate="print"/>
        <a:stretch>
          <a:fillRect/>
        </a:stretch>
      </xdr:blipFill>
      <xdr:spPr>
        <a:xfrm>
          <a:off x="13348209" y="115282"/>
          <a:ext cx="3377595" cy="1486064"/>
        </a:xfrm>
        <a:prstGeom prst="rect">
          <a:avLst/>
        </a:prstGeom>
      </xdr:spPr>
    </xdr:pic>
    <xdr:clientData/>
  </xdr:twoCellAnchor>
  <xdr:twoCellAnchor editAs="oneCell">
    <xdr:from>
      <xdr:col>0</xdr:col>
      <xdr:colOff>167105</xdr:colOff>
      <xdr:row>50</xdr:row>
      <xdr:rowOff>351139</xdr:rowOff>
    </xdr:from>
    <xdr:to>
      <xdr:col>3</xdr:col>
      <xdr:colOff>1057238</xdr:colOff>
      <xdr:row>51</xdr:row>
      <xdr:rowOff>894658</xdr:rowOff>
    </xdr:to>
    <xdr:pic>
      <xdr:nvPicPr>
        <xdr:cNvPr id="13" name="Imagen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2"/>
        <a:stretch>
          <a:fillRect/>
        </a:stretch>
      </xdr:blipFill>
      <xdr:spPr>
        <a:xfrm>
          <a:off x="167105" y="25415496"/>
          <a:ext cx="4015693" cy="1139512"/>
        </a:xfrm>
        <a:prstGeom prst="rect">
          <a:avLst/>
        </a:prstGeom>
      </xdr:spPr>
    </xdr:pic>
    <xdr:clientData/>
  </xdr:twoCellAnchor>
  <xdr:twoCellAnchor editAs="oneCell">
    <xdr:from>
      <xdr:col>11</xdr:col>
      <xdr:colOff>171826</xdr:colOff>
      <xdr:row>50</xdr:row>
      <xdr:rowOff>167106</xdr:rowOff>
    </xdr:from>
    <xdr:to>
      <xdr:col>13</xdr:col>
      <xdr:colOff>1207632</xdr:colOff>
      <xdr:row>51</xdr:row>
      <xdr:rowOff>1058539</xdr:rowOff>
    </xdr:to>
    <xdr:pic>
      <xdr:nvPicPr>
        <xdr:cNvPr id="14" name="Imagen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3" cstate="print"/>
        <a:stretch>
          <a:fillRect/>
        </a:stretch>
      </xdr:blipFill>
      <xdr:spPr>
        <a:xfrm>
          <a:off x="13376197" y="25231463"/>
          <a:ext cx="3377595" cy="1486064"/>
        </a:xfrm>
        <a:prstGeom prst="rect">
          <a:avLst/>
        </a:prstGeom>
      </xdr:spPr>
    </xdr:pic>
    <xdr:clientData/>
  </xdr:twoCellAnchor>
  <xdr:twoCellAnchor>
    <xdr:from>
      <xdr:col>0</xdr:col>
      <xdr:colOff>50132</xdr:colOff>
      <xdr:row>37</xdr:row>
      <xdr:rowOff>183815</xdr:rowOff>
    </xdr:from>
    <xdr:to>
      <xdr:col>13</xdr:col>
      <xdr:colOff>1370264</xdr:colOff>
      <xdr:row>44</xdr:row>
      <xdr:rowOff>91754</xdr:rowOff>
    </xdr:to>
    <xdr:sp macro="" textlink="">
      <xdr:nvSpPr>
        <xdr:cNvPr id="15" name="Text Box 276">
          <a:extLst>
            <a:ext uri="{FF2B5EF4-FFF2-40B4-BE49-F238E27FC236}">
              <a16:creationId xmlns:a16="http://schemas.microsoft.com/office/drawing/2014/main" id="{00000000-0008-0000-0100-00000F000000}"/>
            </a:ext>
          </a:extLst>
        </xdr:cNvPr>
        <xdr:cNvSpPr txBox="1">
          <a:spLocks noChangeArrowheads="1"/>
        </xdr:cNvSpPr>
      </xdr:nvSpPr>
      <xdr:spPr bwMode="auto">
        <a:xfrm>
          <a:off x="50132" y="21019072"/>
          <a:ext cx="16859489" cy="20252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just"/>
          <a:r>
            <a:rPr lang="es-MX" sz="12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a:t>
          </a:r>
          <a:r>
            <a:rPr lang="es-MX" sz="1200" baseline="0">
              <a:effectLst/>
              <a:latin typeface="Times New Roman" pitchFamily="18" charset="0"/>
              <a:ea typeface="+mn-ea"/>
              <a:cs typeface="Times New Roman" pitchFamily="18" charset="0"/>
            </a:rPr>
            <a:t> </a:t>
          </a:r>
          <a:r>
            <a:rPr lang="es-MX" sz="1200">
              <a:effectLst/>
              <a:latin typeface="Times New Roman" pitchFamily="18" charset="0"/>
              <a:ea typeface="+mn-ea"/>
              <a:cs typeface="Times New Roman" pitchFamily="18" charset="0"/>
            </a:rPr>
            <a:t>Trescal Calibración México S. A. de C. V. El Certificado de Calibración es válido solo con la</a:t>
          </a:r>
          <a:r>
            <a:rPr lang="es-MX" sz="1200" baseline="0">
              <a:effectLst/>
              <a:latin typeface="Times New Roman" pitchFamily="18" charset="0"/>
              <a:ea typeface="+mn-ea"/>
              <a:cs typeface="Times New Roman" pitchFamily="18" charset="0"/>
            </a:rPr>
            <a:t> firma digital</a:t>
          </a:r>
          <a:r>
            <a:rPr lang="es-MX" sz="1200">
              <a:effectLst/>
              <a:latin typeface="Times New Roman" pitchFamily="18" charset="0"/>
              <a:ea typeface="+mn-ea"/>
              <a:cs typeface="Times New Roman" pitchFamily="18" charset="0"/>
            </a:rPr>
            <a:t>. Este Certificado de Calibración es válido únicamente para el instrumento calibrado y en las condiciones en que fue realizada la calibración. La frecuencia de Calibración es responsabilidad del usuario.</a:t>
          </a:r>
          <a:r>
            <a:rPr lang="en-US" sz="1200" i="1">
              <a:effectLst/>
              <a:latin typeface="Times New Roman" pitchFamily="18" charset="0"/>
              <a:ea typeface="+mn-ea"/>
              <a:cs typeface="Times New Roman" pitchFamily="18" charset="0"/>
            </a:rPr>
            <a:t>/This Calibration Certificate may not be reproduced in whole or in part without the written authorization of the Legal Representative and/or Manager of the Calibration Laboratory of  Trescal Calibración México  S. A. de C. V.. The Calibration Certificate is valid only with the digital signature. This Certificate is valid only for the Object calibrated and under the conditions in which calibration was performed. The user is responsible for the calibration frequency. </a:t>
          </a:r>
        </a:p>
        <a:p>
          <a:pPr algn="just"/>
          <a:endParaRPr lang="en-US" sz="1200" i="1">
            <a:effectLst/>
            <a:latin typeface="Times New Roman" pitchFamily="18" charset="0"/>
            <a:ea typeface="+mn-ea"/>
            <a:cs typeface="Times New Roman" pitchFamily="18" charset="0"/>
          </a:endParaRPr>
        </a:p>
        <a:p>
          <a:pPr algn="just"/>
          <a:r>
            <a:rPr lang="en-US" sz="1200" i="0">
              <a:effectLst/>
              <a:latin typeface="Times New Roman" pitchFamily="18" charset="0"/>
              <a:ea typeface="+mn-ea"/>
              <a:cs typeface="Times New Roman" pitchFamily="18" charset="0"/>
            </a:rPr>
            <a:t>Las calibraciones realizadas por Trescal Calibración México  S.A. de C.V., cumplen con los requisitos establecidos en la norma ISO/IEC 17025:2017</a:t>
          </a:r>
          <a:r>
            <a:rPr lang="en-US" sz="1200" i="0" baseline="0">
              <a:effectLst/>
              <a:latin typeface="Times New Roman" pitchFamily="18" charset="0"/>
              <a:ea typeface="+mn-ea"/>
              <a:cs typeface="Times New Roman" pitchFamily="18" charset="0"/>
            </a:rPr>
            <a:t> / </a:t>
          </a:r>
          <a:r>
            <a:rPr lang="es-MX" sz="1200" b="0" i="1" u="none" strike="noStrike" baseline="0">
              <a:solidFill>
                <a:srgbClr val="000000"/>
              </a:solidFill>
              <a:latin typeface="Times New Roman"/>
              <a:cs typeface="Times New Roman"/>
            </a:rPr>
            <a:t>The calibrations made by Trescal Calibration Mexico S.A. de C.V., comply with the requirements established in the ISO/IEC 17025: 2017 standard</a:t>
          </a:r>
        </a:p>
      </xdr:txBody>
    </xdr:sp>
    <xdr:clientData/>
  </xdr:twoCellAnchor>
  <xdr:twoCellAnchor>
    <xdr:from>
      <xdr:col>0</xdr:col>
      <xdr:colOff>0</xdr:colOff>
      <xdr:row>126</xdr:row>
      <xdr:rowOff>150396</xdr:rowOff>
    </xdr:from>
    <xdr:to>
      <xdr:col>13</xdr:col>
      <xdr:colOff>1353553</xdr:colOff>
      <xdr:row>130</xdr:row>
      <xdr:rowOff>392545</xdr:rowOff>
    </xdr:to>
    <xdr:sp macro="" textlink="">
      <xdr:nvSpPr>
        <xdr:cNvPr id="16" name="Text Box 276">
          <a:extLst>
            <a:ext uri="{FF2B5EF4-FFF2-40B4-BE49-F238E27FC236}">
              <a16:creationId xmlns:a16="http://schemas.microsoft.com/office/drawing/2014/main" id="{00000000-0008-0000-0100-000010000000}"/>
            </a:ext>
          </a:extLst>
        </xdr:cNvPr>
        <xdr:cNvSpPr txBox="1">
          <a:spLocks noChangeArrowheads="1"/>
        </xdr:cNvSpPr>
      </xdr:nvSpPr>
      <xdr:spPr bwMode="auto">
        <a:xfrm>
          <a:off x="0" y="48493853"/>
          <a:ext cx="16892910" cy="202740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just"/>
          <a:r>
            <a:rPr lang="es-MX" sz="12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a:t>
          </a:r>
          <a:r>
            <a:rPr lang="es-MX" sz="1200" baseline="0">
              <a:effectLst/>
              <a:latin typeface="Times New Roman" pitchFamily="18" charset="0"/>
              <a:ea typeface="+mn-ea"/>
              <a:cs typeface="Times New Roman" pitchFamily="18" charset="0"/>
            </a:rPr>
            <a:t> </a:t>
          </a:r>
          <a:r>
            <a:rPr lang="es-MX" sz="1200">
              <a:effectLst/>
              <a:latin typeface="Times New Roman" pitchFamily="18" charset="0"/>
              <a:ea typeface="+mn-ea"/>
              <a:cs typeface="Times New Roman" pitchFamily="18" charset="0"/>
            </a:rPr>
            <a:t>Trescal Calibración México S. A. de C. V. El Certificado de Calibración es válido solo con la</a:t>
          </a:r>
          <a:r>
            <a:rPr lang="es-MX" sz="1200" baseline="0">
              <a:effectLst/>
              <a:latin typeface="Times New Roman" pitchFamily="18" charset="0"/>
              <a:ea typeface="+mn-ea"/>
              <a:cs typeface="Times New Roman" pitchFamily="18" charset="0"/>
            </a:rPr>
            <a:t> firma digital</a:t>
          </a:r>
          <a:r>
            <a:rPr lang="es-MX" sz="1200">
              <a:effectLst/>
              <a:latin typeface="Times New Roman" pitchFamily="18" charset="0"/>
              <a:ea typeface="+mn-ea"/>
              <a:cs typeface="Times New Roman" pitchFamily="18" charset="0"/>
            </a:rPr>
            <a:t>. Este Certificado de Calibración es válido únicamente para el instrumento calibrado y en las condiciones en que fue realizada la calibración. La frecuencia de Calibración es responsabilidad del usuario.</a:t>
          </a:r>
          <a:r>
            <a:rPr lang="en-US" sz="1200" i="1">
              <a:effectLst/>
              <a:latin typeface="Times New Roman" pitchFamily="18" charset="0"/>
              <a:ea typeface="+mn-ea"/>
              <a:cs typeface="Times New Roman" pitchFamily="18" charset="0"/>
            </a:rPr>
            <a:t>/This Calibration Certificate may not be reproduced in whole or in part without the written authorization of the Legal Representative and/or Manager of the Calibration Laboratory of  Trescal Calibración México  S. A. de C. V.. The Calibration Certificate is valid only with the digital signature. This Certificate is valid only for the Object calibrated and under the conditions in which calibration was performed. The user is responsible for the calibration frequency. </a:t>
          </a:r>
        </a:p>
        <a:p>
          <a:pPr algn="just"/>
          <a:endParaRPr lang="en-US" sz="1200" i="1">
            <a:effectLst/>
            <a:latin typeface="Times New Roman" pitchFamily="18" charset="0"/>
            <a:ea typeface="+mn-ea"/>
            <a:cs typeface="Times New Roman" pitchFamily="18" charset="0"/>
          </a:endParaRPr>
        </a:p>
        <a:p>
          <a:pPr algn="just"/>
          <a:r>
            <a:rPr lang="en-US" sz="1200" i="0">
              <a:effectLst/>
              <a:latin typeface="Times New Roman" pitchFamily="18" charset="0"/>
              <a:ea typeface="+mn-ea"/>
              <a:cs typeface="Times New Roman" pitchFamily="18" charset="0"/>
            </a:rPr>
            <a:t>Las calibraciones realizadas por Trescal Calibración México  S.A. de C.V., cumplen con los requisitos establecidos en la norma ISO/IEC 17025:2017</a:t>
          </a:r>
          <a:r>
            <a:rPr lang="en-US" sz="1200" i="0" baseline="0">
              <a:effectLst/>
              <a:latin typeface="Times New Roman" pitchFamily="18" charset="0"/>
              <a:ea typeface="+mn-ea"/>
              <a:cs typeface="Times New Roman" pitchFamily="18" charset="0"/>
            </a:rPr>
            <a:t> / </a:t>
          </a:r>
          <a:r>
            <a:rPr lang="es-MX" sz="1200" b="0" i="1" u="none" strike="noStrike" baseline="0">
              <a:solidFill>
                <a:srgbClr val="000000"/>
              </a:solidFill>
              <a:latin typeface="Times New Roman"/>
              <a:cs typeface="Times New Roman"/>
            </a:rPr>
            <a:t>The calibrations made by Trescal Calibration Mexico S.A. de C.V., comply with the requirements established in the ISO/IEC 17025: 2017 standard</a:t>
          </a: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BA0C7B-95DD-44C4-ABD3-6D751921C865}">
  <sheetPr codeName="Hoja2"/>
  <dimension ref="A1:M31"/>
  <sheetViews>
    <sheetView workbookViewId="0">
      <selection activeCell="A3" sqref="A3"/>
    </sheetView>
  </sheetViews>
  <sheetFormatPr baseColWidth="10" defaultRowHeight="14.6" x14ac:dyDescent="0.4"/>
  <cols>
    <col min="1" max="1" width="13.23046875" bestFit="1" customWidth="1"/>
    <col min="2" max="2" width="20" bestFit="1" customWidth="1"/>
    <col min="3" max="3" width="12.765625" bestFit="1" customWidth="1"/>
    <col min="4" max="5" width="11.3828125" bestFit="1" customWidth="1"/>
    <col min="6" max="6" width="11.4609375" bestFit="1" customWidth="1"/>
    <col min="7" max="7" width="13.3828125" bestFit="1" customWidth="1"/>
    <col min="8" max="8" width="14.15234375" bestFit="1" customWidth="1"/>
  </cols>
  <sheetData>
    <row r="1" spans="1:13" ht="15" thickBot="1" x14ac:dyDescent="0.45">
      <c r="A1" s="135">
        <v>10</v>
      </c>
      <c r="B1" s="142" t="s">
        <v>93</v>
      </c>
      <c r="C1" s="142"/>
    </row>
    <row r="2" spans="1:13" ht="17.149999999999999" thickBot="1" x14ac:dyDescent="0.5">
      <c r="A2" s="135" t="s">
        <v>106</v>
      </c>
      <c r="B2" s="142" t="s">
        <v>94</v>
      </c>
      <c r="C2" s="142"/>
      <c r="E2" s="132" t="s">
        <v>79</v>
      </c>
      <c r="F2" s="133"/>
      <c r="G2" s="130"/>
    </row>
    <row r="3" spans="1:13" ht="18.899999999999999" thickBot="1" x14ac:dyDescent="0.55000000000000004">
      <c r="A3" s="135" t="s">
        <v>129</v>
      </c>
      <c r="B3" s="142" t="s">
        <v>95</v>
      </c>
      <c r="C3" s="142"/>
      <c r="E3" s="131" t="s">
        <v>80</v>
      </c>
      <c r="F3" s="131"/>
      <c r="G3" s="104"/>
    </row>
    <row r="4" spans="1:13" ht="18.45" x14ac:dyDescent="0.5">
      <c r="E4" s="140" t="s">
        <v>81</v>
      </c>
      <c r="F4" s="140"/>
      <c r="G4" s="104"/>
    </row>
    <row r="5" spans="1:13" ht="18.45" x14ac:dyDescent="0.5">
      <c r="A5" s="106" t="s">
        <v>84</v>
      </c>
      <c r="B5" s="141"/>
      <c r="C5" s="141"/>
      <c r="E5" s="140" t="s">
        <v>82</v>
      </c>
      <c r="F5" s="140"/>
      <c r="G5" s="104"/>
    </row>
    <row r="6" spans="1:13" ht="18.45" x14ac:dyDescent="0.5">
      <c r="A6" s="106" t="s">
        <v>85</v>
      </c>
      <c r="B6" s="286"/>
      <c r="C6" s="286"/>
      <c r="E6" s="140" t="s">
        <v>83</v>
      </c>
      <c r="F6" s="140"/>
      <c r="G6" s="104"/>
      <c r="I6" s="123"/>
    </row>
    <row r="7" spans="1:13" ht="19.75" x14ac:dyDescent="0.4">
      <c r="C7" s="126"/>
      <c r="D7" s="126"/>
      <c r="E7" s="102"/>
      <c r="I7" s="103"/>
    </row>
    <row r="8" spans="1:13" ht="18.45" customHeight="1" x14ac:dyDescent="0.4">
      <c r="A8" t="s">
        <v>112</v>
      </c>
      <c r="C8" s="287"/>
      <c r="D8" s="291"/>
      <c r="E8" s="102"/>
      <c r="I8" s="103"/>
    </row>
    <row r="9" spans="1:13" ht="18.45" customHeight="1" x14ac:dyDescent="0.4">
      <c r="A9" t="s">
        <v>99</v>
      </c>
      <c r="B9" s="137"/>
      <c r="C9" s="124"/>
      <c r="D9" s="125"/>
      <c r="E9" s="102"/>
      <c r="H9" s="137"/>
      <c r="I9" s="103"/>
    </row>
    <row r="10" spans="1:13" x14ac:dyDescent="0.4">
      <c r="E10" s="105"/>
      <c r="I10" s="136"/>
    </row>
    <row r="11" spans="1:13" ht="19.75" x14ac:dyDescent="0.5">
      <c r="B11" s="145"/>
      <c r="C11" s="145"/>
      <c r="D11" s="107"/>
      <c r="G11" s="107"/>
      <c r="H11" s="107"/>
      <c r="I11" s="107"/>
      <c r="J11" s="96"/>
      <c r="K11" s="96"/>
    </row>
    <row r="12" spans="1:13" ht="18.45" x14ac:dyDescent="0.5">
      <c r="B12" s="143"/>
      <c r="C12" s="144"/>
      <c r="D12" s="108"/>
      <c r="E12" s="108"/>
      <c r="F12" s="108"/>
      <c r="G12" s="107"/>
      <c r="H12" s="107"/>
      <c r="I12" s="107"/>
      <c r="K12" s="96"/>
      <c r="M12" s="105"/>
    </row>
    <row r="13" spans="1:13" ht="20.6" x14ac:dyDescent="0.5">
      <c r="B13" s="109"/>
      <c r="C13" s="109">
        <v>1</v>
      </c>
      <c r="D13" s="109">
        <v>2</v>
      </c>
      <c r="E13" s="109">
        <v>3</v>
      </c>
      <c r="F13" s="110" t="s">
        <v>86</v>
      </c>
      <c r="G13" s="111" t="s">
        <v>96</v>
      </c>
      <c r="H13" s="127" t="s">
        <v>110</v>
      </c>
      <c r="I13" s="107"/>
      <c r="K13" s="129"/>
    </row>
    <row r="14" spans="1:13" ht="18.45" x14ac:dyDescent="0.5">
      <c r="B14" s="112">
        <v>1</v>
      </c>
      <c r="C14" s="113">
        <v>1</v>
      </c>
      <c r="D14" s="113">
        <v>1</v>
      </c>
      <c r="E14" s="113">
        <v>1</v>
      </c>
      <c r="F14" s="114">
        <v>1</v>
      </c>
      <c r="G14" s="107"/>
      <c r="H14" s="107"/>
      <c r="I14" s="107"/>
      <c r="M14" s="96"/>
    </row>
    <row r="15" spans="1:13" ht="18.45" x14ac:dyDescent="0.5">
      <c r="B15" s="112">
        <v>1.105</v>
      </c>
      <c r="C15" s="113">
        <v>1</v>
      </c>
      <c r="D15" s="113">
        <v>1</v>
      </c>
      <c r="E15" s="113">
        <v>1</v>
      </c>
      <c r="F15" s="114">
        <v>1</v>
      </c>
      <c r="G15" s="107"/>
      <c r="H15" s="107"/>
      <c r="I15" s="107"/>
      <c r="M15" s="96"/>
    </row>
    <row r="16" spans="1:13" ht="18.45" x14ac:dyDescent="0.5">
      <c r="B16" s="112">
        <v>1.21</v>
      </c>
      <c r="C16" s="113">
        <v>1</v>
      </c>
      <c r="D16" s="113">
        <v>1</v>
      </c>
      <c r="E16" s="113">
        <v>1</v>
      </c>
      <c r="F16" s="114">
        <v>1</v>
      </c>
      <c r="K16" s="106"/>
      <c r="M16" s="96"/>
    </row>
    <row r="17" spans="2:13" ht="18.45" x14ac:dyDescent="0.5">
      <c r="B17" s="112">
        <v>1.3149999999999999</v>
      </c>
      <c r="C17" s="113">
        <v>1</v>
      </c>
      <c r="D17" s="113">
        <v>1</v>
      </c>
      <c r="E17" s="113">
        <v>1</v>
      </c>
      <c r="F17" s="114">
        <v>1</v>
      </c>
      <c r="K17" s="102"/>
      <c r="M17" s="96"/>
    </row>
    <row r="18" spans="2:13" ht="18.45" x14ac:dyDescent="0.5">
      <c r="B18" s="112">
        <v>1.42</v>
      </c>
      <c r="C18" s="113">
        <v>1</v>
      </c>
      <c r="D18" s="113">
        <v>1</v>
      </c>
      <c r="E18" s="113">
        <v>1</v>
      </c>
      <c r="F18" s="114">
        <v>1</v>
      </c>
      <c r="K18" s="102"/>
      <c r="M18" s="96"/>
    </row>
    <row r="19" spans="2:13" ht="18.45" x14ac:dyDescent="0.5">
      <c r="B19" s="112">
        <v>1.5</v>
      </c>
      <c r="C19" s="113">
        <v>1</v>
      </c>
      <c r="D19" s="113">
        <v>2</v>
      </c>
      <c r="E19" s="113">
        <v>1</v>
      </c>
      <c r="F19" s="114">
        <v>1.3333333333333333</v>
      </c>
      <c r="K19" s="96"/>
      <c r="M19" s="96"/>
    </row>
    <row r="20" spans="2:13" ht="18.45" x14ac:dyDescent="0.5">
      <c r="B20" s="112">
        <v>1.605</v>
      </c>
      <c r="C20" s="138">
        <v>1</v>
      </c>
      <c r="D20" s="113">
        <v>1</v>
      </c>
      <c r="E20" s="113">
        <v>1</v>
      </c>
      <c r="F20" s="114">
        <v>1</v>
      </c>
      <c r="G20" s="107"/>
      <c r="H20" s="107"/>
      <c r="I20" s="107"/>
      <c r="K20" s="96"/>
      <c r="M20" s="96"/>
    </row>
    <row r="21" spans="2:13" ht="18.45" x14ac:dyDescent="0.5">
      <c r="B21" s="112">
        <v>1.71</v>
      </c>
      <c r="C21" s="113">
        <v>1</v>
      </c>
      <c r="D21" s="113">
        <v>1</v>
      </c>
      <c r="E21" s="113">
        <v>1</v>
      </c>
      <c r="F21" s="114">
        <v>1</v>
      </c>
      <c r="G21" s="107"/>
      <c r="H21" s="107"/>
      <c r="I21" s="107"/>
    </row>
    <row r="22" spans="2:13" ht="18.45" x14ac:dyDescent="0.5">
      <c r="B22" s="112">
        <v>1.8149999999999999</v>
      </c>
      <c r="C22" s="113">
        <v>1</v>
      </c>
      <c r="D22" s="113">
        <v>1</v>
      </c>
      <c r="E22" s="113">
        <v>1</v>
      </c>
      <c r="F22" s="114">
        <v>1</v>
      </c>
      <c r="G22" s="107"/>
      <c r="H22" s="107"/>
      <c r="I22" s="139"/>
      <c r="J22" s="128"/>
    </row>
    <row r="23" spans="2:13" ht="18.45" x14ac:dyDescent="0.5">
      <c r="B23" s="112">
        <v>1.92</v>
      </c>
      <c r="C23" s="113">
        <v>1</v>
      </c>
      <c r="D23" s="113">
        <v>1</v>
      </c>
      <c r="E23" s="113">
        <v>1</v>
      </c>
      <c r="F23" s="114">
        <v>1</v>
      </c>
      <c r="G23" s="107"/>
      <c r="H23" s="107"/>
      <c r="I23" s="107"/>
    </row>
    <row r="24" spans="2:13" ht="18.45" x14ac:dyDescent="0.5">
      <c r="B24" s="112">
        <v>2</v>
      </c>
      <c r="C24" s="113">
        <v>1</v>
      </c>
      <c r="D24" s="113">
        <v>1</v>
      </c>
      <c r="E24" s="113">
        <v>1</v>
      </c>
      <c r="F24" s="114">
        <v>1</v>
      </c>
      <c r="G24" s="107"/>
      <c r="H24" s="107"/>
      <c r="I24" s="107"/>
      <c r="M24" s="96"/>
    </row>
    <row r="25" spans="2:13" ht="18.45" x14ac:dyDescent="0.5">
      <c r="B25" s="107"/>
      <c r="C25" s="115"/>
      <c r="D25" s="107"/>
      <c r="G25" s="107"/>
      <c r="H25" s="107"/>
      <c r="I25" s="107"/>
    </row>
    <row r="26" spans="2:13" x14ac:dyDescent="0.4">
      <c r="B26" s="134" t="s">
        <v>87</v>
      </c>
      <c r="C26" s="134"/>
      <c r="D26" s="134"/>
      <c r="E26" s="134"/>
      <c r="F26" s="116"/>
      <c r="G26" s="134" t="s">
        <v>88</v>
      </c>
      <c r="H26" s="134"/>
      <c r="I26" s="134"/>
      <c r="J26" s="134"/>
      <c r="K26" s="134"/>
    </row>
    <row r="27" spans="2:13" x14ac:dyDescent="0.4">
      <c r="B27" s="117" t="s">
        <v>89</v>
      </c>
      <c r="C27" s="118"/>
      <c r="D27" s="117" t="s">
        <v>90</v>
      </c>
      <c r="E27" s="118"/>
      <c r="F27" s="116"/>
      <c r="G27" s="117" t="s">
        <v>91</v>
      </c>
      <c r="H27" s="118"/>
      <c r="I27" s="118"/>
      <c r="J27" s="118"/>
      <c r="K27" s="118"/>
    </row>
    <row r="29" spans="2:13" x14ac:dyDescent="0.4">
      <c r="E29" s="119">
        <f>MAX(C27,E27)</f>
        <v>0</v>
      </c>
      <c r="G29" s="119">
        <f>MAX(H27,I27,J27,K27)</f>
        <v>0</v>
      </c>
    </row>
    <row r="31" spans="2:13" x14ac:dyDescent="0.4">
      <c r="B31" s="134" t="s">
        <v>92</v>
      </c>
      <c r="C31" s="134"/>
      <c r="D31" s="120"/>
      <c r="J31" s="121"/>
    </row>
  </sheetData>
  <sheetProtection selectLockedCells="1" selectUnlockedCells="1"/>
  <dataConsolidate/>
  <mergeCells count="10">
    <mergeCell ref="B1:C1"/>
    <mergeCell ref="B2:C2"/>
    <mergeCell ref="B3:C3"/>
    <mergeCell ref="B12:C12"/>
    <mergeCell ref="B11:C11"/>
    <mergeCell ref="E6:F6"/>
    <mergeCell ref="B5:C5"/>
    <mergeCell ref="B6:C6"/>
    <mergeCell ref="E4:F4"/>
    <mergeCell ref="E5:F5"/>
  </mergeCells>
  <dataValidations count="3">
    <dataValidation type="list" allowBlank="1" showInputMessage="1" showErrorMessage="1" sqref="A3" xr:uid="{DBA7DB5A-4A94-48EA-A234-A6FC70554E53}">
      <formula1>"KAL021,KAL026,KAL032,KAL033,KAL037,KAL-D-014,KAL-D-037"</formula1>
    </dataValidation>
    <dataValidation type="list" allowBlank="1" showInputMessage="1" showErrorMessage="1" sqref="B6:C6" xr:uid="{8EE254C5-1B8B-4941-8348-7CE0CE5B1E15}">
      <formula1>"Ing. Luis Chávez,Ing. Paloma Ortiz"</formula1>
    </dataValidation>
    <dataValidation type="list" allowBlank="1" showInputMessage="1" showErrorMessage="1" sqref="B5:C5" xr:uid="{149E0987-5F06-4113-ACC5-9607905127D1}">
      <formula1>"Ing. Luis Chávez,Ing. Paloma Ortiz,Ing. Andrea Hernández,Ing. Francisco Vaez,Ing. Mario Espinoza,Ing. Fabian Espinoza"</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78" r:id="rId4" name="LlenarCampos">
          <controlPr defaultSize="0" autoLine="0" r:id="rId5">
            <anchor moveWithCells="1">
              <from>
                <xdr:col>9</xdr:col>
                <xdr:colOff>778329</xdr:colOff>
                <xdr:row>14</xdr:row>
                <xdr:rowOff>38100</xdr:rowOff>
              </from>
              <to>
                <xdr:col>11</xdr:col>
                <xdr:colOff>419100</xdr:colOff>
                <xdr:row>15</xdr:row>
                <xdr:rowOff>201386</xdr:rowOff>
              </to>
            </anchor>
          </controlPr>
        </control>
      </mc:Choice>
      <mc:Fallback>
        <control shapeId="2078" r:id="rId4" name="LlenarCampos"/>
      </mc:Fallback>
    </mc:AlternateContent>
    <mc:AlternateContent xmlns:mc="http://schemas.openxmlformats.org/markup-compatibility/2006">
      <mc:Choice Requires="x14">
        <control shapeId="2070" r:id="rId6" name="Borrarpatron">
          <controlPr defaultSize="0" autoLine="0" r:id="rId7">
            <anchor moveWithCells="1">
              <from>
                <xdr:col>11</xdr:col>
                <xdr:colOff>762000</xdr:colOff>
                <xdr:row>11</xdr:row>
                <xdr:rowOff>179614</xdr:rowOff>
              </from>
              <to>
                <xdr:col>13</xdr:col>
                <xdr:colOff>402771</xdr:colOff>
                <xdr:row>13</xdr:row>
                <xdr:rowOff>81643</xdr:rowOff>
              </to>
            </anchor>
          </controlPr>
        </control>
      </mc:Choice>
      <mc:Fallback>
        <control shapeId="2070" r:id="rId6" name="Borrarpatron"/>
      </mc:Fallback>
    </mc:AlternateContent>
    <mc:AlternateContent xmlns:mc="http://schemas.openxmlformats.org/markup-compatibility/2006">
      <mc:Choice Requires="x14">
        <control shapeId="2051" r:id="rId8" name="BuscarEquipo">
          <controlPr defaultSize="0" autoLine="0" r:id="rId9">
            <anchor moveWithCells="1">
              <from>
                <xdr:col>9</xdr:col>
                <xdr:colOff>767443</xdr:colOff>
                <xdr:row>8</xdr:row>
                <xdr:rowOff>223157</xdr:rowOff>
              </from>
              <to>
                <xdr:col>11</xdr:col>
                <xdr:colOff>408214</xdr:colOff>
                <xdr:row>10</xdr:row>
                <xdr:rowOff>201386</xdr:rowOff>
              </to>
            </anchor>
          </controlPr>
        </control>
      </mc:Choice>
      <mc:Fallback>
        <control shapeId="2051" r:id="rId8" name="BuscarEquipo"/>
      </mc:Fallback>
    </mc:AlternateContent>
    <mc:AlternateContent xmlns:mc="http://schemas.openxmlformats.org/markup-compatibility/2006">
      <mc:Choice Requires="x14">
        <control shapeId="2050" r:id="rId10" name="BuscarCliente">
          <controlPr defaultSize="0" autoLine="0" r:id="rId11">
            <anchor moveWithCells="1">
              <from>
                <xdr:col>9</xdr:col>
                <xdr:colOff>778329</xdr:colOff>
                <xdr:row>6</xdr:row>
                <xdr:rowOff>0</xdr:rowOff>
              </from>
              <to>
                <xdr:col>11</xdr:col>
                <xdr:colOff>429986</xdr:colOff>
                <xdr:row>7</xdr:row>
                <xdr:rowOff>185057</xdr:rowOff>
              </to>
            </anchor>
          </controlPr>
        </control>
      </mc:Choice>
      <mc:Fallback>
        <control shapeId="2050" r:id="rId10" name="BuscarCliente"/>
      </mc:Fallback>
    </mc:AlternateContent>
    <mc:AlternateContent xmlns:mc="http://schemas.openxmlformats.org/markup-compatibility/2006">
      <mc:Choice Requires="x14">
        <control shapeId="2049" r:id="rId12" name="BuscarRutas">
          <controlPr defaultSize="0" autoLine="0" r:id="rId13">
            <anchor moveWithCells="1">
              <from>
                <xdr:col>10</xdr:col>
                <xdr:colOff>0</xdr:colOff>
                <xdr:row>3</xdr:row>
                <xdr:rowOff>38100</xdr:rowOff>
              </from>
              <to>
                <xdr:col>11</xdr:col>
                <xdr:colOff>696686</xdr:colOff>
                <xdr:row>5</xdr:row>
                <xdr:rowOff>21771</xdr:rowOff>
              </to>
            </anchor>
          </controlPr>
        </control>
      </mc:Choice>
      <mc:Fallback>
        <control shapeId="2049" r:id="rId12" name="BuscarRutas"/>
      </mc:Fallback>
    </mc:AlternateContent>
    <mc:AlternateContent xmlns:mc="http://schemas.openxmlformats.org/markup-compatibility/2006">
      <mc:Choice Requires="x14">
        <control shapeId="2059" r:id="rId14" name="BuscarPatron">
          <controlPr defaultSize="0" autoLine="0" r:id="rId15">
            <anchor moveWithCells="1">
              <from>
                <xdr:col>9</xdr:col>
                <xdr:colOff>772886</xdr:colOff>
                <xdr:row>11</xdr:row>
                <xdr:rowOff>190500</xdr:rowOff>
              </from>
              <to>
                <xdr:col>11</xdr:col>
                <xdr:colOff>413657</xdr:colOff>
                <xdr:row>13</xdr:row>
                <xdr:rowOff>92529</xdr:rowOff>
              </to>
            </anchor>
          </controlPr>
        </control>
      </mc:Choice>
      <mc:Fallback>
        <control shapeId="2059" r:id="rId14" name="BuscarPatron"/>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D81FD-685E-47CD-8FA1-D0E4549CA69B}">
  <sheetPr codeName="Hoja8"/>
  <dimension ref="A1:P146"/>
  <sheetViews>
    <sheetView showGridLines="0" tabSelected="1" view="pageBreakPreview" topLeftCell="A38" zoomScale="85" zoomScaleNormal="40" zoomScaleSheetLayoutView="85" zoomScalePageLayoutView="70" workbookViewId="0">
      <selection activeCell="F108" sqref="F108:G108"/>
    </sheetView>
  </sheetViews>
  <sheetFormatPr baseColWidth="10" defaultColWidth="11.4609375" defaultRowHeight="14.6" x14ac:dyDescent="0.4"/>
  <cols>
    <col min="1" max="3" width="14.69140625" style="1" customWidth="1"/>
    <col min="4" max="4" width="20.07421875" style="1" customWidth="1"/>
    <col min="5" max="5" width="18.69140625" style="1" customWidth="1"/>
    <col min="6" max="6" width="19.69140625" style="1" customWidth="1"/>
    <col min="7" max="7" width="19.3046875" style="1" customWidth="1"/>
    <col min="8" max="10" width="14.69140625" style="1" customWidth="1"/>
    <col min="11" max="11" width="20.69140625" style="1" customWidth="1"/>
    <col min="12" max="12" width="18.3046875" style="1" customWidth="1"/>
    <col min="13" max="13" width="14.69140625" style="1" customWidth="1"/>
    <col min="14" max="14" width="21.3046875" style="1" customWidth="1"/>
    <col min="15" max="16384" width="11.4609375" style="1"/>
  </cols>
  <sheetData>
    <row r="1" spans="1:14" ht="47.25" customHeight="1" x14ac:dyDescent="0.4">
      <c r="B1" s="2"/>
      <c r="C1" s="2"/>
      <c r="E1" s="160" t="s">
        <v>0</v>
      </c>
      <c r="F1" s="160"/>
      <c r="G1" s="160"/>
      <c r="H1" s="160"/>
      <c r="I1" s="160"/>
      <c r="J1" s="160"/>
      <c r="K1" s="160"/>
      <c r="L1"/>
      <c r="M1"/>
    </row>
    <row r="2" spans="1:14" ht="90" customHeight="1" thickBot="1" x14ac:dyDescent="0.45">
      <c r="A2" s="3"/>
      <c r="B2" s="3"/>
      <c r="C2" s="3"/>
      <c r="D2" s="4"/>
      <c r="E2" s="161"/>
      <c r="F2" s="161"/>
      <c r="G2" s="161"/>
      <c r="H2" s="161"/>
      <c r="I2" s="161"/>
      <c r="J2" s="161"/>
      <c r="K2" s="161"/>
      <c r="L2" s="5"/>
      <c r="M2" s="5"/>
      <c r="N2" s="6"/>
    </row>
    <row r="3" spans="1:14" ht="60.75" customHeight="1" thickTop="1" thickBot="1" x14ac:dyDescent="0.45">
      <c r="A3" s="162" t="s">
        <v>1</v>
      </c>
      <c r="B3" s="162"/>
      <c r="C3" s="162"/>
      <c r="D3" s="162"/>
      <c r="E3" s="162"/>
      <c r="F3" s="162"/>
      <c r="G3" s="162"/>
      <c r="H3" s="162"/>
      <c r="I3" s="162"/>
      <c r="J3" s="162"/>
      <c r="K3" s="163" t="s">
        <v>2</v>
      </c>
      <c r="L3" s="163"/>
      <c r="M3" s="163"/>
      <c r="N3" s="163"/>
    </row>
    <row r="4" spans="1:14" ht="38.25" customHeight="1" thickBot="1" x14ac:dyDescent="0.45">
      <c r="A4" s="162"/>
      <c r="B4" s="162"/>
      <c r="C4" s="162"/>
      <c r="D4" s="162"/>
      <c r="E4" s="162"/>
      <c r="F4" s="162"/>
      <c r="G4" s="162"/>
      <c r="H4" s="162"/>
      <c r="I4" s="162"/>
      <c r="J4" s="162"/>
      <c r="K4" s="164" t="s">
        <v>3</v>
      </c>
      <c r="L4" s="165"/>
      <c r="M4" s="166" t="s">
        <v>106</v>
      </c>
      <c r="N4" s="167"/>
    </row>
    <row r="5" spans="1:14" ht="37.5" customHeight="1" thickBot="1" x14ac:dyDescent="0.45">
      <c r="A5" s="168" t="s">
        <v>4</v>
      </c>
      <c r="B5" s="168"/>
      <c r="C5" s="168"/>
      <c r="D5" s="168"/>
      <c r="E5" s="168"/>
      <c r="F5" s="168"/>
      <c r="G5" s="168"/>
      <c r="H5" s="168"/>
      <c r="I5" s="168"/>
      <c r="J5" s="168"/>
      <c r="K5" s="7"/>
      <c r="L5" s="7"/>
      <c r="M5" s="169" t="s">
        <v>5</v>
      </c>
      <c r="N5" s="170"/>
    </row>
    <row r="6" spans="1:14" ht="27.15" customHeight="1" thickBot="1" x14ac:dyDescent="0.45">
      <c r="A6" s="5"/>
      <c r="B6" s="8"/>
      <c r="C6" s="5"/>
      <c r="D6" s="5"/>
      <c r="E6" s="5"/>
      <c r="F6" s="5"/>
      <c r="G6" s="5"/>
      <c r="H6" s="5"/>
      <c r="I6" s="5"/>
      <c r="J6" s="9"/>
      <c r="K6" s="9"/>
      <c r="L6" s="10"/>
      <c r="M6" s="11"/>
      <c r="N6" s="12"/>
    </row>
    <row r="7" spans="1:14" ht="60" customHeight="1" thickTop="1" thickBot="1" x14ac:dyDescent="0.45">
      <c r="A7" s="146" t="s">
        <v>6</v>
      </c>
      <c r="B7" s="146"/>
      <c r="C7" s="146"/>
      <c r="D7" s="146"/>
      <c r="E7" s="146"/>
      <c r="F7" s="146"/>
      <c r="G7" s="146"/>
      <c r="H7" s="146"/>
      <c r="I7" s="146"/>
      <c r="J7" s="146"/>
      <c r="K7" s="146"/>
      <c r="L7" s="146"/>
      <c r="M7" s="146"/>
      <c r="N7" s="146"/>
    </row>
    <row r="8" spans="1:14" s="13" customFormat="1" ht="57" customHeight="1" thickBot="1" x14ac:dyDescent="0.45">
      <c r="A8" s="147" t="s">
        <v>7</v>
      </c>
      <c r="B8" s="148"/>
      <c r="C8" s="149"/>
      <c r="D8" s="150" t="s">
        <v>102</v>
      </c>
      <c r="E8" s="151"/>
      <c r="F8" s="151"/>
      <c r="G8" s="151"/>
      <c r="H8" s="151"/>
      <c r="I8" s="151"/>
      <c r="J8" s="151"/>
      <c r="K8" s="151"/>
      <c r="L8" s="151"/>
      <c r="M8" s="151"/>
      <c r="N8" s="152"/>
    </row>
    <row r="9" spans="1:14" ht="57" customHeight="1" thickBot="1" x14ac:dyDescent="0.45">
      <c r="A9" s="153" t="s">
        <v>8</v>
      </c>
      <c r="B9" s="154"/>
      <c r="C9" s="155"/>
      <c r="D9" s="156" t="s">
        <v>125</v>
      </c>
      <c r="E9" s="157"/>
      <c r="F9" s="157"/>
      <c r="G9" s="157"/>
      <c r="H9" s="157"/>
      <c r="I9" s="157"/>
      <c r="J9" s="157"/>
      <c r="K9" s="157"/>
      <c r="L9" s="157"/>
      <c r="M9" s="157"/>
      <c r="N9" s="158"/>
    </row>
    <row r="10" spans="1:14" ht="60" customHeight="1" thickBot="1" x14ac:dyDescent="0.45">
      <c r="A10" s="14"/>
      <c r="B10" s="5"/>
      <c r="C10" s="5"/>
      <c r="D10" s="5"/>
      <c r="E10" s="5"/>
      <c r="F10" s="5"/>
      <c r="G10" s="5"/>
      <c r="H10" s="5"/>
      <c r="I10" s="5"/>
      <c r="J10" s="5"/>
      <c r="K10" s="5"/>
      <c r="L10" s="5"/>
      <c r="M10" s="5"/>
      <c r="N10" s="6"/>
    </row>
    <row r="11" spans="1:14" ht="75.75" customHeight="1" thickTop="1" thickBot="1" x14ac:dyDescent="0.45">
      <c r="A11" s="159" t="s">
        <v>9</v>
      </c>
      <c r="B11" s="159"/>
      <c r="C11" s="159"/>
      <c r="D11" s="159"/>
      <c r="E11" s="159"/>
      <c r="F11" s="159"/>
      <c r="G11" s="159"/>
      <c r="H11" s="159"/>
      <c r="I11" s="159"/>
      <c r="J11" s="159"/>
      <c r="K11" s="159"/>
      <c r="L11" s="159"/>
      <c r="M11" s="159"/>
      <c r="N11" s="159"/>
    </row>
    <row r="12" spans="1:14" ht="23.15" customHeight="1" x14ac:dyDescent="0.45">
      <c r="A12" s="171" t="s">
        <v>10</v>
      </c>
      <c r="B12" s="172"/>
      <c r="C12" s="172"/>
      <c r="D12" s="191" t="s">
        <v>100</v>
      </c>
      <c r="E12" s="192"/>
      <c r="F12" s="192"/>
      <c r="G12" s="193"/>
      <c r="I12" s="179" t="s">
        <v>11</v>
      </c>
      <c r="J12" s="197"/>
      <c r="K12" s="182" t="s">
        <v>108</v>
      </c>
      <c r="L12" s="182"/>
      <c r="M12" s="182"/>
      <c r="N12" s="183"/>
    </row>
    <row r="13" spans="1:14" ht="23.15" customHeight="1" thickBot="1" x14ac:dyDescent="0.5">
      <c r="A13" s="187" t="s">
        <v>12</v>
      </c>
      <c r="B13" s="188"/>
      <c r="C13" s="188"/>
      <c r="D13" s="194"/>
      <c r="E13" s="195"/>
      <c r="F13" s="195"/>
      <c r="G13" s="196"/>
      <c r="I13" s="189" t="s">
        <v>13</v>
      </c>
      <c r="J13" s="198"/>
      <c r="K13" s="185"/>
      <c r="L13" s="185"/>
      <c r="M13" s="185"/>
      <c r="N13" s="186"/>
    </row>
    <row r="14" spans="1:14" ht="23.15" customHeight="1" x14ac:dyDescent="0.45">
      <c r="A14" s="171" t="s">
        <v>14</v>
      </c>
      <c r="B14" s="172"/>
      <c r="C14" s="172"/>
      <c r="D14" s="173" t="s">
        <v>101</v>
      </c>
      <c r="E14" s="174"/>
      <c r="F14" s="174"/>
      <c r="G14" s="175"/>
      <c r="I14" s="179" t="s">
        <v>15</v>
      </c>
      <c r="J14" s="180"/>
      <c r="K14" s="181" t="s">
        <v>78</v>
      </c>
      <c r="L14" s="182"/>
      <c r="M14" s="182"/>
      <c r="N14" s="183"/>
    </row>
    <row r="15" spans="1:14" ht="23.15" customHeight="1" thickBot="1" x14ac:dyDescent="0.5">
      <c r="A15" s="187" t="s">
        <v>16</v>
      </c>
      <c r="B15" s="188"/>
      <c r="C15" s="188"/>
      <c r="D15" s="176"/>
      <c r="E15" s="177"/>
      <c r="F15" s="177"/>
      <c r="G15" s="178"/>
      <c r="I15" s="189" t="s">
        <v>17</v>
      </c>
      <c r="J15" s="190"/>
      <c r="K15" s="184"/>
      <c r="L15" s="185"/>
      <c r="M15" s="185"/>
      <c r="N15" s="186"/>
    </row>
    <row r="16" spans="1:14" ht="23.15" customHeight="1" x14ac:dyDescent="0.45">
      <c r="A16" s="171" t="s">
        <v>18</v>
      </c>
      <c r="B16" s="172"/>
      <c r="C16" s="172"/>
      <c r="D16" s="173" t="s">
        <v>107</v>
      </c>
      <c r="E16" s="174"/>
      <c r="F16" s="174"/>
      <c r="G16" s="175"/>
      <c r="I16" s="179" t="s">
        <v>19</v>
      </c>
      <c r="J16" s="197"/>
      <c r="K16" s="199" t="s">
        <v>111</v>
      </c>
      <c r="L16" s="182"/>
      <c r="M16" s="182"/>
      <c r="N16" s="183"/>
    </row>
    <row r="17" spans="1:14" ht="23.15" customHeight="1" thickBot="1" x14ac:dyDescent="0.5">
      <c r="A17" s="187" t="s">
        <v>20</v>
      </c>
      <c r="B17" s="188"/>
      <c r="C17" s="188"/>
      <c r="D17" s="176"/>
      <c r="E17" s="177"/>
      <c r="F17" s="177"/>
      <c r="G17" s="178"/>
      <c r="I17" s="189" t="s">
        <v>21</v>
      </c>
      <c r="J17" s="198"/>
      <c r="K17" s="185"/>
      <c r="L17" s="185"/>
      <c r="M17" s="185"/>
      <c r="N17" s="186"/>
    </row>
    <row r="18" spans="1:14" ht="23.15" customHeight="1" x14ac:dyDescent="0.45">
      <c r="A18" s="171" t="s">
        <v>22</v>
      </c>
      <c r="B18" s="172"/>
      <c r="C18" s="172"/>
      <c r="D18" s="173">
        <v>66585981</v>
      </c>
      <c r="E18" s="174"/>
      <c r="F18" s="174"/>
      <c r="G18" s="175"/>
      <c r="I18" s="179" t="s">
        <v>23</v>
      </c>
      <c r="J18" s="197"/>
      <c r="K18" s="199" t="s">
        <v>109</v>
      </c>
      <c r="L18" s="182"/>
      <c r="M18" s="182"/>
      <c r="N18" s="183"/>
    </row>
    <row r="19" spans="1:14" ht="23.15" customHeight="1" thickBot="1" x14ac:dyDescent="0.5">
      <c r="A19" s="187" t="s">
        <v>24</v>
      </c>
      <c r="B19" s="188"/>
      <c r="C19" s="188"/>
      <c r="D19" s="176"/>
      <c r="E19" s="177"/>
      <c r="F19" s="177"/>
      <c r="G19" s="178"/>
      <c r="I19" s="189" t="s">
        <v>25</v>
      </c>
      <c r="J19" s="198"/>
      <c r="K19" s="185"/>
      <c r="L19" s="185"/>
      <c r="M19" s="185"/>
      <c r="N19" s="186"/>
    </row>
    <row r="20" spans="1:14" ht="45" customHeight="1" thickBot="1" x14ac:dyDescent="0.45">
      <c r="A20" s="16"/>
      <c r="B20" s="5"/>
      <c r="C20" s="5"/>
      <c r="D20" s="5"/>
      <c r="E20" s="5"/>
      <c r="F20" s="5"/>
      <c r="G20" s="5"/>
      <c r="H20" s="5"/>
      <c r="I20" s="5"/>
      <c r="J20" s="5"/>
      <c r="K20" s="5"/>
      <c r="L20" s="5"/>
      <c r="M20" s="5"/>
      <c r="N20" s="6"/>
    </row>
    <row r="21" spans="1:14" ht="60" customHeight="1" thickTop="1" thickBot="1" x14ac:dyDescent="0.45">
      <c r="A21" s="200" t="s">
        <v>26</v>
      </c>
      <c r="B21" s="200"/>
      <c r="C21" s="200"/>
      <c r="D21" s="200"/>
      <c r="E21" s="200"/>
      <c r="F21" s="200"/>
      <c r="G21" s="200"/>
      <c r="H21" s="200"/>
      <c r="I21" s="200"/>
      <c r="J21" s="200"/>
      <c r="K21" s="200"/>
      <c r="L21" s="200"/>
      <c r="M21" s="200"/>
      <c r="N21" s="200"/>
    </row>
    <row r="22" spans="1:14" ht="38.25" customHeight="1" x14ac:dyDescent="0.5">
      <c r="A22" s="201" t="s">
        <v>27</v>
      </c>
      <c r="B22" s="202"/>
      <c r="C22" s="202"/>
      <c r="D22" s="203" t="s">
        <v>126</v>
      </c>
      <c r="E22" s="205" t="s">
        <v>97</v>
      </c>
      <c r="F22" s="202"/>
      <c r="G22" s="203" t="s">
        <v>127</v>
      </c>
      <c r="H22" s="203"/>
      <c r="I22" s="203"/>
      <c r="J22" s="205" t="s">
        <v>28</v>
      </c>
      <c r="K22" s="202"/>
      <c r="L22" s="202"/>
      <c r="M22" s="206" t="s">
        <v>128</v>
      </c>
      <c r="N22" s="207"/>
    </row>
    <row r="23" spans="1:14" ht="38.25" customHeight="1" thickBot="1" x14ac:dyDescent="0.45">
      <c r="A23" s="210" t="s">
        <v>29</v>
      </c>
      <c r="B23" s="211"/>
      <c r="C23" s="211"/>
      <c r="D23" s="204"/>
      <c r="E23" s="212" t="s">
        <v>98</v>
      </c>
      <c r="F23" s="211"/>
      <c r="G23" s="204"/>
      <c r="H23" s="204"/>
      <c r="I23" s="204"/>
      <c r="J23" s="212" t="s">
        <v>30</v>
      </c>
      <c r="K23" s="211"/>
      <c r="L23" s="211"/>
      <c r="M23" s="208"/>
      <c r="N23" s="209"/>
    </row>
    <row r="24" spans="1:14" ht="45" customHeight="1" thickBot="1" x14ac:dyDescent="0.45">
      <c r="A24" s="17"/>
      <c r="B24" s="214"/>
      <c r="C24" s="214"/>
      <c r="D24" s="214"/>
      <c r="E24" s="214"/>
      <c r="F24" s="215"/>
      <c r="G24" s="215"/>
      <c r="H24" s="5"/>
      <c r="I24" s="5"/>
      <c r="J24" s="5"/>
      <c r="K24" s="5"/>
      <c r="L24" s="5"/>
      <c r="M24" s="5"/>
      <c r="N24" s="6"/>
    </row>
    <row r="25" spans="1:14" ht="60" customHeight="1" thickTop="1" x14ac:dyDescent="0.4">
      <c r="A25" s="159" t="s">
        <v>31</v>
      </c>
      <c r="B25" s="159"/>
      <c r="C25" s="159"/>
      <c r="D25" s="159"/>
      <c r="E25" s="159"/>
      <c r="F25" s="159"/>
      <c r="G25" s="159"/>
      <c r="H25" s="159"/>
      <c r="I25" s="159"/>
      <c r="J25" s="159"/>
      <c r="K25" s="159"/>
      <c r="L25" s="159"/>
      <c r="M25" s="159"/>
      <c r="N25" s="159"/>
    </row>
    <row r="26" spans="1:14" ht="29.25" customHeight="1" x14ac:dyDescent="0.5">
      <c r="A26" s="216" t="s">
        <v>32</v>
      </c>
      <c r="B26" s="217"/>
      <c r="C26" s="217"/>
      <c r="D26" s="218"/>
      <c r="E26" s="219" t="s">
        <v>33</v>
      </c>
      <c r="F26" s="217"/>
      <c r="G26" s="217"/>
      <c r="H26" s="217"/>
      <c r="I26" s="217"/>
      <c r="J26" s="216" t="s">
        <v>34</v>
      </c>
      <c r="K26" s="217"/>
      <c r="L26" s="220"/>
      <c r="M26" s="217" t="s">
        <v>35</v>
      </c>
      <c r="N26" s="220"/>
    </row>
    <row r="27" spans="1:14" ht="23.25" customHeight="1" x14ac:dyDescent="0.4">
      <c r="A27" s="213" t="s">
        <v>36</v>
      </c>
      <c r="B27" s="213"/>
      <c r="C27" s="213"/>
      <c r="D27" s="213"/>
      <c r="E27" s="213" t="s">
        <v>37</v>
      </c>
      <c r="F27" s="213"/>
      <c r="G27" s="213"/>
      <c r="H27" s="213"/>
      <c r="I27" s="213"/>
      <c r="J27" s="213" t="s">
        <v>38</v>
      </c>
      <c r="K27" s="213"/>
      <c r="L27" s="213"/>
      <c r="M27" s="213" t="s">
        <v>39</v>
      </c>
      <c r="N27" s="213"/>
    </row>
    <row r="28" spans="1:14" ht="71.25" customHeight="1" x14ac:dyDescent="0.4">
      <c r="A28" s="295" t="s">
        <v>129</v>
      </c>
      <c r="B28" s="295"/>
      <c r="C28" s="295"/>
      <c r="D28" s="295"/>
      <c r="E28" s="295" t="s">
        <v>130</v>
      </c>
      <c r="F28" s="295"/>
      <c r="G28" s="295"/>
      <c r="H28" s="295"/>
      <c r="I28" s="295"/>
      <c r="J28" s="295" t="s">
        <v>131</v>
      </c>
      <c r="K28" s="295"/>
      <c r="L28" s="295"/>
      <c r="M28" s="308">
        <v>45434</v>
      </c>
      <c r="N28" s="299"/>
    </row>
    <row r="29" spans="1:14" ht="71.25" customHeight="1" x14ac:dyDescent="0.4">
      <c r="A29" s="296"/>
      <c r="B29" s="296"/>
      <c r="C29" s="296"/>
      <c r="D29" s="296"/>
      <c r="E29" s="296"/>
      <c r="F29" s="296"/>
      <c r="G29" s="296"/>
      <c r="H29" s="296"/>
      <c r="I29" s="296"/>
      <c r="J29" s="296"/>
      <c r="K29" s="296"/>
      <c r="L29" s="296"/>
      <c r="M29" s="297"/>
      <c r="N29" s="297"/>
    </row>
    <row r="30" spans="1:14" ht="71.25" customHeight="1" x14ac:dyDescent="0.4">
      <c r="A30" s="296"/>
      <c r="B30" s="296"/>
      <c r="C30" s="296"/>
      <c r="D30" s="296"/>
      <c r="E30" s="296"/>
      <c r="F30" s="296"/>
      <c r="G30" s="296"/>
      <c r="H30" s="296"/>
      <c r="I30" s="296"/>
      <c r="J30" s="232"/>
      <c r="K30" s="232"/>
      <c r="L30" s="232"/>
      <c r="M30" s="297"/>
      <c r="N30" s="297"/>
    </row>
    <row r="31" spans="1:14" ht="71.25" customHeight="1" x14ac:dyDescent="0.4">
      <c r="A31" s="296"/>
      <c r="B31" s="296"/>
      <c r="C31" s="296"/>
      <c r="D31" s="296"/>
      <c r="E31" s="296"/>
      <c r="F31" s="296"/>
      <c r="G31" s="296"/>
      <c r="H31" s="296"/>
      <c r="I31" s="296"/>
      <c r="J31" s="296"/>
      <c r="K31" s="296"/>
      <c r="L31" s="296"/>
      <c r="M31" s="297"/>
      <c r="N31" s="297"/>
    </row>
    <row r="32" spans="1:14" ht="45" customHeight="1" x14ac:dyDescent="0.4">
      <c r="A32" s="18"/>
      <c r="B32" s="18"/>
      <c r="C32" s="18"/>
      <c r="D32" s="18"/>
      <c r="E32" s="18"/>
      <c r="F32" s="18"/>
      <c r="G32" s="18"/>
      <c r="H32" s="18"/>
      <c r="I32" s="18"/>
      <c r="J32" s="18"/>
      <c r="K32" s="18"/>
      <c r="L32" s="18"/>
      <c r="M32" s="298"/>
      <c r="N32" s="298"/>
    </row>
    <row r="33" spans="1:14" ht="45" customHeight="1" x14ac:dyDescent="0.4">
      <c r="A33" s="18"/>
      <c r="B33" s="18"/>
      <c r="C33" s="18"/>
      <c r="D33" s="18"/>
      <c r="E33" s="18"/>
      <c r="F33" s="18"/>
      <c r="G33" s="18"/>
      <c r="H33" s="18"/>
      <c r="I33" s="18"/>
      <c r="J33" s="18"/>
      <c r="K33" s="18"/>
      <c r="L33" s="18"/>
      <c r="M33" s="298"/>
      <c r="N33" s="298"/>
    </row>
    <row r="34" spans="1:14" ht="45" customHeight="1" x14ac:dyDescent="0.4">
      <c r="A34" s="18"/>
      <c r="B34" s="18"/>
      <c r="C34" s="18"/>
      <c r="D34" s="18"/>
      <c r="E34" s="18"/>
      <c r="F34" s="18"/>
      <c r="G34" s="18"/>
      <c r="H34" s="18"/>
      <c r="I34" s="18"/>
      <c r="J34" s="18"/>
      <c r="K34" s="18"/>
      <c r="L34" s="18"/>
      <c r="M34" s="19"/>
      <c r="N34" s="19"/>
    </row>
    <row r="35" spans="1:14" ht="11.6" customHeight="1" x14ac:dyDescent="0.4">
      <c r="A35" s="18"/>
      <c r="B35" s="18"/>
      <c r="C35" s="18"/>
      <c r="D35" s="18"/>
      <c r="E35" s="18"/>
      <c r="F35" s="18"/>
      <c r="G35" s="18"/>
      <c r="H35" s="18"/>
      <c r="I35" s="18"/>
      <c r="J35" s="18"/>
      <c r="K35" s="18"/>
      <c r="L35" s="18"/>
      <c r="M35" s="19"/>
      <c r="N35" s="19"/>
    </row>
    <row r="36" spans="1:14" ht="45" customHeight="1" x14ac:dyDescent="0.4">
      <c r="A36" s="18"/>
      <c r="B36" s="18"/>
      <c r="C36" s="18"/>
      <c r="D36" s="18"/>
      <c r="E36" s="18"/>
      <c r="F36" s="18"/>
      <c r="G36" s="18"/>
      <c r="H36" s="18"/>
      <c r="I36" s="18"/>
      <c r="J36" s="18"/>
      <c r="K36" s="18"/>
      <c r="L36" s="18"/>
      <c r="M36" s="19"/>
      <c r="N36" s="19"/>
    </row>
    <row r="37" spans="1:14" ht="50.25" customHeight="1" x14ac:dyDescent="0.4">
      <c r="A37"/>
      <c r="B37"/>
      <c r="C37"/>
      <c r="D37"/>
      <c r="E37"/>
      <c r="F37"/>
      <c r="G37"/>
      <c r="H37"/>
      <c r="I37"/>
      <c r="J37"/>
      <c r="K37"/>
      <c r="L37"/>
      <c r="M37"/>
    </row>
    <row r="38" spans="1:14" ht="63.75" customHeight="1" x14ac:dyDescent="0.4">
      <c r="A38"/>
      <c r="B38"/>
      <c r="C38"/>
      <c r="D38"/>
      <c r="E38"/>
      <c r="F38"/>
      <c r="G38"/>
      <c r="H38"/>
      <c r="I38"/>
      <c r="J38"/>
      <c r="K38"/>
      <c r="L38"/>
      <c r="M38"/>
    </row>
    <row r="43" spans="1:14" ht="15" thickBot="1" x14ac:dyDescent="0.45"/>
    <row r="44" spans="1:14" s="20" customFormat="1" ht="30" customHeight="1" x14ac:dyDescent="0.5">
      <c r="A44" s="221" t="s">
        <v>40</v>
      </c>
      <c r="B44" s="222"/>
      <c r="C44" s="222"/>
      <c r="D44" s="225">
        <v>44988</v>
      </c>
      <c r="E44" s="300"/>
      <c r="F44" s="301"/>
      <c r="G44" s="226" t="s">
        <v>41</v>
      </c>
      <c r="H44" s="227"/>
      <c r="I44" s="227"/>
      <c r="J44" s="228"/>
      <c r="K44" s="227" t="s">
        <v>42</v>
      </c>
      <c r="L44" s="227"/>
      <c r="M44" s="227"/>
      <c r="N44" s="228"/>
    </row>
    <row r="45" spans="1:14" s="20" customFormat="1" ht="30" customHeight="1" thickBot="1" x14ac:dyDescent="0.4">
      <c r="A45" s="223"/>
      <c r="B45" s="224"/>
      <c r="C45" s="224"/>
      <c r="D45" s="302"/>
      <c r="E45" s="303"/>
      <c r="F45" s="304"/>
      <c r="G45" s="229" t="s">
        <v>43</v>
      </c>
      <c r="H45" s="230"/>
      <c r="I45" s="230"/>
      <c r="J45" s="231"/>
      <c r="K45" s="230" t="s">
        <v>44</v>
      </c>
      <c r="L45" s="230"/>
      <c r="M45" s="230"/>
      <c r="N45" s="231"/>
    </row>
    <row r="46" spans="1:14" s="20" customFormat="1" ht="30" customHeight="1" x14ac:dyDescent="0.35">
      <c r="A46" s="221" t="s">
        <v>45</v>
      </c>
      <c r="B46" s="222"/>
      <c r="C46" s="222"/>
      <c r="D46" s="225">
        <v>45056</v>
      </c>
      <c r="E46" s="300"/>
      <c r="F46" s="301"/>
      <c r="G46" s="21"/>
      <c r="H46" s="22"/>
      <c r="I46" s="22"/>
      <c r="J46" s="23"/>
      <c r="K46" s="22"/>
      <c r="L46" s="22"/>
      <c r="M46" s="22"/>
      <c r="N46" s="23"/>
    </row>
    <row r="47" spans="1:14" s="20" customFormat="1" ht="30" customHeight="1" thickBot="1" x14ac:dyDescent="0.4">
      <c r="A47" s="223"/>
      <c r="B47" s="224"/>
      <c r="C47" s="224"/>
      <c r="D47" s="305"/>
      <c r="E47" s="306"/>
      <c r="F47" s="307"/>
      <c r="G47" s="24"/>
      <c r="J47" s="25"/>
      <c r="K47" s="26"/>
      <c r="L47" s="26"/>
      <c r="M47" s="26"/>
      <c r="N47" s="25"/>
    </row>
    <row r="48" spans="1:14" s="20" customFormat="1" ht="30" customHeight="1" x14ac:dyDescent="0.5">
      <c r="A48" s="221" t="s">
        <v>46</v>
      </c>
      <c r="B48" s="222"/>
      <c r="C48" s="222"/>
      <c r="D48" s="225">
        <v>45056</v>
      </c>
      <c r="E48" s="300"/>
      <c r="F48" s="301"/>
      <c r="G48" s="27"/>
      <c r="H48" s="28"/>
      <c r="I48" s="29"/>
      <c r="J48" s="30"/>
      <c r="K48" s="28"/>
      <c r="L48" s="29"/>
      <c r="M48" s="29"/>
      <c r="N48" s="30"/>
    </row>
    <row r="49" spans="1:14" s="20" customFormat="1" ht="30" customHeight="1" thickBot="1" x14ac:dyDescent="0.4">
      <c r="A49" s="223"/>
      <c r="B49" s="224"/>
      <c r="C49" s="224"/>
      <c r="D49" s="302"/>
      <c r="E49" s="303"/>
      <c r="F49" s="304"/>
      <c r="G49" s="194"/>
      <c r="H49" s="195"/>
      <c r="I49" s="195"/>
      <c r="J49" s="196"/>
      <c r="K49" s="195"/>
      <c r="L49" s="195"/>
      <c r="M49" s="195"/>
      <c r="N49" s="196"/>
    </row>
    <row r="50" spans="1:14" ht="16.5" customHeight="1" x14ac:dyDescent="0.4">
      <c r="A50" s="233" t="s">
        <v>47</v>
      </c>
      <c r="B50" s="233"/>
      <c r="C50" s="233"/>
      <c r="D50" s="234"/>
      <c r="E50"/>
      <c r="F50"/>
      <c r="G50"/>
      <c r="H50"/>
      <c r="I50"/>
      <c r="J50"/>
      <c r="K50"/>
      <c r="L50"/>
      <c r="M50"/>
    </row>
    <row r="51" spans="1:14" ht="47.25" customHeight="1" x14ac:dyDescent="0.4">
      <c r="C51" s="2"/>
      <c r="E51" s="235" t="s">
        <v>48</v>
      </c>
      <c r="F51" s="235"/>
      <c r="G51" s="235"/>
      <c r="H51" s="235"/>
      <c r="I51" s="235"/>
      <c r="J51" s="235"/>
      <c r="K51" s="235"/>
      <c r="L51"/>
      <c r="M51"/>
    </row>
    <row r="52" spans="1:14" ht="90" customHeight="1" thickBot="1" x14ac:dyDescent="0.45">
      <c r="A52" s="3"/>
      <c r="B52" s="3"/>
      <c r="C52" s="3"/>
      <c r="D52" s="31"/>
      <c r="E52" s="236"/>
      <c r="F52" s="236"/>
      <c r="G52" s="236"/>
      <c r="H52" s="236"/>
      <c r="I52" s="236"/>
      <c r="J52" s="236"/>
      <c r="K52" s="236"/>
      <c r="L52" s="32"/>
      <c r="M52" s="5"/>
      <c r="N52" s="6"/>
    </row>
    <row r="53" spans="1:14" ht="60.75" customHeight="1" thickTop="1" thickBot="1" x14ac:dyDescent="0.45">
      <c r="A53" s="162" t="s">
        <v>1</v>
      </c>
      <c r="B53" s="162"/>
      <c r="C53" s="162"/>
      <c r="D53" s="162"/>
      <c r="E53" s="162"/>
      <c r="F53" s="162"/>
      <c r="G53" s="162"/>
      <c r="H53" s="162"/>
      <c r="I53" s="162"/>
      <c r="J53" s="162"/>
      <c r="K53" s="163" t="s">
        <v>2</v>
      </c>
      <c r="L53" s="163"/>
      <c r="M53" s="163"/>
      <c r="N53" s="163"/>
    </row>
    <row r="54" spans="1:14" ht="38.25" customHeight="1" thickBot="1" x14ac:dyDescent="0.45">
      <c r="A54" s="162"/>
      <c r="B54" s="162"/>
      <c r="C54" s="162"/>
      <c r="D54" s="162"/>
      <c r="E54" s="162"/>
      <c r="F54" s="162"/>
      <c r="G54" s="162"/>
      <c r="H54" s="162"/>
      <c r="I54" s="162"/>
      <c r="J54" s="162"/>
      <c r="K54" s="237" t="s">
        <v>49</v>
      </c>
      <c r="L54" s="238"/>
      <c r="M54" s="239" t="s">
        <v>106</v>
      </c>
      <c r="N54" s="240"/>
    </row>
    <row r="55" spans="1:14" ht="37.5" customHeight="1" thickBot="1" x14ac:dyDescent="0.45">
      <c r="A55" s="168" t="s">
        <v>4</v>
      </c>
      <c r="B55" s="168"/>
      <c r="C55" s="168"/>
      <c r="D55" s="168"/>
      <c r="E55" s="168"/>
      <c r="F55" s="168"/>
      <c r="G55" s="168"/>
      <c r="H55" s="168"/>
      <c r="I55" s="168"/>
      <c r="J55" s="168"/>
      <c r="K55" s="33"/>
      <c r="L55" s="33"/>
      <c r="M55" s="247" t="s">
        <v>50</v>
      </c>
      <c r="N55" s="248"/>
    </row>
    <row r="56" spans="1:14" ht="13.5" customHeight="1" x14ac:dyDescent="0.4">
      <c r="A56" s="34"/>
      <c r="B56" s="35"/>
      <c r="C56"/>
      <c r="D56"/>
      <c r="E56"/>
      <c r="F56"/>
      <c r="G56"/>
      <c r="H56"/>
      <c r="I56" s="36"/>
      <c r="J56"/>
      <c r="K56"/>
      <c r="L56" s="37"/>
      <c r="M56" s="37"/>
    </row>
    <row r="57" spans="1:14" ht="15" customHeight="1" thickBot="1" x14ac:dyDescent="0.45">
      <c r="A57" s="38"/>
      <c r="B57" s="5"/>
      <c r="C57" s="5"/>
      <c r="D57" s="5"/>
      <c r="E57" s="5"/>
      <c r="F57" s="5"/>
      <c r="G57" s="5"/>
      <c r="H57" s="5"/>
      <c r="I57" s="5"/>
      <c r="J57" s="5"/>
      <c r="K57" s="5"/>
      <c r="L57" s="5"/>
      <c r="M57" s="5"/>
      <c r="N57" s="6"/>
    </row>
    <row r="58" spans="1:14" ht="39.75" customHeight="1" thickTop="1" x14ac:dyDescent="0.4">
      <c r="A58" s="249" t="s">
        <v>51</v>
      </c>
      <c r="B58" s="249"/>
      <c r="C58" s="249"/>
      <c r="D58" s="249"/>
      <c r="E58" s="249"/>
      <c r="F58" s="249"/>
      <c r="G58" s="249"/>
      <c r="H58" s="249"/>
      <c r="I58" s="249"/>
      <c r="J58" s="249"/>
      <c r="K58" s="249"/>
      <c r="L58" s="249"/>
      <c r="M58" s="249"/>
      <c r="N58" s="249"/>
    </row>
    <row r="59" spans="1:14" ht="24" customHeight="1" x14ac:dyDescent="0.4">
      <c r="A59" s="250" t="s">
        <v>52</v>
      </c>
      <c r="B59" s="250"/>
      <c r="C59" s="250"/>
      <c r="D59" s="250"/>
      <c r="E59" s="250"/>
      <c r="F59" s="250"/>
      <c r="G59" s="250"/>
      <c r="H59" s="250"/>
      <c r="I59" s="250"/>
      <c r="J59" s="250"/>
      <c r="K59" s="250"/>
      <c r="L59" s="250"/>
      <c r="M59" s="250"/>
      <c r="N59" s="250"/>
    </row>
    <row r="60" spans="1:14" ht="23.25" customHeight="1" x14ac:dyDescent="0.4">
      <c r="A60" s="251" t="s">
        <v>53</v>
      </c>
      <c r="B60" s="251"/>
      <c r="C60" s="251"/>
      <c r="D60" s="251"/>
      <c r="E60" s="251"/>
      <c r="F60" s="251"/>
      <c r="G60" s="251"/>
      <c r="H60" s="251"/>
      <c r="I60" s="251"/>
      <c r="J60" s="251"/>
      <c r="K60" s="251"/>
      <c r="L60" s="251"/>
      <c r="M60" s="251"/>
      <c r="N60" s="251"/>
    </row>
    <row r="61" spans="1:14" ht="24" hidden="1" customHeight="1" x14ac:dyDescent="0.4">
      <c r="A61" s="39"/>
      <c r="B61" s="39"/>
      <c r="C61" s="39"/>
      <c r="D61" s="39"/>
      <c r="E61" s="39"/>
      <c r="F61" s="39"/>
      <c r="G61" s="39"/>
      <c r="H61" s="39"/>
      <c r="I61" s="39"/>
      <c r="J61" s="39"/>
      <c r="K61" s="39"/>
      <c r="L61" s="39"/>
      <c r="M61" s="39"/>
    </row>
    <row r="62" spans="1:14" ht="24" hidden="1" customHeight="1" x14ac:dyDescent="0.4">
      <c r="A62" s="39"/>
      <c r="B62" s="252" t="s">
        <v>54</v>
      </c>
      <c r="C62" s="40" t="e">
        <f xml:space="preserve"> IF(#REF!=1,#REF!* 25.4,#REF!)</f>
        <v>#REF!</v>
      </c>
      <c r="D62" s="40" t="e">
        <f xml:space="preserve"> IF(#REF!=1,#REF!* 25.4,#REF!)</f>
        <v>#REF!</v>
      </c>
      <c r="E62" s="40" t="e">
        <f xml:space="preserve"> IF(#REF!=1,#REF!* 25.4,#REF!)</f>
        <v>#REF!</v>
      </c>
      <c r="F62" s="40" t="e">
        <f xml:space="preserve"> IF(#REF!=1,#REF!* 25.4,#REF!)</f>
        <v>#REF!</v>
      </c>
      <c r="G62" s="40" t="e">
        <f xml:space="preserve"> IF(#REF!=1,#REF!* 25.4,#REF!)</f>
        <v>#REF!</v>
      </c>
      <c r="H62" s="41" t="e">
        <f xml:space="preserve"> IF(#REF!=1,#REF!* 25.4,#REF!)</f>
        <v>#REF!</v>
      </c>
      <c r="I62" s="42"/>
      <c r="J62" s="39"/>
      <c r="K62" s="39"/>
      <c r="L62" s="39"/>
      <c r="M62" s="39"/>
    </row>
    <row r="63" spans="1:14" ht="24" hidden="1" customHeight="1" x14ac:dyDescent="0.4">
      <c r="A63" s="39"/>
      <c r="B63" s="253"/>
      <c r="C63" s="43" t="e">
        <f>IF(#REF!=1,#REF!,#REF!/ 25.4)</f>
        <v>#REF!</v>
      </c>
      <c r="D63" s="44" t="e">
        <f>IF(#REF!=1,#REF!,#REF!/ 25.4)</f>
        <v>#REF!</v>
      </c>
      <c r="E63" s="44" t="e">
        <f>IF(#REF!=1,#REF!,#REF!/ 25.4)</f>
        <v>#REF!</v>
      </c>
      <c r="F63" s="44" t="e">
        <f>IF(#REF!=1,#REF!,#REF!/ 25.4)</f>
        <v>#REF!</v>
      </c>
      <c r="G63" s="44" t="e">
        <f>IF(#REF!=1,#REF!,#REF!/ 25.4)</f>
        <v>#REF!</v>
      </c>
      <c r="H63" s="45" t="e">
        <f>IF(#REF!=1,#REF!,#REF!/ 25.4)</f>
        <v>#REF!</v>
      </c>
      <c r="I63" s="46"/>
      <c r="J63" s="39"/>
      <c r="K63" s="39"/>
      <c r="L63" s="39"/>
      <c r="M63" s="39"/>
    </row>
    <row r="64" spans="1:14" s="13" customFormat="1" ht="24" hidden="1" customHeight="1" x14ac:dyDescent="0.4">
      <c r="A64" s="241"/>
      <c r="B64" s="242" t="s">
        <v>55</v>
      </c>
      <c r="C64" s="47" t="e">
        <f xml:space="preserve"> IF(#REF!=1,#REF!* 25.4,#REF!)</f>
        <v>#REF!</v>
      </c>
      <c r="D64" s="47" t="e">
        <f xml:space="preserve"> IF(#REF!=1,#REF!* 25.4,#REF!)</f>
        <v>#REF!</v>
      </c>
      <c r="E64" s="47" t="e">
        <f xml:space="preserve"> IF(#REF!=1,#REF!* 25.4,#REF!)</f>
        <v>#REF!</v>
      </c>
      <c r="F64" s="47" t="e">
        <f xml:space="preserve"> IF(#REF!=1,#REF!* 25.4,#REF!)</f>
        <v>#REF!</v>
      </c>
      <c r="G64" s="47" t="e">
        <f xml:space="preserve"> IF(#REF!=1,#REF!* 25.4,#REF!)</f>
        <v>#REF!</v>
      </c>
      <c r="H64" s="48" t="e">
        <f xml:space="preserve"> IF(#REF!=1,#REF!* 25.4,#REF!)</f>
        <v>#REF!</v>
      </c>
      <c r="I64" s="49"/>
      <c r="J64" s="50"/>
      <c r="K64" s="50"/>
      <c r="L64" s="50"/>
      <c r="M64" s="50"/>
    </row>
    <row r="65" spans="1:14" s="13" customFormat="1" ht="24" hidden="1" customHeight="1" x14ac:dyDescent="0.4">
      <c r="A65" s="241"/>
      <c r="B65" s="243"/>
      <c r="C65" s="51" t="e">
        <f>IF(#REF!=1,#REF!,#REF!/ 25.4)</f>
        <v>#REF!</v>
      </c>
      <c r="D65" s="51" t="e">
        <f>IF(#REF!=1,#REF!,#REF!/ 25.4)</f>
        <v>#REF!</v>
      </c>
      <c r="E65" s="51" t="e">
        <f>IF(#REF!=1,#REF!,#REF!/ 25.4)</f>
        <v>#REF!</v>
      </c>
      <c r="F65" s="51" t="e">
        <f>IF(#REF!=1,#REF!,#REF!/ 25.4)</f>
        <v>#REF!</v>
      </c>
      <c r="G65" s="51" t="e">
        <f>IF(#REF!=1,#REF!,#REF!/ 25.4)</f>
        <v>#REF!</v>
      </c>
      <c r="H65" s="52" t="e">
        <f>IF(#REF!=1,#REF!,#REF!/ 25.4)</f>
        <v>#REF!</v>
      </c>
      <c r="I65" s="53"/>
      <c r="J65" s="54"/>
      <c r="K65" s="54"/>
      <c r="L65" s="54"/>
      <c r="M65" s="54"/>
    </row>
    <row r="66" spans="1:14" s="13" customFormat="1" ht="24" hidden="1" customHeight="1" x14ac:dyDescent="0.4">
      <c r="A66" s="241"/>
      <c r="B66" s="55"/>
      <c r="C66" s="49"/>
      <c r="D66" s="49"/>
      <c r="E66" s="49"/>
      <c r="F66" s="49"/>
      <c r="G66" s="49"/>
      <c r="H66" s="49"/>
      <c r="I66" s="49"/>
      <c r="J66" s="49"/>
      <c r="K66" s="49"/>
      <c r="L66" s="49"/>
      <c r="M66" s="49"/>
    </row>
    <row r="67" spans="1:14" s="13" customFormat="1" ht="24" hidden="1" customHeight="1" x14ac:dyDescent="0.4">
      <c r="A67" s="241"/>
      <c r="B67" s="244" t="s">
        <v>54</v>
      </c>
      <c r="C67" s="40" t="e">
        <f xml:space="preserve"> IF(#REF!=1,#REF!* 25.4,#REF!)</f>
        <v>#REF!</v>
      </c>
      <c r="D67" s="40" t="e">
        <f xml:space="preserve"> IF(#REF!=1,#REF!* 25.4,#REF!)</f>
        <v>#REF!</v>
      </c>
      <c r="E67" s="40" t="e">
        <f xml:space="preserve"> IF(#REF!=1,#REF!* 25.4,#REF!)</f>
        <v>#REF!</v>
      </c>
      <c r="F67" s="41" t="e">
        <f xml:space="preserve"> IF(#REF!=1,#REF!* 25.4,#REF!)</f>
        <v>#REF!</v>
      </c>
      <c r="G67" s="56" t="e">
        <f xml:space="preserve"> IF(#REF!=1,#REF!* 25.4,#REF!)</f>
        <v>#REF!</v>
      </c>
      <c r="H67" s="49"/>
      <c r="I67" s="49"/>
      <c r="J67" s="49"/>
      <c r="K67" s="49"/>
      <c r="L67" s="49"/>
      <c r="M67" s="49"/>
    </row>
    <row r="68" spans="1:14" s="13" customFormat="1" ht="24" hidden="1" customHeight="1" x14ac:dyDescent="0.4">
      <c r="A68" s="241"/>
      <c r="B68" s="245"/>
      <c r="C68" s="44" t="e">
        <f>IF(#REF!=1,#REF!,#REF!/ 25.4)</f>
        <v>#REF!</v>
      </c>
      <c r="D68" s="44" t="e">
        <f>IF(#REF!=1,#REF!,#REF!/ 25.4)</f>
        <v>#REF!</v>
      </c>
      <c r="E68" s="44" t="e">
        <f>IF(#REF!=1,#REF!,#REF!/ 25.4)</f>
        <v>#REF!</v>
      </c>
      <c r="F68" s="57" t="e">
        <f>IF(#REF!=1,#REF!,#REF!/ 25.4)</f>
        <v>#REF!</v>
      </c>
      <c r="G68" s="45" t="e">
        <f>IF(#REF!=1,#REF!,#REF!/ 25.4)</f>
        <v>#REF!</v>
      </c>
      <c r="H68" s="49"/>
      <c r="I68" s="49"/>
      <c r="J68" s="49"/>
      <c r="K68" s="49"/>
      <c r="L68" s="49"/>
      <c r="M68" s="49"/>
    </row>
    <row r="69" spans="1:14" s="13" customFormat="1" ht="24" hidden="1" customHeight="1" x14ac:dyDescent="0.4">
      <c r="A69" s="241"/>
      <c r="B69" s="242" t="s">
        <v>55</v>
      </c>
      <c r="C69" s="47" t="e">
        <f xml:space="preserve"> IF(#REF!=1,#REF!* 25.4,#REF!)</f>
        <v>#REF!</v>
      </c>
      <c r="D69" s="47" t="e">
        <f xml:space="preserve"> IF(#REF!=1,#REF!* 25.4,#REF!)</f>
        <v>#REF!</v>
      </c>
      <c r="E69" s="47" t="e">
        <f xml:space="preserve"> IF(#REF!=1,#REF!* 25.4,#REF!)</f>
        <v>#REF!</v>
      </c>
      <c r="F69" s="47" t="e">
        <f xml:space="preserve"> IF(#REF!=1,#REF!* 25.4,#REF!)</f>
        <v>#REF!</v>
      </c>
      <c r="G69" s="48" t="e">
        <f xml:space="preserve"> IF(#REF!=1,#REF!* 25.4,#REF!)</f>
        <v>#REF!</v>
      </c>
      <c r="H69" s="49"/>
      <c r="I69" s="49"/>
      <c r="J69" s="49"/>
      <c r="K69" s="49"/>
      <c r="L69" s="49"/>
      <c r="M69" s="49"/>
    </row>
    <row r="70" spans="1:14" s="13" customFormat="1" ht="24" hidden="1" customHeight="1" x14ac:dyDescent="0.4">
      <c r="A70" s="241"/>
      <c r="B70" s="243"/>
      <c r="C70" s="51" t="e">
        <f>IF(#REF!=1,#REF!,#REF!/ 25.4)</f>
        <v>#REF!</v>
      </c>
      <c r="D70" s="51" t="e">
        <f>IF(#REF!=1,#REF!,#REF!/ 25.4)</f>
        <v>#REF!</v>
      </c>
      <c r="E70" s="51" t="e">
        <f>IF(#REF!=1,#REF!,#REF!/ 25.4)</f>
        <v>#REF!</v>
      </c>
      <c r="F70" s="52" t="e">
        <f>IF(#REF!=1,#REF!,#REF!/ 25.4)</f>
        <v>#REF!</v>
      </c>
      <c r="G70" s="58" t="e">
        <f>IF(#REF!=1,#REF!,#REF!/ 25.4)</f>
        <v>#REF!</v>
      </c>
      <c r="H70" s="49"/>
      <c r="I70" s="49"/>
      <c r="J70" s="49"/>
      <c r="K70" s="49"/>
      <c r="L70" s="49"/>
      <c r="M70" s="49"/>
    </row>
    <row r="71" spans="1:14" s="13" customFormat="1" ht="24" hidden="1" customHeight="1" x14ac:dyDescent="0.4">
      <c r="A71" s="241"/>
      <c r="B71" s="54"/>
      <c r="C71" s="54"/>
      <c r="D71" s="54"/>
      <c r="E71" s="54"/>
      <c r="F71" s="54"/>
      <c r="G71" s="54"/>
      <c r="H71" s="54"/>
      <c r="I71" s="54"/>
      <c r="J71" s="54"/>
      <c r="K71" s="54"/>
      <c r="L71" s="54"/>
      <c r="M71" s="54"/>
    </row>
    <row r="72" spans="1:14" ht="24" hidden="1" customHeight="1" x14ac:dyDescent="0.4">
      <c r="A72" s="39"/>
      <c r="B72" s="39"/>
      <c r="C72" s="46"/>
      <c r="D72" s="59"/>
      <c r="E72" s="59"/>
      <c r="F72" s="59"/>
      <c r="G72" s="59"/>
      <c r="H72" s="59"/>
      <c r="I72" s="59"/>
      <c r="J72" s="39"/>
      <c r="K72" s="39"/>
      <c r="L72" s="39"/>
      <c r="M72" s="39"/>
    </row>
    <row r="73" spans="1:14" ht="24" hidden="1" customHeight="1" x14ac:dyDescent="0.4">
      <c r="A73" s="246"/>
      <c r="B73" s="246"/>
      <c r="C73" s="246"/>
      <c r="D73" s="60" t="s">
        <v>56</v>
      </c>
      <c r="E73" s="60" t="s">
        <v>57</v>
      </c>
      <c r="F73" s="59"/>
      <c r="G73" s="59"/>
      <c r="H73" s="59"/>
      <c r="I73" s="59"/>
      <c r="J73" s="39"/>
      <c r="K73" s="39"/>
      <c r="L73" s="39"/>
      <c r="M73" s="39"/>
    </row>
    <row r="74" spans="1:14" ht="24" hidden="1" customHeight="1" x14ac:dyDescent="0.4">
      <c r="A74" s="262" t="s">
        <v>58</v>
      </c>
      <c r="B74" s="262"/>
      <c r="C74" s="262"/>
      <c r="D74" s="61" t="e">
        <f>MAX(#REF!)</f>
        <v>#REF!</v>
      </c>
      <c r="E74" s="62" t="e">
        <f>D74/25400</f>
        <v>#REF!</v>
      </c>
      <c r="G74" s="263" t="s">
        <v>59</v>
      </c>
      <c r="H74" s="264"/>
      <c r="I74" s="63" t="e">
        <f>#REF!*9.81/1000</f>
        <v>#REF!</v>
      </c>
    </row>
    <row r="75" spans="1:14" ht="6" hidden="1" customHeight="1" x14ac:dyDescent="0.4">
      <c r="A75" s="262" t="s">
        <v>60</v>
      </c>
      <c r="B75" s="262"/>
      <c r="C75" s="262"/>
      <c r="D75" s="61" t="e">
        <f>MAX(#REF!,#REF!)</f>
        <v>#REF!</v>
      </c>
      <c r="E75" s="62" t="e">
        <f>D75/25400</f>
        <v>#REF!</v>
      </c>
    </row>
    <row r="76" spans="1:14" ht="6" customHeight="1" x14ac:dyDescent="0.4">
      <c r="A76" s="39"/>
      <c r="B76" s="39"/>
      <c r="C76" s="39"/>
      <c r="D76" s="39"/>
      <c r="E76" s="39"/>
      <c r="F76" s="39"/>
      <c r="G76" s="39"/>
      <c r="H76" s="39"/>
      <c r="I76" s="39"/>
      <c r="J76" s="39"/>
      <c r="K76" s="39"/>
      <c r="L76" s="39"/>
      <c r="M76" s="39"/>
    </row>
    <row r="77" spans="1:14" customFormat="1" ht="6" customHeight="1" thickBot="1" x14ac:dyDescent="0.45">
      <c r="A77" s="265"/>
      <c r="B77" s="265"/>
      <c r="C77" s="265"/>
      <c r="D77" s="265"/>
      <c r="E77" s="265"/>
      <c r="F77" s="265"/>
      <c r="G77" s="265"/>
      <c r="H77" s="265"/>
      <c r="I77" s="265"/>
      <c r="J77" s="265"/>
      <c r="K77" s="265"/>
      <c r="L77" s="265"/>
      <c r="M77" s="64"/>
      <c r="N77" s="5"/>
    </row>
    <row r="78" spans="1:14" ht="60" customHeight="1" thickTop="1" thickBot="1" x14ac:dyDescent="0.45">
      <c r="A78" s="146" t="s">
        <v>61</v>
      </c>
      <c r="B78" s="146"/>
      <c r="C78" s="146"/>
      <c r="D78" s="146"/>
      <c r="E78" s="146"/>
      <c r="F78" s="146"/>
      <c r="G78" s="146"/>
      <c r="H78" s="146"/>
      <c r="I78" s="146"/>
      <c r="J78" s="146"/>
      <c r="K78" s="146"/>
      <c r="L78" s="146"/>
      <c r="M78" s="146"/>
      <c r="N78" s="146"/>
    </row>
    <row r="79" spans="1:14" ht="4.5" customHeight="1" x14ac:dyDescent="0.4">
      <c r="A79" s="65"/>
    </row>
    <row r="80" spans="1:14" ht="17.25" customHeight="1" thickBot="1" x14ac:dyDescent="0.55000000000000004">
      <c r="A80" s="66"/>
      <c r="B80" s="29"/>
      <c r="C80" s="29"/>
      <c r="D80" s="29"/>
      <c r="E80" s="29"/>
      <c r="F80" s="29"/>
      <c r="G80" s="29"/>
      <c r="H80" s="29"/>
      <c r="I80"/>
      <c r="J80"/>
      <c r="K80"/>
      <c r="L80"/>
      <c r="M80"/>
    </row>
    <row r="81" spans="1:14" ht="45" customHeight="1" x14ac:dyDescent="0.4">
      <c r="A81" s="272" t="s">
        <v>104</v>
      </c>
      <c r="B81" s="273"/>
      <c r="C81" s="288" t="s">
        <v>113</v>
      </c>
      <c r="D81" s="288" t="s">
        <v>114</v>
      </c>
      <c r="E81" s="288" t="s">
        <v>115</v>
      </c>
      <c r="F81" s="288" t="s">
        <v>116</v>
      </c>
      <c r="G81" s="288" t="s">
        <v>117</v>
      </c>
      <c r="H81" s="288" t="s">
        <v>118</v>
      </c>
      <c r="I81" s="288" t="s">
        <v>119</v>
      </c>
      <c r="J81" s="288" t="s">
        <v>120</v>
      </c>
      <c r="K81" s="288" t="s">
        <v>121</v>
      </c>
      <c r="L81" s="289" t="s">
        <v>122</v>
      </c>
      <c r="M81" s="290" t="s">
        <v>123</v>
      </c>
      <c r="N81"/>
    </row>
    <row r="82" spans="1:14" ht="45" customHeight="1" thickBot="1" x14ac:dyDescent="0.45">
      <c r="A82" s="274" t="s">
        <v>105</v>
      </c>
      <c r="B82" s="275"/>
      <c r="C82" s="292" t="s">
        <v>113</v>
      </c>
      <c r="D82" s="292" t="s">
        <v>113</v>
      </c>
      <c r="E82" s="292" t="s">
        <v>113</v>
      </c>
      <c r="F82" s="292" t="s">
        <v>113</v>
      </c>
      <c r="G82" s="292" t="s">
        <v>113</v>
      </c>
      <c r="H82" s="292" t="s">
        <v>124</v>
      </c>
      <c r="I82" s="292" t="s">
        <v>113</v>
      </c>
      <c r="J82" s="292" t="s">
        <v>113</v>
      </c>
      <c r="K82" s="292" t="s">
        <v>113</v>
      </c>
      <c r="L82" s="293" t="s">
        <v>113</v>
      </c>
      <c r="M82" s="294" t="s">
        <v>113</v>
      </c>
      <c r="N82"/>
    </row>
    <row r="83" spans="1:14" ht="15" customHeight="1" x14ac:dyDescent="0.5">
      <c r="A83" s="67"/>
      <c r="B83" s="67"/>
      <c r="C83" s="68"/>
      <c r="D83" s="69"/>
      <c r="E83" s="69"/>
      <c r="F83" s="69"/>
      <c r="G83" s="69"/>
      <c r="H83" s="69"/>
      <c r="I83" s="70"/>
      <c r="J83" s="29"/>
      <c r="K83" s="29"/>
      <c r="L83" s="122"/>
      <c r="M83" s="29"/>
    </row>
    <row r="84" spans="1:14" ht="15" customHeight="1" x14ac:dyDescent="0.5">
      <c r="A84" s="67"/>
      <c r="B84" s="67"/>
      <c r="C84" s="68"/>
      <c r="D84" s="69"/>
      <c r="E84" s="69"/>
      <c r="F84" s="69"/>
      <c r="G84" s="69"/>
      <c r="H84" s="69"/>
      <c r="I84" s="70"/>
      <c r="J84" s="29"/>
      <c r="K84" s="29"/>
      <c r="L84" s="29"/>
      <c r="M84" s="29"/>
    </row>
    <row r="85" spans="1:14" ht="15" customHeight="1" x14ac:dyDescent="0.5">
      <c r="A85" s="67"/>
      <c r="B85" s="67"/>
      <c r="C85" s="68"/>
      <c r="D85" s="69"/>
      <c r="E85" s="69"/>
      <c r="F85" s="69"/>
      <c r="G85" s="69"/>
      <c r="H85" s="69"/>
      <c r="I85" s="70"/>
      <c r="J85" s="29"/>
      <c r="K85" s="29"/>
      <c r="L85" s="29"/>
      <c r="M85" s="29"/>
    </row>
    <row r="86" spans="1:14" ht="20.25" customHeight="1" x14ac:dyDescent="0.5">
      <c r="A86" s="67"/>
      <c r="B86" s="67"/>
      <c r="C86" s="68"/>
      <c r="D86" s="69"/>
      <c r="E86" s="69"/>
      <c r="F86" s="69"/>
      <c r="G86" s="69"/>
      <c r="H86" s="69"/>
      <c r="I86" s="70"/>
      <c r="J86" s="29"/>
      <c r="K86" s="29"/>
      <c r="L86" s="29"/>
      <c r="M86" s="29"/>
    </row>
    <row r="87" spans="1:14" ht="18.899999999999999" thickBot="1" x14ac:dyDescent="0.55000000000000004">
      <c r="A87" s="71"/>
      <c r="B87" s="72"/>
      <c r="C87"/>
      <c r="I87" s="70"/>
      <c r="J87" s="29"/>
      <c r="K87" s="29"/>
      <c r="L87" s="29"/>
      <c r="M87" s="29"/>
    </row>
    <row r="88" spans="1:14" ht="28.5" customHeight="1" thickBot="1" x14ac:dyDescent="0.55000000000000004">
      <c r="E88" s="73" t="s">
        <v>62</v>
      </c>
      <c r="J88" s="29"/>
      <c r="K88" s="29"/>
      <c r="L88" s="29"/>
      <c r="M88" s="29"/>
    </row>
    <row r="89" spans="1:14" ht="39.75" customHeight="1" thickBot="1" x14ac:dyDescent="0.55000000000000004">
      <c r="A89" s="266" t="s">
        <v>63</v>
      </c>
      <c r="B89" s="267"/>
      <c r="C89" s="267"/>
      <c r="D89" s="268"/>
      <c r="E89" s="74"/>
      <c r="F89" s="75"/>
      <c r="G89" s="75"/>
      <c r="H89" s="269" t="s">
        <v>64</v>
      </c>
      <c r="I89" s="270"/>
      <c r="J89" s="271"/>
      <c r="K89" s="76"/>
      <c r="L89" s="29"/>
    </row>
    <row r="90" spans="1:14" ht="27" customHeight="1" thickBot="1" x14ac:dyDescent="0.55000000000000004">
      <c r="A90" s="254" t="s">
        <v>65</v>
      </c>
      <c r="B90" s="255"/>
      <c r="C90" s="255"/>
      <c r="D90" s="256"/>
      <c r="E90" s="77"/>
      <c r="F90" s="75"/>
      <c r="G90" s="75"/>
      <c r="L90" s="29"/>
    </row>
    <row r="91" spans="1:14" ht="9" customHeight="1" x14ac:dyDescent="0.5">
      <c r="A91" s="257"/>
      <c r="B91" s="257"/>
      <c r="C91" s="257"/>
      <c r="F91" s="75"/>
      <c r="G91" s="75"/>
      <c r="H91" s="75"/>
      <c r="I91" s="75"/>
      <c r="J91" s="78"/>
      <c r="K91" s="78"/>
      <c r="L91" s="29"/>
      <c r="M91" s="29"/>
    </row>
    <row r="92" spans="1:14" ht="3.75" hidden="1" customHeight="1" x14ac:dyDescent="0.5">
      <c r="F92" s="29"/>
      <c r="J92" s="29"/>
      <c r="K92" s="29"/>
      <c r="L92" s="29"/>
      <c r="M92" s="29"/>
    </row>
    <row r="93" spans="1:14" ht="3.75" customHeight="1" x14ac:dyDescent="0.5">
      <c r="F93" s="29"/>
      <c r="J93" s="29"/>
      <c r="K93" s="29"/>
      <c r="L93" s="29"/>
      <c r="M93" s="29"/>
    </row>
    <row r="94" spans="1:14" ht="3.75" customHeight="1" x14ac:dyDescent="0.5">
      <c r="F94" s="29"/>
      <c r="J94" s="29"/>
      <c r="K94" s="29"/>
      <c r="L94" s="29"/>
      <c r="M94" s="29"/>
    </row>
    <row r="95" spans="1:14" ht="19.5" customHeight="1" x14ac:dyDescent="0.5">
      <c r="F95" s="29"/>
      <c r="J95" s="29"/>
      <c r="K95" s="29"/>
      <c r="L95" s="29"/>
      <c r="M95" s="29"/>
    </row>
    <row r="96" spans="1:14" ht="19.5" customHeight="1" x14ac:dyDescent="0.5">
      <c r="F96" s="29"/>
      <c r="J96" s="29"/>
      <c r="K96" s="29"/>
      <c r="L96" s="29"/>
      <c r="M96" s="29"/>
    </row>
    <row r="97" spans="1:16" ht="3.75" customHeight="1" x14ac:dyDescent="0.5">
      <c r="F97" s="29"/>
      <c r="J97" s="29"/>
      <c r="K97" s="29"/>
      <c r="L97" s="29"/>
      <c r="M97" s="29"/>
    </row>
    <row r="98" spans="1:16" ht="17.25" customHeight="1" x14ac:dyDescent="0.5">
      <c r="A98" s="66"/>
      <c r="B98" s="29"/>
      <c r="C98" s="29"/>
      <c r="D98" s="29"/>
      <c r="E98" s="29"/>
      <c r="F98" s="29"/>
      <c r="G98" s="29"/>
      <c r="H98" s="29"/>
      <c r="I98" s="29"/>
      <c r="J98" s="29"/>
      <c r="K98" s="29"/>
      <c r="L98" s="29"/>
      <c r="M98" s="29"/>
    </row>
    <row r="99" spans="1:16" ht="39" customHeight="1" x14ac:dyDescent="0.5">
      <c r="A99" s="258" t="s">
        <v>66</v>
      </c>
      <c r="B99" s="259"/>
      <c r="C99" s="260"/>
      <c r="D99" s="260"/>
      <c r="E99" s="260"/>
      <c r="F99" s="261"/>
      <c r="G99" s="261"/>
      <c r="H99" s="261"/>
      <c r="I99" s="261"/>
      <c r="J99" s="29"/>
      <c r="K99" s="29"/>
      <c r="L99" s="29"/>
      <c r="M99" s="29"/>
    </row>
    <row r="100" spans="1:16" ht="17.25" customHeight="1" thickBot="1" x14ac:dyDescent="0.55000000000000004">
      <c r="A100" s="79"/>
      <c r="B100" s="80"/>
      <c r="C100" s="80"/>
      <c r="D100" s="80"/>
      <c r="E100" s="80"/>
      <c r="F100" s="80"/>
      <c r="G100" s="80"/>
      <c r="H100" s="80"/>
      <c r="I100" s="80"/>
      <c r="J100" s="80"/>
      <c r="K100" s="80"/>
      <c r="L100" s="80"/>
      <c r="M100" s="80"/>
      <c r="N100" s="6"/>
    </row>
    <row r="101" spans="1:16" ht="60" customHeight="1" thickTop="1" thickBot="1" x14ac:dyDescent="0.45">
      <c r="A101" s="146" t="s">
        <v>67</v>
      </c>
      <c r="B101" s="146"/>
      <c r="C101" s="146"/>
      <c r="D101" s="146"/>
      <c r="E101" s="146"/>
      <c r="F101" s="146"/>
      <c r="G101" s="146"/>
      <c r="H101" s="146"/>
      <c r="I101" s="146"/>
      <c r="J101" s="146"/>
      <c r="K101" s="146"/>
      <c r="L101" s="146"/>
      <c r="M101" s="146"/>
      <c r="N101" s="146"/>
    </row>
    <row r="102" spans="1:16" ht="18.75" customHeight="1" x14ac:dyDescent="0.4">
      <c r="A102" s="15"/>
      <c r="B102" s="15"/>
      <c r="C102" s="15"/>
      <c r="D102" s="15"/>
      <c r="E102" s="15"/>
      <c r="F102" s="15"/>
      <c r="G102" s="15"/>
      <c r="H102" s="15"/>
      <c r="I102" s="15"/>
      <c r="J102" s="15"/>
      <c r="K102" s="15"/>
      <c r="L102" s="15"/>
      <c r="M102" s="15"/>
      <c r="N102" s="15"/>
    </row>
    <row r="103" spans="1:16" ht="42.75" customHeight="1" x14ac:dyDescent="0.55000000000000004">
      <c r="C103" s="281" t="s">
        <v>68</v>
      </c>
      <c r="D103" s="281"/>
      <c r="E103" s="281"/>
      <c r="F103" s="82"/>
      <c r="G103" s="83"/>
      <c r="I103" s="282" t="s">
        <v>69</v>
      </c>
      <c r="J103" s="282"/>
      <c r="K103" s="82"/>
      <c r="L103" s="83"/>
      <c r="M103" s="84"/>
    </row>
    <row r="104" spans="1:16" ht="19.5" customHeight="1" thickBot="1" x14ac:dyDescent="0.6">
      <c r="A104" s="85"/>
      <c r="B104" s="85"/>
      <c r="C104" s="85"/>
      <c r="D104" s="82"/>
      <c r="E104" s="83"/>
      <c r="G104" s="81"/>
      <c r="H104" s="81"/>
      <c r="I104" s="82"/>
      <c r="J104" s="83"/>
      <c r="K104" s="86"/>
      <c r="L104" s="84"/>
      <c r="M104" s="84"/>
    </row>
    <row r="105" spans="1:16" ht="60" customHeight="1" thickTop="1" thickBot="1" x14ac:dyDescent="0.45">
      <c r="A105" s="283" t="s">
        <v>70</v>
      </c>
      <c r="B105" s="283"/>
      <c r="C105" s="283"/>
      <c r="D105" s="283"/>
      <c r="E105" s="283"/>
      <c r="F105" s="283"/>
      <c r="G105" s="283"/>
      <c r="H105" s="283"/>
      <c r="I105" s="283"/>
      <c r="J105" s="283"/>
      <c r="K105" s="283"/>
      <c r="L105" s="283"/>
      <c r="M105" s="283"/>
      <c r="N105" s="283"/>
    </row>
    <row r="106" spans="1:16" ht="92.25" customHeight="1" x14ac:dyDescent="0.4">
      <c r="A106" s="284" t="s">
        <v>71</v>
      </c>
      <c r="B106" s="284"/>
      <c r="C106" s="284"/>
      <c r="D106" s="284"/>
      <c r="E106" s="284"/>
      <c r="F106" s="284"/>
      <c r="G106" s="284"/>
      <c r="H106" s="284"/>
      <c r="I106" s="284"/>
      <c r="J106" s="284"/>
      <c r="K106" s="284"/>
      <c r="L106" s="284"/>
      <c r="M106" s="284"/>
      <c r="N106" s="284"/>
      <c r="O106" s="87"/>
      <c r="P106" s="87"/>
    </row>
    <row r="107" spans="1:16" ht="79.5" customHeight="1" x14ac:dyDescent="0.4">
      <c r="A107" s="284" t="s">
        <v>72</v>
      </c>
      <c r="B107" s="284"/>
      <c r="C107" s="284"/>
      <c r="D107" s="284"/>
      <c r="E107" s="284"/>
      <c r="F107" s="284"/>
      <c r="G107" s="284"/>
      <c r="H107" s="284"/>
      <c r="I107" s="284"/>
      <c r="J107" s="284"/>
      <c r="K107" s="284"/>
      <c r="L107" s="284"/>
      <c r="M107" s="284"/>
      <c r="N107" s="284"/>
      <c r="O107" s="87"/>
      <c r="P107" s="87"/>
    </row>
    <row r="108" spans="1:16" ht="39" customHeight="1" x14ac:dyDescent="0.55000000000000004">
      <c r="A108" s="276" t="s">
        <v>73</v>
      </c>
      <c r="B108" s="276"/>
      <c r="C108" s="276"/>
      <c r="D108" s="276"/>
      <c r="F108" s="285" t="s">
        <v>103</v>
      </c>
      <c r="G108" s="285"/>
      <c r="H108" s="88"/>
      <c r="I108" s="84"/>
      <c r="J108" s="84"/>
      <c r="K108" s="84"/>
      <c r="L108" s="84"/>
      <c r="M108" s="84"/>
    </row>
    <row r="109" spans="1:16" ht="35.25" customHeight="1" x14ac:dyDescent="0.55000000000000004">
      <c r="A109" s="276" t="s">
        <v>74</v>
      </c>
      <c r="B109" s="276"/>
      <c r="C109" s="276"/>
      <c r="D109" s="276"/>
      <c r="F109" s="277"/>
      <c r="G109" s="277"/>
      <c r="H109" s="277"/>
      <c r="I109" s="84"/>
      <c r="J109" s="84"/>
      <c r="K109" s="84"/>
      <c r="L109" s="84"/>
      <c r="M109" s="84"/>
    </row>
    <row r="110" spans="1:16" ht="40.5" customHeight="1" x14ac:dyDescent="0.55000000000000004">
      <c r="A110" s="276" t="s">
        <v>75</v>
      </c>
      <c r="B110" s="276"/>
      <c r="C110" s="276"/>
      <c r="D110" s="276"/>
      <c r="E110" s="276"/>
      <c r="F110" s="89" t="s">
        <v>76</v>
      </c>
      <c r="G110" s="90"/>
      <c r="H110" s="83"/>
      <c r="I110" s="84"/>
      <c r="J110" s="84"/>
      <c r="K110" s="84"/>
      <c r="L110" s="84"/>
      <c r="M110" s="84"/>
    </row>
    <row r="111" spans="1:16" s="91" customFormat="1" ht="50.15" customHeight="1" x14ac:dyDescent="0.4"/>
    <row r="112" spans="1:16" s="91" customFormat="1" ht="43.2" customHeight="1" x14ac:dyDescent="0.4">
      <c r="D112" s="278" t="s">
        <v>77</v>
      </c>
      <c r="E112" s="278"/>
      <c r="F112" s="278"/>
      <c r="G112" s="278"/>
      <c r="H112" s="278"/>
      <c r="I112" s="278"/>
      <c r="J112" s="278"/>
      <c r="K112" s="278"/>
      <c r="L112" s="278"/>
    </row>
    <row r="113" spans="1:13" s="91" customFormat="1" ht="50.15" customHeight="1" x14ac:dyDescent="0.4"/>
    <row r="114" spans="1:13" s="91" customFormat="1" ht="50.15" customHeight="1" x14ac:dyDescent="0.4"/>
    <row r="115" spans="1:13" s="91" customFormat="1" ht="50.15" customHeight="1" x14ac:dyDescent="0.4"/>
    <row r="116" spans="1:13" ht="36" customHeight="1" x14ac:dyDescent="0.55000000000000004">
      <c r="A116" s="92"/>
      <c r="B116" s="92"/>
      <c r="C116" s="92"/>
      <c r="M116" s="84"/>
    </row>
    <row r="117" spans="1:13" ht="8.25" customHeight="1" x14ac:dyDescent="0.55000000000000004">
      <c r="A117" s="92"/>
      <c r="B117" s="92"/>
      <c r="L117" s="84"/>
      <c r="M117" s="84"/>
    </row>
    <row r="118" spans="1:13" ht="7.5" customHeight="1" x14ac:dyDescent="0.55000000000000004">
      <c r="A118" s="92"/>
      <c r="B118" s="92"/>
      <c r="J118" s="93"/>
      <c r="K118" s="84"/>
      <c r="L118" s="84"/>
      <c r="M118" s="84"/>
    </row>
    <row r="119" spans="1:13" ht="11.25" customHeight="1" x14ac:dyDescent="0.55000000000000004">
      <c r="A119" s="92"/>
      <c r="B119" s="92"/>
      <c r="C119" s="92"/>
      <c r="D119" s="84"/>
      <c r="E119" s="90"/>
      <c r="F119" s="94"/>
      <c r="G119" s="90"/>
      <c r="H119" s="83"/>
      <c r="I119" s="84"/>
      <c r="J119" s="84"/>
      <c r="K119" s="84"/>
      <c r="L119" s="84"/>
      <c r="M119" s="84"/>
    </row>
    <row r="120" spans="1:13" ht="56.25" customHeight="1" x14ac:dyDescent="0.55000000000000004">
      <c r="A120" s="92"/>
      <c r="B120" s="92"/>
      <c r="C120" s="92"/>
      <c r="D120" s="84"/>
      <c r="E120" s="90"/>
      <c r="F120" s="94"/>
      <c r="G120" s="90"/>
      <c r="H120" s="83"/>
      <c r="I120" s="84"/>
      <c r="J120" s="84"/>
      <c r="K120" s="84"/>
      <c r="L120" s="84"/>
      <c r="M120" s="84"/>
    </row>
    <row r="121" spans="1:13" ht="42" customHeight="1" x14ac:dyDescent="0.55000000000000004">
      <c r="A121" s="92"/>
      <c r="B121" s="92"/>
      <c r="C121" s="95"/>
      <c r="D121" s="84"/>
      <c r="E121" s="90"/>
      <c r="F121" s="94"/>
      <c r="G121" s="90"/>
      <c r="H121" s="83"/>
      <c r="I121" s="84"/>
      <c r="J121" s="84"/>
      <c r="K121" s="84"/>
      <c r="L121" s="84"/>
      <c r="M121" s="84"/>
    </row>
    <row r="122" spans="1:13" ht="15" customHeight="1" x14ac:dyDescent="0.55000000000000004">
      <c r="A122" s="92"/>
      <c r="B122" s="92"/>
      <c r="C122" s="92"/>
      <c r="D122" s="84"/>
      <c r="E122" s="90"/>
      <c r="F122" s="94"/>
      <c r="G122" s="90"/>
      <c r="H122" s="83"/>
      <c r="I122" s="84"/>
      <c r="J122" s="84"/>
      <c r="K122" s="84"/>
      <c r="L122" s="84"/>
      <c r="M122" s="84"/>
    </row>
    <row r="123" spans="1:13" ht="17.25" customHeight="1" x14ac:dyDescent="0.55000000000000004">
      <c r="A123" s="92"/>
      <c r="B123" s="92"/>
      <c r="C123" s="92"/>
      <c r="D123" s="84"/>
      <c r="E123" s="90"/>
      <c r="F123" s="94"/>
      <c r="G123" s="90"/>
      <c r="H123" s="83"/>
      <c r="I123" s="84"/>
      <c r="J123" s="84"/>
      <c r="K123" s="84"/>
      <c r="L123" s="84"/>
      <c r="M123" s="84"/>
    </row>
    <row r="124" spans="1:13" ht="9" customHeight="1" x14ac:dyDescent="0.55000000000000004">
      <c r="A124" s="92"/>
      <c r="B124" s="92"/>
      <c r="C124" s="92"/>
      <c r="D124" s="84"/>
      <c r="E124" s="90"/>
      <c r="F124" s="94"/>
      <c r="G124" s="90"/>
      <c r="H124" s="83"/>
      <c r="I124" s="84"/>
      <c r="J124" s="84"/>
      <c r="K124" s="84"/>
      <c r="L124" s="84"/>
      <c r="M124" s="84"/>
    </row>
    <row r="125" spans="1:13" ht="15.65" customHeight="1" x14ac:dyDescent="0.55000000000000004">
      <c r="A125" s="92"/>
      <c r="B125" s="92"/>
      <c r="C125" s="92"/>
      <c r="D125" s="84"/>
      <c r="E125" s="90"/>
      <c r="F125" s="94"/>
      <c r="G125" s="90"/>
      <c r="H125" s="83"/>
      <c r="I125" s="84"/>
      <c r="J125" s="84"/>
      <c r="K125" s="84"/>
      <c r="L125" s="84"/>
      <c r="M125" s="84"/>
    </row>
    <row r="126" spans="1:13" ht="5.25" customHeight="1" x14ac:dyDescent="0.55000000000000004">
      <c r="A126" s="92"/>
      <c r="B126" s="92"/>
      <c r="C126" s="92"/>
      <c r="D126" s="84"/>
      <c r="E126" s="90"/>
      <c r="F126" s="94"/>
      <c r="G126" s="90"/>
      <c r="H126" s="83"/>
      <c r="I126" s="84"/>
      <c r="J126" s="84"/>
      <c r="K126" s="84"/>
      <c r="L126" s="84"/>
      <c r="M126" s="84"/>
    </row>
    <row r="127" spans="1:13" ht="17.25" customHeight="1" x14ac:dyDescent="0.55000000000000004">
      <c r="A127" s="92"/>
      <c r="B127" s="92"/>
      <c r="C127" s="92"/>
      <c r="D127" s="84"/>
      <c r="E127" s="90"/>
      <c r="F127" s="94"/>
      <c r="G127" s="90"/>
      <c r="H127" s="83"/>
      <c r="I127" s="84"/>
      <c r="J127" s="84"/>
      <c r="K127" s="84"/>
      <c r="L127" s="84"/>
      <c r="M127" s="84"/>
    </row>
    <row r="128" spans="1:13" ht="9" customHeight="1" x14ac:dyDescent="0.55000000000000004">
      <c r="A128" s="92"/>
      <c r="B128" s="92"/>
      <c r="C128" s="92"/>
      <c r="D128" s="84"/>
      <c r="E128" s="90"/>
      <c r="F128" s="94"/>
      <c r="G128" s="90"/>
      <c r="H128" s="83"/>
      <c r="I128" s="84"/>
      <c r="J128" s="84"/>
      <c r="K128" s="84"/>
      <c r="L128" s="84"/>
      <c r="M128" s="84"/>
    </row>
    <row r="129" spans="1:13" ht="55.5" customHeight="1" x14ac:dyDescent="0.5">
      <c r="A129" s="2"/>
      <c r="B129" s="2"/>
      <c r="C129" s="2"/>
      <c r="D129" s="96"/>
      <c r="E129" s="22"/>
      <c r="F129" s="97"/>
      <c r="G129" s="96"/>
      <c r="H129" s="96"/>
      <c r="I129" s="96"/>
      <c r="J129" s="96"/>
      <c r="K129" s="96"/>
      <c r="L129" s="96"/>
      <c r="M129" s="96"/>
    </row>
    <row r="130" spans="1:13" ht="59.25" customHeight="1" x14ac:dyDescent="0.5">
      <c r="A130" s="279" t="s">
        <v>47</v>
      </c>
      <c r="B130" s="279"/>
      <c r="C130" s="279"/>
      <c r="D130" s="279"/>
      <c r="E130" s="279"/>
      <c r="F130" s="97"/>
      <c r="G130" s="96"/>
      <c r="H130" s="96"/>
      <c r="I130" s="96"/>
      <c r="J130" s="96"/>
      <c r="K130" s="96"/>
      <c r="L130" s="96"/>
      <c r="M130" s="96"/>
    </row>
    <row r="131" spans="1:13" s="29" customFormat="1" ht="113.25" customHeight="1" x14ac:dyDescent="0.5">
      <c r="B131" s="2"/>
      <c r="C131" s="2"/>
      <c r="D131"/>
      <c r="E131"/>
      <c r="F131"/>
      <c r="G131"/>
      <c r="H131" s="2"/>
      <c r="I131" s="96"/>
      <c r="J131" s="96"/>
      <c r="K131" s="96"/>
      <c r="L131" s="96"/>
      <c r="M131" s="96"/>
    </row>
    <row r="132" spans="1:13" ht="15" customHeight="1" x14ac:dyDescent="0.5">
      <c r="A132" s="98"/>
      <c r="B132" s="29"/>
      <c r="C132" s="29"/>
      <c r="D132"/>
      <c r="E132"/>
      <c r="F132"/>
      <c r="G132"/>
      <c r="H132" s="99"/>
      <c r="I132" s="99"/>
      <c r="J132" s="99"/>
      <c r="K132" s="99"/>
    </row>
    <row r="133" spans="1:13" ht="15" customHeight="1" x14ac:dyDescent="0.5">
      <c r="A133" s="98"/>
      <c r="B133" s="29"/>
      <c r="C133" s="29"/>
      <c r="D133"/>
      <c r="E133"/>
      <c r="F133"/>
      <c r="G133"/>
      <c r="H133" s="99"/>
      <c r="I133" s="99"/>
      <c r="J133" s="99"/>
      <c r="K133" s="99"/>
    </row>
    <row r="134" spans="1:13" ht="74.25" customHeight="1" x14ac:dyDescent="0.5">
      <c r="A134" s="98"/>
      <c r="B134" s="29"/>
      <c r="C134" s="29"/>
      <c r="D134"/>
      <c r="E134"/>
      <c r="F134"/>
      <c r="G134"/>
      <c r="H134" s="99"/>
      <c r="I134" s="99"/>
      <c r="J134" s="99"/>
      <c r="K134" s="99"/>
    </row>
    <row r="135" spans="1:13" ht="74.25" customHeight="1" x14ac:dyDescent="0.5">
      <c r="A135" s="98"/>
      <c r="B135" s="29"/>
      <c r="C135" s="29"/>
      <c r="D135" s="29"/>
      <c r="E135" s="99"/>
      <c r="F135" s="99"/>
      <c r="G135" s="99"/>
      <c r="H135" s="99"/>
      <c r="I135" s="99"/>
      <c r="J135" s="99"/>
      <c r="K135" s="99"/>
    </row>
    <row r="136" spans="1:13" ht="74.25" customHeight="1" x14ac:dyDescent="0.5">
      <c r="A136" s="98"/>
      <c r="B136" s="29"/>
      <c r="C136" s="29"/>
      <c r="D136" s="29"/>
      <c r="E136" s="99"/>
      <c r="F136" s="99"/>
      <c r="G136" s="99"/>
      <c r="H136" s="99"/>
      <c r="I136" s="99"/>
      <c r="J136" s="99"/>
      <c r="K136" s="99"/>
    </row>
    <row r="137" spans="1:13" ht="74.25" customHeight="1" x14ac:dyDescent="0.5">
      <c r="A137" s="98"/>
      <c r="B137" s="29"/>
      <c r="C137" s="29"/>
      <c r="D137" s="29"/>
      <c r="E137" s="99"/>
      <c r="F137" s="99"/>
      <c r="G137" s="99"/>
      <c r="H137" s="99"/>
      <c r="I137" s="99"/>
      <c r="J137" s="99"/>
      <c r="K137" s="99"/>
    </row>
    <row r="138" spans="1:13" ht="74.25" customHeight="1" x14ac:dyDescent="0.5">
      <c r="A138" s="98"/>
      <c r="B138" s="29"/>
      <c r="C138" s="29"/>
      <c r="D138" s="29"/>
      <c r="E138" s="99"/>
      <c r="F138" s="99"/>
      <c r="G138" s="99"/>
      <c r="H138" s="99"/>
      <c r="I138" s="99"/>
      <c r="J138" s="99"/>
      <c r="K138" s="99"/>
    </row>
    <row r="139" spans="1:13" ht="74.25" customHeight="1" x14ac:dyDescent="0.5">
      <c r="A139" s="98"/>
      <c r="B139" s="29"/>
      <c r="C139" s="29"/>
      <c r="D139" s="29"/>
      <c r="E139" s="99"/>
      <c r="F139" s="99"/>
      <c r="G139" s="99"/>
      <c r="H139" s="99"/>
      <c r="I139" s="99"/>
      <c r="J139" s="99"/>
      <c r="K139" s="99"/>
    </row>
    <row r="140" spans="1:13" ht="18.45" x14ac:dyDescent="0.5">
      <c r="A140" s="98"/>
      <c r="B140" s="29"/>
      <c r="C140" s="29"/>
      <c r="D140" s="29"/>
      <c r="E140" s="99"/>
      <c r="F140" s="99"/>
      <c r="G140" s="99"/>
      <c r="H140" s="99"/>
      <c r="I140" s="99"/>
      <c r="J140" s="99"/>
      <c r="K140" s="99"/>
    </row>
    <row r="141" spans="1:13" ht="18.45" x14ac:dyDescent="0.5">
      <c r="A141" s="98"/>
      <c r="B141" s="29"/>
      <c r="C141" s="29"/>
      <c r="D141" s="29"/>
      <c r="E141" s="99"/>
      <c r="F141" s="99"/>
      <c r="G141" s="99"/>
      <c r="H141" s="99"/>
      <c r="I141" s="99"/>
      <c r="J141" s="99"/>
      <c r="K141" s="99"/>
    </row>
    <row r="142" spans="1:13" ht="18.45" hidden="1" x14ac:dyDescent="0.5">
      <c r="A142" s="98"/>
      <c r="B142" s="29"/>
      <c r="C142" s="29"/>
      <c r="D142" s="29"/>
      <c r="E142" s="99"/>
      <c r="F142" s="99"/>
      <c r="G142" s="99"/>
      <c r="H142" s="99"/>
      <c r="I142" s="99"/>
      <c r="J142" s="99"/>
      <c r="K142" s="99"/>
    </row>
    <row r="143" spans="1:13" ht="18.45" hidden="1" x14ac:dyDescent="0.5">
      <c r="A143" s="98"/>
      <c r="B143" s="29"/>
      <c r="C143" s="29"/>
      <c r="D143" s="29"/>
      <c r="E143" s="99"/>
      <c r="F143" s="99"/>
      <c r="G143" s="99"/>
      <c r="H143" s="99"/>
      <c r="I143" s="99"/>
      <c r="J143" s="99"/>
      <c r="K143" s="99"/>
    </row>
    <row r="144" spans="1:13" ht="18.45" hidden="1" x14ac:dyDescent="0.5">
      <c r="A144" s="98"/>
      <c r="B144" s="29"/>
      <c r="C144" s="29"/>
      <c r="D144" s="29"/>
      <c r="E144" s="99"/>
      <c r="F144" s="99"/>
      <c r="G144" s="99"/>
      <c r="H144" s="99"/>
      <c r="I144" s="99"/>
      <c r="J144" s="99"/>
      <c r="K144" s="99"/>
    </row>
    <row r="145" spans="1:13" ht="24.75" customHeight="1" x14ac:dyDescent="0.5">
      <c r="A145" s="98"/>
      <c r="B145" s="100"/>
      <c r="C145" s="29"/>
      <c r="D145" s="29"/>
      <c r="E145" s="280"/>
      <c r="F145" s="280"/>
      <c r="G145" s="280"/>
      <c r="H145" s="280"/>
      <c r="I145" s="280"/>
      <c r="J145" s="280"/>
      <c r="K145" s="101"/>
    </row>
    <row r="146" spans="1:13" x14ac:dyDescent="0.4">
      <c r="A146"/>
      <c r="B146"/>
      <c r="C146"/>
      <c r="D146"/>
      <c r="E146"/>
      <c r="F146"/>
      <c r="G146"/>
      <c r="H146"/>
      <c r="I146"/>
      <c r="J146"/>
      <c r="K146"/>
      <c r="L146"/>
      <c r="M146"/>
    </row>
  </sheetData>
  <protectedRanges>
    <protectedRange sqref="M4 D46 D12 D14 F18:G19 D22 M22 M54 A59:M77 C99 F103 A100:G100 K103 D112 K49:N49 J8:M8 D44 E88:E90 A89:B90 G49:I49 D83:H86 A98:E98 F89:H89 A91:C91 G98 J91:K100 H98:I100 F90:F98 G112:J112 A132:M145 F46 J118 N81 D8:G9 C14:C19 D16:D19 B15 K12:M13 A37:M39 I83:I87 J83:K89 E28:F36 H91:I91 G90:G91 L83:L100 M83:M88 M91:M100 A79:M80 A83:C87 A81:A82 M28:N36 I28:J36 A28:C36 I104 D104" name="Datos_3"/>
    <protectedRange sqref="H106:P106 A106 C106:E106" name="Datos_1_1_4"/>
    <protectedRange sqref="F108:G108 A108:D108" name="Datos_1_1_2_2"/>
    <protectedRange sqref="A109:D109" name="Datos_1_1_3_2"/>
    <protectedRange sqref="A111:C115 A110:D110" name="Datos_1_1_5_2"/>
    <protectedRange sqref="J22" name="Datos_1_3"/>
  </protectedRanges>
  <mergeCells count="133">
    <mergeCell ref="A109:D109"/>
    <mergeCell ref="F109:H109"/>
    <mergeCell ref="A110:E110"/>
    <mergeCell ref="D112:L112"/>
    <mergeCell ref="A130:E130"/>
    <mergeCell ref="E145:J145"/>
    <mergeCell ref="C103:E103"/>
    <mergeCell ref="I103:J103"/>
    <mergeCell ref="A105:N105"/>
    <mergeCell ref="A106:N106"/>
    <mergeCell ref="A107:N107"/>
    <mergeCell ref="A108:D108"/>
    <mergeCell ref="F108:G108"/>
    <mergeCell ref="A90:D90"/>
    <mergeCell ref="A91:C91"/>
    <mergeCell ref="A99:B99"/>
    <mergeCell ref="C99:E99"/>
    <mergeCell ref="F99:I99"/>
    <mergeCell ref="A101:N101"/>
    <mergeCell ref="A74:C74"/>
    <mergeCell ref="G74:H74"/>
    <mergeCell ref="A75:C75"/>
    <mergeCell ref="A77:L77"/>
    <mergeCell ref="A78:N78"/>
    <mergeCell ref="A89:D89"/>
    <mergeCell ref="H89:J89"/>
    <mergeCell ref="A81:B81"/>
    <mergeCell ref="A82:B82"/>
    <mergeCell ref="A64:A65"/>
    <mergeCell ref="B64:B65"/>
    <mergeCell ref="A66:A71"/>
    <mergeCell ref="B67:B68"/>
    <mergeCell ref="B69:B70"/>
    <mergeCell ref="A73:C73"/>
    <mergeCell ref="A55:J55"/>
    <mergeCell ref="M55:N55"/>
    <mergeCell ref="A58:N58"/>
    <mergeCell ref="A59:N59"/>
    <mergeCell ref="A60:N60"/>
    <mergeCell ref="B62:B63"/>
    <mergeCell ref="A50:D50"/>
    <mergeCell ref="E51:K52"/>
    <mergeCell ref="A53:J54"/>
    <mergeCell ref="K53:N53"/>
    <mergeCell ref="K54:L54"/>
    <mergeCell ref="M54:N54"/>
    <mergeCell ref="A46:C47"/>
    <mergeCell ref="D46:F47"/>
    <mergeCell ref="A48:C49"/>
    <mergeCell ref="D48:F49"/>
    <mergeCell ref="G49:J49"/>
    <mergeCell ref="K49:N49"/>
    <mergeCell ref="A29:D29"/>
    <mergeCell ref="E29:I29"/>
    <mergeCell ref="J29:L29"/>
    <mergeCell ref="M29:N29"/>
    <mergeCell ref="A44:C45"/>
    <mergeCell ref="D44:F45"/>
    <mergeCell ref="G44:J44"/>
    <mergeCell ref="K44:N44"/>
    <mergeCell ref="G45:J45"/>
    <mergeCell ref="K45:N45"/>
    <mergeCell ref="A30:D30"/>
    <mergeCell ref="E30:I30"/>
    <mergeCell ref="J30:L30"/>
    <mergeCell ref="M30:N30"/>
    <mergeCell ref="A31:D31"/>
    <mergeCell ref="E31:I31"/>
    <mergeCell ref="J31:L31"/>
    <mergeCell ref="M31:N31"/>
    <mergeCell ref="A27:D27"/>
    <mergeCell ref="E27:I27"/>
    <mergeCell ref="J27:L27"/>
    <mergeCell ref="M27:N27"/>
    <mergeCell ref="A28:D28"/>
    <mergeCell ref="E28:I28"/>
    <mergeCell ref="J28:L28"/>
    <mergeCell ref="M28:N28"/>
    <mergeCell ref="B24:C24"/>
    <mergeCell ref="D24:E24"/>
    <mergeCell ref="F24:G24"/>
    <mergeCell ref="A25:N25"/>
    <mergeCell ref="A26:D26"/>
    <mergeCell ref="E26:I26"/>
    <mergeCell ref="J26:L26"/>
    <mergeCell ref="M26:N26"/>
    <mergeCell ref="A21:N21"/>
    <mergeCell ref="A22:C22"/>
    <mergeCell ref="D22:D23"/>
    <mergeCell ref="E22:F22"/>
    <mergeCell ref="G22:I23"/>
    <mergeCell ref="J22:L22"/>
    <mergeCell ref="M22:N23"/>
    <mergeCell ref="A23:C23"/>
    <mergeCell ref="E23:F23"/>
    <mergeCell ref="J23:L23"/>
    <mergeCell ref="A18:C18"/>
    <mergeCell ref="D18:G19"/>
    <mergeCell ref="I18:J18"/>
    <mergeCell ref="K18:N19"/>
    <mergeCell ref="A19:C19"/>
    <mergeCell ref="I19:J19"/>
    <mergeCell ref="A16:C16"/>
    <mergeCell ref="D16:G17"/>
    <mergeCell ref="I16:J16"/>
    <mergeCell ref="K16:N17"/>
    <mergeCell ref="A17:C17"/>
    <mergeCell ref="I17:J17"/>
    <mergeCell ref="A14:C14"/>
    <mergeCell ref="D14:G15"/>
    <mergeCell ref="I14:J14"/>
    <mergeCell ref="K14:N15"/>
    <mergeCell ref="A15:C15"/>
    <mergeCell ref="I15:J15"/>
    <mergeCell ref="A12:C12"/>
    <mergeCell ref="D12:G13"/>
    <mergeCell ref="I12:J12"/>
    <mergeCell ref="K12:N13"/>
    <mergeCell ref="A13:C13"/>
    <mergeCell ref="I13:J13"/>
    <mergeCell ref="A7:N7"/>
    <mergeCell ref="A8:C8"/>
    <mergeCell ref="D8:N8"/>
    <mergeCell ref="A9:C9"/>
    <mergeCell ref="D9:N9"/>
    <mergeCell ref="A11:N11"/>
    <mergeCell ref="E1:K2"/>
    <mergeCell ref="A3:J4"/>
    <mergeCell ref="K3:N3"/>
    <mergeCell ref="K4:L4"/>
    <mergeCell ref="M4:N4"/>
    <mergeCell ref="A5:J5"/>
    <mergeCell ref="M5:N5"/>
  </mergeCells>
  <pageMargins left="0.70866141732283472" right="0.70866141732283472" top="0" bottom="0.74803149606299213" header="0.31496062992125984" footer="0.31496062992125984"/>
  <pageSetup scale="37" orientation="portrait" r:id="rId1"/>
  <headerFooter scaleWithDoc="0"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vt:i4>
      </vt:variant>
      <vt:variant>
        <vt:lpstr>Rangos con nombre</vt:lpstr>
      </vt:variant>
      <vt:variant>
        <vt:i4>1</vt:i4>
      </vt:variant>
    </vt:vector>
  </HeadingPairs>
  <TitlesOfParts>
    <vt:vector size="3" baseType="lpstr">
      <vt:lpstr>inicio</vt:lpstr>
      <vt:lpstr>certificado</vt:lpstr>
      <vt:lpstr>certificado!Área_de_impresión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rodrigo estilla</dc:creator>
  <cp:lastModifiedBy>rodrigo estilla</cp:lastModifiedBy>
  <cp:lastPrinted>2023-05-05T15:29:33Z</cp:lastPrinted>
  <dcterms:created xsi:type="dcterms:W3CDTF">2023-04-24T19:43:56Z</dcterms:created>
  <dcterms:modified xsi:type="dcterms:W3CDTF">2023-05-10T19:36:22Z</dcterms:modified>
</cp:coreProperties>
</file>