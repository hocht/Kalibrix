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CB4866CF-F92B-449A-B9F9-E17FDF39ED8E}"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activeTab="1"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<sst xmlns="http://schemas.openxmlformats.org/spreadsheetml/2006/main" count="283" uniqueCount="234">
  <si>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</si>
  <si>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</si>
  <si>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</si>
  <si>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</si>
  <si>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</si>
  <si>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</si>
  <si>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</si>
  <si>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</si>
  <si>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</si>
  <si>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</si>
  <si>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</si>
  <si>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</si>
  <si>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</si>
  <si>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</si>
  <si>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</si>
  <si>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</si>
  <si>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</si>
  <si>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</si>
  <si>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</si>
  <si>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</si>
  <si>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</si>
  <si>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</si>
  <si>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</si>
  <si>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</si>
  <si>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</si>
  <si>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</si>
  <si>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</si>
  <si>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</si>
  <si>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</si>
  <si>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</si>
  <si>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</si>
  <si>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</si>
  <si>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</si>
  <si>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</si>
  <si>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</si>
  <si>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</si>
  <si>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</si>
  <si>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</si>
  <si>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</si>
  <si>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</si>
  <si>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</si>
  <si>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</si>
  <si>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</si>
  <si>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</si>
  <si>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</si>
  <si>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</si>
  <si>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</si>
  <si>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</si>
  <si>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</si>
  <si>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</si>
  <si>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</si>
  <si>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</si>
  <si>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</si>
  <si>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</si>
  <si>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</si>
  <si>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</si>
  <si>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</si>
  <si>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</si>
  <si>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</si>
  <si>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</si>
  <si>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</si>
  <si>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</si>
  <si>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</si>
  <si>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</si>
  <si>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</si>
  <si>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</si>
  <si>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</si>
  <si>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</si>
  <si>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</si>
  <si>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</si>
  <si>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</si>
  <si>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</si>
  <si>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</si>
  <si>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</si>
  <si>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</si>
  <si>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</si>
  <si>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</si>
  <si>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</si>
  <si>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</si>
  <si>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</si>
  <si>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</si>
  <si>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</si>
  <si>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</si>
  <si>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</si>
  <si>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</si>
  <si>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</si>
  <si>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</si>
  <si>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</si>
  <si>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</si>
  <si>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</si>
  <si>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</si>
  <si>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</si>
  <si>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</si>
  <si>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</si>
  <si>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</si>
  <si>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</si>
  <si>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</si>
  <si>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</si>
  <si>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</si>
  <si>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</si>
  <si>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</si>
  <si>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</si>
  <si>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</si>
  <si>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</si>
  <si>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</si>
  <si>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</si>
  <si>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</si>
  <si>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</si>
  <si>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</si>
  <si>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</si>
  <si>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</si>
  <si>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</si>
  <si>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</si>
  <si>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</si>
  <si>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</si>
  <si>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</si>
  <si>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</si>
  <si>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</si>
  <si>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</si>
  <si>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</si>
  <si>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</si>
  <si>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</si>
  <si>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</si>
  <si>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</si>
  <si>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</si>
  <si>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</si>
  <si>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</si>
  <si>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</si>
  <si>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</si>
  <si>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</si>
  <si>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</si>
  <si>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</si>
  <si>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</si>
  <si>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</si>
  <si>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</si>
  <si>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</si>
  <si>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</si>
  <si>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</si>
  <si>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</si>
  <si>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</si>
  <si>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</si>
  <si>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</si>
  <si>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</si>
  <si>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</si>
  <si>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</si>
  <si>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</si>
  <si>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</si>
  <si>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</si>
  <si>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</si>
  <si>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</si>
  <si>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</si>
  <si>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</si>
  <si>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</si>
  <si>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</si>
  <si>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</si>
  <si>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</si>
  <si>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</si>
  <si>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</si>
  <si>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</si>
  <si>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</si>
  <si>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</si>
  <si>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</si>
  <si>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</si>
  <si>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</si>
  <si>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</si>
  <si>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</si>
  <si>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</si>
  <si>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</si>
  <si>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</si>
  <si>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</si>
  <si>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</si>
  <si>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</si>
  <si>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</si>
  <si>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</si>
  <si>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</si>
  <si>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</si>
  <si>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</si>
  <si>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</si>
  <si>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</si>
  <si>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</si>
  <si>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</si>
  <si>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</si>
  <si>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</si>
  <si>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</si>
  <si>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</si>
  <si>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</si>
  <si>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</si>
  <si>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</si>
  <si>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</si>
  <si>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</si>
  <si>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</si>
  <si>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</si>
  <si>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</si>
  <si>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</si>
  <si>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</si>
  <si>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</si>
  <si>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</si>
  <si>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</si>
  <si>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</si>
  <si>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</si>
  <si>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</si>
  <si>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t>µm(in)</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</si>
  <si>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</si>
  <si>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</si>
  <si>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</si>
  <si>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</si>
  <si>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 xml:space="preserve">N/A </t>
  </si>
  <si>
    <t>TCM2303-0193</t>
  </si>
  <si>
    <t>MICROMETRO DE EXTERIORES  TOPE PLANO</t>
  </si>
  <si>
    <t>MITUTOYO</t>
  </si>
  <si>
    <t>293-181-30</t>
  </si>
  <si>
    <t>GM01/615</t>
  </si>
  <si>
    <t>0.00127 mm(0.00005 in)</t>
  </si>
  <si>
    <t>25.4000 - 50.8000 mm (1.000 - 2.000 in)</t>
  </si>
  <si>
    <t>25.4000_x000D_
(1.00000)</t>
  </si>
  <si>
    <t>28.0670_x000D_
(1.10500)</t>
  </si>
  <si>
    <t>30.7340_x000D_
(1.21000)</t>
  </si>
  <si>
    <t>33.4010_x000D_
(1.31500)</t>
  </si>
  <si>
    <t>36.0680_x000D_
(1.42000)</t>
  </si>
  <si>
    <t>38.1000_x000D_
(1.50000)</t>
  </si>
  <si>
    <t>40.7670_x000D_
(1.60500)</t>
  </si>
  <si>
    <t>43.4340_x000D_
(1.71000)</t>
  </si>
  <si>
    <t>46.1010_x000D_
(1.81500)</t>
  </si>
  <si>
    <t>48.7680_x000D_
(1.92000)</t>
  </si>
  <si>
    <t>50.8000_x000D_
(2.00000)</t>
  </si>
  <si>
    <t>1 - 2 in</t>
  </si>
  <si>
    <t>P7.2.1.5</t>
  </si>
  <si>
    <t>Comparacion directa</t>
  </si>
  <si>
    <t>NMX-CH-099-IMNC-2005</t>
  </si>
  <si>
    <t xml:space="preserve">± 2.6 μm </t>
  </si>
  <si>
    <t>0.00 ± 0 °C</t>
  </si>
  <si>
    <t>0.00 ± 0 % HR</t>
  </si>
  <si>
    <t>ITP Ingeniería y Fabricación, S.A de C.V.</t>
  </si>
  <si>
    <t xml:space="preserve">Carretera San Luis Potosi-Matehuala Km. 11.1 - S/N Soledad de Graciano Sánchez 78439 San Luis Potosí San Luis Potosí México Carretera Estatal 200 Tequisquiapan-Colón km 22 + 547 - - - 76278 Querétaro Querétaro México Carretera Estatal 200 Tequisquiapan-Colón km 22 + 547 - - - 76278 Querétaro Querétaro México Carretera Estatal 200 km. 22 B 547 Parque Áeroespacial Querétaro 76278 Colón Querétaro México Carretera Estatal 200 km. 22 B 547 Parque Áeroespacial Querétaro 76278 Colón Querétaro México Carretera Estatal 200 km. 22 B 547 Parque Áeroespacial Querétaro 76278 Colón Querétaro México Josefa Ortiz de Dominguez - 100 Santiago Tlacotepec 50270 Toluca Edo de Mexico México Acceso IV - 6 Zona Industrial Benito Juárez 76120 Querétaro Querétaro México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</si>
</sst>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2" formatCode="mmmm\-yyyy"/>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8" fillId="0" borderId="0" xfId="0" applyFont="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0" xfId="1" applyNumberFormat="1" applyFont="1" applyAlignment="1">
      <alignment horizontal="left"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21" fillId="0" borderId="0" xfId="0" applyFont="1" applyFill="1" applyBorder="1" applyAlignment="1">
      <alignment horizontal="center" vertical="center"/>
    </xf>
    <xf numFmtId="172" fontId="21" fillId="0" borderId="0" xfId="0" applyNumberFormat="1" applyFont="1" applyFill="1" applyBorder="1" applyAlignment="1">
      <alignment horizontal="center" vertical="center"/>
    </xf>
    <xf numFmtId="0" fontId="0" fillId="0" borderId="0" xfId="0" applyBorder="1"/>
    <xf numFmtId="0" fontId="21" fillId="0" borderId="0" xfId="0" applyFont="1" applyBorder="1" applyAlignment="1">
      <alignment horizontal="center"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10886</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440871</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97971</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408214</xdr:colOff>
          <xdr:row>13</xdr:row>
          <xdr:rowOff>87086</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429986</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429986</xdr:colOff>
          <xdr:row>17</xdr:row>
          <xdr:rowOff>217714</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zoomScale="85" zoomScaleNormal="85" workbookViewId="0"/>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v>29</v>
      </c>
      <c r="B1" s="263" t="s">
        <v>198</v>
      </c>
      <c r="C1" s="263"/>
    </row>
    <row r="2" spans="1:13" ht="18.899999999999999" thickBot="1" x14ac:dyDescent="0.55000000000000004">
      <c r="A2" s="242" t="s">
        <v>207</v>
      </c>
      <c r="B2" s="263" t="s">
        <v>199</v>
      </c>
      <c r="C2" s="263"/>
      <c r="E2" s="252" t="s">
        <v>76</v>
      </c>
      <c r="F2" s="253"/>
      <c r="G2" s="254"/>
    </row>
    <row r="3" spans="1:13" ht="18.899999999999999" thickBot="1" x14ac:dyDescent="0.55000000000000004">
      <c r="A3" s="242"/>
      <c r="B3" s="263" t="s">
        <v>200</v>
      </c>
      <c r="C3" s="263"/>
      <c r="E3" s="246" t="s">
        <v>77</v>
      </c>
      <c r="F3" s="246"/>
      <c r="G3" s="93"/>
    </row>
    <row r="4" spans="1:13" ht="18.45" x14ac:dyDescent="0.5">
      <c r="E4" s="262" t="s">
        <v>78</v>
      </c>
      <c r="F4" s="262"/>
      <c r="G4" s="251"/>
    </row>
    <row r="5" spans="1:13" ht="18.45" x14ac:dyDescent="0.5">
      <c r="A5" s="260" t="s">
        <v>81</v>
      </c>
      <c r="B5" s="267"/>
      <c r="C5" s="267"/>
      <c r="E5" s="262" t="s">
        <v>79</v>
      </c>
      <c r="F5" s="262"/>
      <c r="G5" s="93"/>
    </row>
    <row r="6" spans="1:13" ht="18.45" x14ac:dyDescent="0.5">
      <c r="A6" s="260" t="s">
        <v>82</v>
      </c>
      <c r="B6" s="268"/>
      <c r="C6" s="268"/>
      <c r="E6" s="262" t="s">
        <v>80</v>
      </c>
      <c r="F6" s="262"/>
      <c r="G6" s="93"/>
      <c r="I6" s="106"/>
    </row>
    <row r="7" spans="1:13" ht="19.75" x14ac:dyDescent="0.4">
      <c r="C7" s="109"/>
      <c r="D7" s="109"/>
      <c r="E7" s="91"/>
      <c r="I7" s="92"/>
    </row>
    <row r="8" spans="1:13" ht="18.45" customHeight="1" x14ac:dyDescent="0.4">
      <c r="C8" s="116"/>
      <c r="D8" s="117"/>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83</v>
      </c>
      <c r="G13" s="261" t="s">
        <v>90</v>
      </c>
      <c r="H13" s="245" t="s">
        <v>225</v>
      </c>
      <c r="I13" s="96"/>
      <c r="K13" s="111"/>
    </row>
    <row r="14" spans="1:13" ht="18.45" x14ac:dyDescent="0.5">
      <c r="B14" s="243">
        <v>1</v>
      </c>
      <c r="C14" s="97"/>
      <c r="D14" s="97"/>
      <c r="E14" s="97"/>
      <c r="F14" s="244">
        <v>0</v>
      </c>
      <c r="G14" s="96"/>
      <c r="H14" s="96"/>
      <c r="I14" s="96"/>
      <c r="M14" s="85"/>
    </row>
    <row r="15" spans="1:13" ht="18.45" x14ac:dyDescent="0.5">
      <c r="B15" s="243">
        <v>1.105</v>
      </c>
      <c r="C15" s="97"/>
      <c r="D15" s="97"/>
      <c r="E15" s="97"/>
      <c r="F15" s="244">
        <v>0</v>
      </c>
      <c r="G15" s="96"/>
      <c r="H15" s="96"/>
      <c r="I15" s="96"/>
      <c r="M15" s="85"/>
    </row>
    <row r="16" spans="1:13" ht="18.45" x14ac:dyDescent="0.5">
      <c r="B16" s="243">
        <v>1.21</v>
      </c>
      <c r="C16" s="97"/>
      <c r="D16" s="97"/>
      <c r="E16" s="97"/>
      <c r="F16" s="244">
        <v>0</v>
      </c>
      <c r="K16" s="95"/>
      <c r="M16" s="85"/>
    </row>
    <row r="17" spans="2:13" ht="18.45" x14ac:dyDescent="0.5">
      <c r="B17" s="243">
        <v>1.3149999999999999</v>
      </c>
      <c r="C17" s="97"/>
      <c r="D17" s="97"/>
      <c r="E17" s="97"/>
      <c r="F17" s="244">
        <v>0</v>
      </c>
      <c r="K17" s="91"/>
      <c r="M17" s="85"/>
    </row>
    <row r="18" spans="2:13" ht="18.45" x14ac:dyDescent="0.5">
      <c r="B18" s="243">
        <v>1.42</v>
      </c>
      <c r="C18" s="97"/>
      <c r="D18" s="97"/>
      <c r="E18" s="97"/>
      <c r="F18" s="244">
        <v>0</v>
      </c>
      <c r="K18" s="91"/>
      <c r="M18" s="85"/>
    </row>
    <row r="19" spans="2:13" ht="18.45" x14ac:dyDescent="0.5">
      <c r="B19" s="243">
        <v>1.5</v>
      </c>
      <c r="C19" s="97"/>
      <c r="D19" s="97"/>
      <c r="E19" s="97"/>
      <c r="F19" s="244">
        <v>0</v>
      </c>
      <c r="K19" s="85"/>
      <c r="M19" s="85"/>
    </row>
    <row r="20" spans="2:13" ht="18.45" x14ac:dyDescent="0.5">
      <c r="B20" s="243">
        <v>1.605</v>
      </c>
      <c r="C20" s="114"/>
      <c r="D20" s="97"/>
      <c r="E20" s="97"/>
      <c r="F20" s="244">
        <v>0</v>
      </c>
      <c r="G20" s="96"/>
      <c r="H20" s="96"/>
      <c r="I20" s="96"/>
      <c r="K20" s="85"/>
      <c r="M20" s="85"/>
    </row>
    <row r="21" spans="2:13" ht="18.45" x14ac:dyDescent="0.5">
      <c r="B21" s="243">
        <v>1.71</v>
      </c>
      <c r="C21" s="97"/>
      <c r="D21" s="97"/>
      <c r="E21" s="97"/>
      <c r="F21" s="244">
        <v>0</v>
      </c>
      <c r="G21" s="96"/>
      <c r="H21" s="96"/>
      <c r="I21" s="96"/>
    </row>
    <row r="22" spans="2:13" ht="18.45" x14ac:dyDescent="0.5">
      <c r="B22" s="243">
        <v>1.8149999999999999</v>
      </c>
      <c r="C22" s="97"/>
      <c r="D22" s="97"/>
      <c r="E22" s="97"/>
      <c r="F22" s="244">
        <v>0</v>
      </c>
      <c r="G22" s="96"/>
      <c r="H22" s="96"/>
      <c r="I22" s="115"/>
      <c r="J22" s="110"/>
    </row>
    <row r="23" spans="2:13" ht="18.45" x14ac:dyDescent="0.5">
      <c r="B23" s="243">
        <v>1.92</v>
      </c>
      <c r="C23" s="97"/>
      <c r="D23" s="97"/>
      <c r="E23" s="97"/>
      <c r="F23" s="244">
        <v>0</v>
      </c>
      <c r="G23" s="96"/>
      <c r="H23" s="96"/>
      <c r="I23" s="96"/>
    </row>
    <row r="24" spans="2:13" ht="18.45" x14ac:dyDescent="0.5">
      <c r="B24" s="243">
        <v>2</v>
      </c>
      <c r="C24" s="97"/>
      <c r="D24" s="97"/>
      <c r="E24" s="97"/>
      <c r="F24" s="244"/>
      <c r="G24" s="96"/>
      <c r="H24" s="96"/>
      <c r="I24" s="96"/>
      <c r="M24" s="85"/>
    </row>
    <row r="25" spans="2:13" ht="18.45" x14ac:dyDescent="0.5">
      <c r="B25" s="96"/>
      <c r="C25" s="98"/>
      <c r="D25" s="96"/>
      <c r="G25" s="96"/>
      <c r="H25" s="96"/>
      <c r="I25" s="96"/>
    </row>
    <row r="26" spans="2:13" x14ac:dyDescent="0.4">
      <c r="B26" s="264" t="s">
        <v>84</v>
      </c>
      <c r="C26" s="265"/>
      <c r="D26" s="265"/>
      <c r="E26" s="266"/>
      <c r="F26" s="99"/>
      <c r="G26" s="264" t="s">
        <v>85</v>
      </c>
      <c r="H26" s="265"/>
      <c r="I26" s="265"/>
      <c r="J26" s="265"/>
      <c r="K26" s="266"/>
    </row>
    <row r="27" spans="2:13" x14ac:dyDescent="0.4">
      <c r="B27" s="259" t="s">
        <v>86</v>
      </c>
      <c r="C27" s="101" t="s">
        <v>197</v>
      </c>
      <c r="D27" s="100" t="s">
        <v>87</v>
      </c>
      <c r="E27" s="101" t="s">
        <v>197</v>
      </c>
      <c r="F27" s="99"/>
      <c r="G27" s="259" t="s">
        <v>88</v>
      </c>
      <c r="H27" s="101"/>
      <c r="I27" s="101"/>
      <c r="J27" s="101"/>
      <c r="K27" s="101"/>
    </row>
    <row r="29" spans="2:13" x14ac:dyDescent="0.4">
      <c r="E29" s="102"/>
      <c r="G29" s="102">
        <v>0</v>
      </c>
    </row>
    <row r="31" spans="2:13" x14ac:dyDescent="0.4">
      <c r="B31" s="257" t="s">
        <v>89</v>
      </c>
      <c r="C31" s="258"/>
      <c r="D31" s="103"/>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90" zoomScale="55" zoomScaleNormal="40" zoomScaleSheetLayoutView="55" zoomScalePageLayoutView="40" workbookViewId="0">
      <selection activeCell="H111" sqref="H111"/>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408" t="s">
        <v>0</v>
      </c>
      <c r="F1" s="408"/>
      <c r="G1" s="408"/>
      <c r="H1" s="408"/>
      <c r="I1" s="408"/>
      <c r="J1" s="408"/>
      <c r="K1" s="408"/>
      <c r="L1"/>
      <c r="M1"/>
    </row>
    <row r="2" spans="1:14" ht="90" customHeight="1" thickBot="1" x14ac:dyDescent="0.45">
      <c r="A2" s="3"/>
      <c r="B2" s="3"/>
      <c r="C2" s="3"/>
      <c r="D2" s="4"/>
      <c r="E2" s="409"/>
      <c r="F2" s="409"/>
      <c r="G2" s="409"/>
      <c r="H2" s="409"/>
      <c r="I2" s="409"/>
      <c r="J2" s="409"/>
      <c r="K2" s="409"/>
      <c r="L2" s="5"/>
      <c r="M2" s="5"/>
      <c r="N2" s="6"/>
    </row>
    <row r="3" spans="1:14" ht="60.75" customHeight="1" thickTop="1" thickBot="1" x14ac:dyDescent="0.45">
      <c r="A3" s="320" t="s">
        <v>196</v>
      </c>
      <c r="B3" s="320"/>
      <c r="C3" s="320"/>
      <c r="D3" s="320"/>
      <c r="E3" s="320"/>
      <c r="F3" s="320"/>
      <c r="G3" s="320"/>
      <c r="H3" s="320"/>
      <c r="I3" s="320"/>
      <c r="J3" s="320"/>
      <c r="K3" s="321" t="s">
        <v>2</v>
      </c>
      <c r="L3" s="321"/>
      <c r="M3" s="321"/>
      <c r="N3" s="321"/>
    </row>
    <row r="4" spans="1:14" ht="38.25" customHeight="1" thickBot="1" x14ac:dyDescent="0.45">
      <c r="A4" s="320"/>
      <c r="B4" s="320"/>
      <c r="C4" s="320"/>
      <c r="D4" s="320"/>
      <c r="E4" s="320"/>
      <c r="F4" s="320"/>
      <c r="G4" s="320"/>
      <c r="H4" s="320"/>
      <c r="I4" s="320"/>
      <c r="J4" s="320"/>
      <c r="K4" s="410" t="s">
        <v>3</v>
      </c>
      <c r="L4" s="411"/>
      <c r="M4" s="412" t="s">
        <v>207</v>
      </c>
      <c r="N4" s="413"/>
    </row>
    <row r="5" spans="1:14" ht="37.5" customHeight="1" thickBot="1" x14ac:dyDescent="0.45">
      <c r="A5" s="308" t="s">
        <v>4</v>
      </c>
      <c r="B5" s="308"/>
      <c r="C5" s="308"/>
      <c r="D5" s="308"/>
      <c r="E5" s="308"/>
      <c r="F5" s="308"/>
      <c r="G5" s="308"/>
      <c r="H5" s="308"/>
      <c r="I5" s="308"/>
      <c r="J5" s="308"/>
      <c r="K5" s="7"/>
      <c r="L5" s="7"/>
      <c r="M5" s="414" t="s">
        <v>5</v>
      </c>
      <c r="N5" s="41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7" t="s">
        <v>6</v>
      </c>
      <c r="B7" s="277"/>
      <c r="C7" s="277"/>
      <c r="D7" s="277"/>
      <c r="E7" s="277"/>
      <c r="F7" s="277"/>
      <c r="G7" s="277"/>
      <c r="H7" s="277"/>
      <c r="I7" s="277"/>
      <c r="J7" s="277"/>
      <c r="K7" s="277"/>
      <c r="L7" s="277"/>
      <c r="M7" s="277"/>
      <c r="N7" s="277"/>
    </row>
    <row r="8" spans="1:14" s="13" customFormat="1" ht="57" customHeight="1" thickBot="1" x14ac:dyDescent="0.45">
      <c r="A8" s="396" t="s">
        <v>7</v>
      </c>
      <c r="B8" s="397"/>
      <c r="C8" s="398"/>
      <c r="D8" s="399" t="s">
        <v>232</v>
      </c>
      <c r="E8" s="400"/>
      <c r="F8" s="400"/>
      <c r="G8" s="400"/>
      <c r="H8" s="400"/>
      <c r="I8" s="400"/>
      <c r="J8" s="400"/>
      <c r="K8" s="400"/>
      <c r="L8" s="400"/>
      <c r="M8" s="400"/>
      <c r="N8" s="401"/>
    </row>
    <row r="9" spans="1:14" ht="57" customHeight="1" thickBot="1" x14ac:dyDescent="0.45">
      <c r="A9" s="402" t="s">
        <v>8</v>
      </c>
      <c r="B9" s="403"/>
      <c r="C9" s="404"/>
      <c r="D9" s="405" t="s">
        <v>233</v>
      </c>
      <c r="E9" s="406"/>
      <c r="F9" s="406"/>
      <c r="G9" s="406"/>
      <c r="H9" s="406"/>
      <c r="I9" s="406"/>
      <c r="J9" s="406"/>
      <c r="K9" s="406"/>
      <c r="L9" s="406"/>
      <c r="M9" s="406"/>
      <c r="N9" s="407"/>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6" t="s">
        <v>9</v>
      </c>
      <c r="B11" s="356"/>
      <c r="C11" s="356"/>
      <c r="D11" s="356"/>
      <c r="E11" s="356"/>
      <c r="F11" s="356"/>
      <c r="G11" s="356"/>
      <c r="H11" s="356"/>
      <c r="I11" s="356"/>
      <c r="J11" s="356"/>
      <c r="K11" s="356"/>
      <c r="L11" s="356"/>
      <c r="M11" s="356"/>
      <c r="N11" s="356"/>
    </row>
    <row r="12" spans="1:14" ht="23.15" customHeight="1" x14ac:dyDescent="0.45">
      <c r="A12" s="384" t="s">
        <v>10</v>
      </c>
      <c r="B12" s="385"/>
      <c r="C12" s="385"/>
      <c r="D12" s="420" t="s">
        <v>208</v>
      </c>
      <c r="E12" s="421"/>
      <c r="F12" s="421"/>
      <c r="G12" s="422"/>
      <c r="I12" s="392" t="s">
        <v>11</v>
      </c>
      <c r="J12" s="393"/>
      <c r="K12" s="376" t="s">
        <v>211</v>
      </c>
      <c r="L12" s="376"/>
      <c r="M12" s="376"/>
      <c r="N12" s="377"/>
    </row>
    <row r="13" spans="1:14" ht="23.15" customHeight="1" thickBot="1" x14ac:dyDescent="0.5">
      <c r="A13" s="380" t="s">
        <v>12</v>
      </c>
      <c r="B13" s="381"/>
      <c r="C13" s="381"/>
      <c r="D13" s="339"/>
      <c r="E13" s="340"/>
      <c r="F13" s="340"/>
      <c r="G13" s="341"/>
      <c r="I13" s="382" t="s">
        <v>13</v>
      </c>
      <c r="J13" s="383"/>
      <c r="K13" s="378"/>
      <c r="L13" s="378"/>
      <c r="M13" s="378"/>
      <c r="N13" s="379"/>
    </row>
    <row r="14" spans="1:14" ht="23.15" customHeight="1" x14ac:dyDescent="0.45">
      <c r="A14" s="384" t="s">
        <v>14</v>
      </c>
      <c r="B14" s="385"/>
      <c r="C14" s="385"/>
      <c r="D14" s="386" t="s">
        <v>209</v>
      </c>
      <c r="E14" s="387"/>
      <c r="F14" s="387"/>
      <c r="G14" s="388"/>
      <c r="I14" s="392" t="s">
        <v>15</v>
      </c>
      <c r="J14" s="416"/>
      <c r="K14" s="417" t="s">
        <v>197</v>
      </c>
      <c r="L14" s="376"/>
      <c r="M14" s="376"/>
      <c r="N14" s="377"/>
    </row>
    <row r="15" spans="1:14" ht="23.15" customHeight="1" thickBot="1" x14ac:dyDescent="0.5">
      <c r="A15" s="380" t="s">
        <v>16</v>
      </c>
      <c r="B15" s="381"/>
      <c r="C15" s="381"/>
      <c r="D15" s="389"/>
      <c r="E15" s="390"/>
      <c r="F15" s="390"/>
      <c r="G15" s="391"/>
      <c r="I15" s="382" t="s">
        <v>17</v>
      </c>
      <c r="J15" s="419"/>
      <c r="K15" s="418"/>
      <c r="L15" s="378"/>
      <c r="M15" s="378"/>
      <c r="N15" s="379"/>
    </row>
    <row r="16" spans="1:14" ht="23.15" customHeight="1" x14ac:dyDescent="0.45">
      <c r="A16" s="384" t="s">
        <v>18</v>
      </c>
      <c r="B16" s="385"/>
      <c r="C16" s="385"/>
      <c r="D16" s="386" t="s">
        <v>210</v>
      </c>
      <c r="E16" s="387"/>
      <c r="F16" s="387"/>
      <c r="G16" s="388"/>
      <c r="I16" s="392" t="s">
        <v>19</v>
      </c>
      <c r="J16" s="393"/>
      <c r="K16" s="394" t="s">
        <v>212</v>
      </c>
      <c r="L16" s="376"/>
      <c r="M16" s="376"/>
      <c r="N16" s="377"/>
    </row>
    <row r="17" spans="1:14" ht="23.15" customHeight="1" thickBot="1" x14ac:dyDescent="0.5">
      <c r="A17" s="380" t="s">
        <v>20</v>
      </c>
      <c r="B17" s="381"/>
      <c r="C17" s="381"/>
      <c r="D17" s="389"/>
      <c r="E17" s="390"/>
      <c r="F17" s="390"/>
      <c r="G17" s="391"/>
      <c r="I17" s="382" t="s">
        <v>21</v>
      </c>
      <c r="J17" s="383"/>
      <c r="K17" s="378"/>
      <c r="L17" s="378"/>
      <c r="M17" s="378"/>
      <c r="N17" s="379"/>
    </row>
    <row r="18" spans="1:14" ht="23.15" customHeight="1" x14ac:dyDescent="0.45">
      <c r="A18" s="384" t="s">
        <v>22</v>
      </c>
      <c r="B18" s="385"/>
      <c r="C18" s="385"/>
      <c r="D18" s="386">
        <v>66585981</v>
      </c>
      <c r="E18" s="387"/>
      <c r="F18" s="387"/>
      <c r="G18" s="388"/>
      <c r="I18" s="392" t="s">
        <v>23</v>
      </c>
      <c r="J18" s="393"/>
      <c r="K18" s="394" t="s">
        <v>213</v>
      </c>
      <c r="L18" s="376"/>
      <c r="M18" s="376"/>
      <c r="N18" s="377"/>
    </row>
    <row r="19" spans="1:14" ht="23.15" customHeight="1" thickBot="1" x14ac:dyDescent="0.5">
      <c r="A19" s="380" t="s">
        <v>24</v>
      </c>
      <c r="B19" s="381"/>
      <c r="C19" s="381"/>
      <c r="D19" s="389"/>
      <c r="E19" s="390"/>
      <c r="F19" s="390"/>
      <c r="G19" s="391"/>
      <c r="I19" s="382" t="s">
        <v>25</v>
      </c>
      <c r="J19" s="383"/>
      <c r="K19" s="378"/>
      <c r="L19" s="378"/>
      <c r="M19" s="378"/>
      <c r="N19" s="379"/>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3" t="s">
        <v>26</v>
      </c>
      <c r="B21" s="363"/>
      <c r="C21" s="363"/>
      <c r="D21" s="363"/>
      <c r="E21" s="363"/>
      <c r="F21" s="363"/>
      <c r="G21" s="363"/>
      <c r="H21" s="363"/>
      <c r="I21" s="363"/>
      <c r="J21" s="363"/>
      <c r="K21" s="363"/>
      <c r="L21" s="363"/>
      <c r="M21" s="363"/>
      <c r="N21" s="363"/>
    </row>
    <row r="22" spans="1:14" ht="38.25" customHeight="1" x14ac:dyDescent="0.5">
      <c r="A22" s="364" t="s">
        <v>27</v>
      </c>
      <c r="B22" s="365"/>
      <c r="C22" s="365"/>
      <c r="D22" s="366" t="s">
        <v>226</v>
      </c>
      <c r="E22" s="368" t="s">
        <v>91</v>
      </c>
      <c r="F22" s="365"/>
      <c r="G22" s="366" t="s">
        <v>227</v>
      </c>
      <c r="H22" s="366"/>
      <c r="I22" s="366"/>
      <c r="J22" s="368" t="s">
        <v>28</v>
      </c>
      <c r="K22" s="365"/>
      <c r="L22" s="365"/>
      <c r="M22" s="369" t="s">
        <v>228</v>
      </c>
      <c r="N22" s="370"/>
    </row>
    <row r="23" spans="1:14" ht="38.25" customHeight="1" thickBot="1" x14ac:dyDescent="0.45">
      <c r="A23" s="373" t="s">
        <v>29</v>
      </c>
      <c r="B23" s="374"/>
      <c r="C23" s="374"/>
      <c r="D23" s="367"/>
      <c r="E23" s="375" t="s">
        <v>92</v>
      </c>
      <c r="F23" s="374"/>
      <c r="G23" s="367"/>
      <c r="H23" s="367"/>
      <c r="I23" s="367"/>
      <c r="J23" s="375" t="s">
        <v>30</v>
      </c>
      <c r="K23" s="374"/>
      <c r="L23" s="374"/>
      <c r="M23" s="371"/>
      <c r="N23" s="372"/>
    </row>
    <row r="24" spans="1:14" ht="45" customHeight="1" thickBot="1" x14ac:dyDescent="0.45">
      <c r="A24" s="17"/>
      <c r="B24" s="354"/>
      <c r="C24" s="354"/>
      <c r="D24" s="354"/>
      <c r="E24" s="354"/>
      <c r="F24" s="355"/>
      <c r="G24" s="355"/>
      <c r="H24" s="5"/>
      <c r="I24" s="5"/>
      <c r="J24" s="5"/>
      <c r="K24" s="5"/>
      <c r="L24" s="5"/>
      <c r="M24" s="5"/>
      <c r="N24" s="6"/>
    </row>
    <row r="25" spans="1:14" ht="60" customHeight="1" thickTop="1" x14ac:dyDescent="0.4">
      <c r="A25" s="356" t="s">
        <v>31</v>
      </c>
      <c r="B25" s="356"/>
      <c r="C25" s="356"/>
      <c r="D25" s="356"/>
      <c r="E25" s="356"/>
      <c r="F25" s="356"/>
      <c r="G25" s="356"/>
      <c r="H25" s="356"/>
      <c r="I25" s="356"/>
      <c r="J25" s="356"/>
      <c r="K25" s="356"/>
      <c r="L25" s="356"/>
      <c r="M25" s="356"/>
      <c r="N25" s="356"/>
    </row>
    <row r="26" spans="1:14" ht="29.25" customHeight="1" x14ac:dyDescent="0.5">
      <c r="A26" s="357" t="s">
        <v>32</v>
      </c>
      <c r="B26" s="358"/>
      <c r="C26" s="358"/>
      <c r="D26" s="359"/>
      <c r="E26" s="360" t="s">
        <v>33</v>
      </c>
      <c r="F26" s="358"/>
      <c r="G26" s="358"/>
      <c r="H26" s="358"/>
      <c r="I26" s="358"/>
      <c r="J26" s="357" t="s">
        <v>34</v>
      </c>
      <c r="K26" s="358"/>
      <c r="L26" s="361"/>
      <c r="M26" s="358" t="s">
        <v>35</v>
      </c>
      <c r="N26" s="361"/>
    </row>
    <row r="27" spans="1:14" ht="23.25" customHeight="1" x14ac:dyDescent="0.4">
      <c r="A27" s="362" t="s">
        <v>36</v>
      </c>
      <c r="B27" s="362"/>
      <c r="C27" s="362"/>
      <c r="D27" s="362"/>
      <c r="E27" s="362" t="s">
        <v>37</v>
      </c>
      <c r="F27" s="362"/>
      <c r="G27" s="362"/>
      <c r="H27" s="362"/>
      <c r="I27" s="362"/>
      <c r="J27" s="362" t="s">
        <v>38</v>
      </c>
      <c r="K27" s="362"/>
      <c r="L27" s="362"/>
      <c r="M27" s="362" t="s">
        <v>39</v>
      </c>
      <c r="N27" s="362"/>
    </row>
    <row r="28" spans="1:14" s="439" customFormat="1" ht="71.25" customHeight="1" x14ac:dyDescent="0.4">
      <c r="A28" s="437"/>
      <c r="B28" s="437"/>
      <c r="C28" s="437"/>
      <c r="D28" s="437"/>
      <c r="E28" s="437"/>
      <c r="F28" s="437"/>
      <c r="G28" s="437"/>
      <c r="H28" s="437"/>
      <c r="I28" s="437"/>
      <c r="J28" s="437"/>
      <c r="K28" s="437"/>
      <c r="L28" s="437"/>
      <c r="M28" s="438"/>
      <c r="N28" s="437"/>
    </row>
    <row r="29" spans="1:14" s="439" customFormat="1" ht="71.25" customHeight="1" x14ac:dyDescent="0.4">
      <c r="A29" s="437"/>
      <c r="B29" s="437"/>
      <c r="C29" s="437"/>
      <c r="D29" s="437"/>
      <c r="E29" s="437"/>
      <c r="F29" s="437"/>
      <c r="G29" s="437"/>
      <c r="H29" s="437"/>
      <c r="I29" s="437"/>
      <c r="J29" s="437"/>
      <c r="K29" s="437"/>
      <c r="L29" s="437"/>
      <c r="M29" s="438"/>
      <c r="N29" s="437"/>
    </row>
    <row r="30" spans="1:14" s="439" customFormat="1" ht="71.25" customHeight="1" x14ac:dyDescent="0.4">
      <c r="A30" s="440"/>
      <c r="B30" s="440"/>
      <c r="C30" s="440"/>
      <c r="D30" s="440"/>
      <c r="E30" s="440"/>
      <c r="F30" s="440"/>
      <c r="G30" s="440"/>
      <c r="H30" s="440"/>
      <c r="I30" s="440"/>
      <c r="J30" s="440"/>
      <c r="K30" s="440"/>
      <c r="L30" s="440"/>
      <c r="M30" s="440"/>
      <c r="N30" s="440"/>
    </row>
    <row r="31" spans="1:14" s="439" customFormat="1" ht="71.25" customHeight="1" x14ac:dyDescent="0.4">
      <c r="A31" s="440"/>
      <c r="B31" s="440"/>
      <c r="C31" s="440"/>
      <c r="D31" s="440"/>
      <c r="E31" s="440"/>
      <c r="F31" s="440"/>
      <c r="G31" s="440"/>
      <c r="H31" s="440"/>
      <c r="I31" s="440"/>
      <c r="J31" s="440"/>
      <c r="K31" s="440"/>
      <c r="L31" s="440"/>
      <c r="M31" s="440"/>
      <c r="N31" s="440"/>
    </row>
    <row r="32" spans="1:14" ht="9.4499999999999993" customHeight="1" x14ac:dyDescent="0.4">
      <c r="A32" s="18"/>
      <c r="B32" s="18"/>
      <c r="C32" s="18"/>
      <c r="D32" s="18"/>
      <c r="E32" s="18"/>
      <c r="F32" s="18"/>
      <c r="G32" s="18"/>
      <c r="H32" s="18"/>
      <c r="I32" s="18"/>
      <c r="J32" s="18"/>
      <c r="K32" s="18"/>
      <c r="L32" s="18"/>
      <c r="M32" s="118"/>
      <c r="N32" s="118"/>
    </row>
    <row r="33" spans="1:14" ht="77.599999999999994" customHeight="1" x14ac:dyDescent="0.4">
      <c r="A33" s="18"/>
      <c r="B33" s="18"/>
      <c r="C33" s="18"/>
      <c r="D33" s="18"/>
      <c r="E33" s="18"/>
      <c r="F33" s="18"/>
      <c r="G33" s="18"/>
      <c r="H33" s="18"/>
      <c r="I33" s="18"/>
      <c r="J33" s="18"/>
      <c r="K33" s="18"/>
      <c r="L33" s="18"/>
      <c r="M33" s="118"/>
      <c r="N33" s="118"/>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6" t="s">
        <v>40</v>
      </c>
      <c r="B44" s="327"/>
      <c r="C44" s="327"/>
      <c r="D44" s="330">
        <v>44988</v>
      </c>
      <c r="E44" s="331"/>
      <c r="F44" s="332"/>
      <c r="G44" s="348" t="s">
        <v>41</v>
      </c>
      <c r="H44" s="349"/>
      <c r="I44" s="349"/>
      <c r="J44" s="350"/>
      <c r="K44" s="349" t="s">
        <v>42</v>
      </c>
      <c r="L44" s="349"/>
      <c r="M44" s="349"/>
      <c r="N44" s="350"/>
    </row>
    <row r="45" spans="1:14" s="20" customFormat="1" ht="30" customHeight="1" thickBot="1" x14ac:dyDescent="0.4">
      <c r="A45" s="328"/>
      <c r="B45" s="329"/>
      <c r="C45" s="329"/>
      <c r="D45" s="336"/>
      <c r="E45" s="337"/>
      <c r="F45" s="338"/>
      <c r="G45" s="351" t="s">
        <v>43</v>
      </c>
      <c r="H45" s="352"/>
      <c r="I45" s="352"/>
      <c r="J45" s="353"/>
      <c r="K45" s="352" t="s">
        <v>44</v>
      </c>
      <c r="L45" s="352"/>
      <c r="M45" s="352"/>
      <c r="N45" s="353"/>
    </row>
    <row r="46" spans="1:14" s="20" customFormat="1" ht="30" customHeight="1" x14ac:dyDescent="0.35">
      <c r="A46" s="326" t="s">
        <v>45</v>
      </c>
      <c r="B46" s="327"/>
      <c r="C46" s="327"/>
      <c r="D46" s="330">
        <v>45071</v>
      </c>
      <c r="E46" s="331"/>
      <c r="F46" s="332"/>
      <c r="G46" s="342"/>
      <c r="H46" s="343"/>
      <c r="I46" s="343"/>
      <c r="J46" s="344"/>
      <c r="K46" s="345"/>
      <c r="L46" s="346"/>
      <c r="M46" s="346"/>
      <c r="N46" s="347"/>
    </row>
    <row r="47" spans="1:14" s="20" customFormat="1" ht="30" customHeight="1" thickBot="1" x14ac:dyDescent="0.4">
      <c r="A47" s="328"/>
      <c r="B47" s="329"/>
      <c r="C47" s="329"/>
      <c r="D47" s="333"/>
      <c r="E47" s="334"/>
      <c r="F47" s="335"/>
      <c r="G47" s="342"/>
      <c r="H47" s="343"/>
      <c r="I47" s="343"/>
      <c r="J47" s="344"/>
      <c r="K47" s="345"/>
      <c r="L47" s="346"/>
      <c r="M47" s="346"/>
      <c r="N47" s="347"/>
    </row>
    <row r="48" spans="1:14" s="20" customFormat="1" ht="30" customHeight="1" x14ac:dyDescent="0.35">
      <c r="A48" s="326" t="s">
        <v>46</v>
      </c>
      <c r="B48" s="327"/>
      <c r="C48" s="327"/>
      <c r="D48" s="330">
        <v>45071</v>
      </c>
      <c r="E48" s="331"/>
      <c r="F48" s="332"/>
      <c r="G48" s="342"/>
      <c r="H48" s="343"/>
      <c r="I48" s="343"/>
      <c r="J48" s="344"/>
      <c r="K48" s="345"/>
      <c r="L48" s="346"/>
      <c r="M48" s="346"/>
      <c r="N48" s="347"/>
    </row>
    <row r="49" spans="1:14" s="20" customFormat="1" ht="30" customHeight="1" thickBot="1" x14ac:dyDescent="0.4">
      <c r="A49" s="328"/>
      <c r="B49" s="329"/>
      <c r="C49" s="329"/>
      <c r="D49" s="336"/>
      <c r="E49" s="337"/>
      <c r="F49" s="338"/>
      <c r="G49" s="339"/>
      <c r="H49" s="340"/>
      <c r="I49" s="340"/>
      <c r="J49" s="341"/>
      <c r="K49" s="340"/>
      <c r="L49" s="340"/>
      <c r="M49" s="340"/>
      <c r="N49" s="341"/>
    </row>
    <row r="50" spans="1:14" ht="16.5" customHeight="1" x14ac:dyDescent="0.4">
      <c r="A50" s="316" t="s">
        <v>47</v>
      </c>
      <c r="B50" s="316"/>
      <c r="C50" s="316"/>
      <c r="D50" s="317"/>
      <c r="E50"/>
      <c r="F50"/>
      <c r="G50"/>
      <c r="H50"/>
      <c r="I50"/>
      <c r="J50"/>
      <c r="K50"/>
      <c r="L50"/>
      <c r="M50"/>
    </row>
    <row r="51" spans="1:14" ht="47.25" customHeight="1" x14ac:dyDescent="0.4">
      <c r="C51" s="2"/>
      <c r="E51" s="318" t="s">
        <v>48</v>
      </c>
      <c r="F51" s="318"/>
      <c r="G51" s="318"/>
      <c r="H51" s="318"/>
      <c r="I51" s="318"/>
      <c r="J51" s="318"/>
      <c r="K51" s="318"/>
      <c r="L51"/>
      <c r="M51"/>
    </row>
    <row r="52" spans="1:14" ht="90" customHeight="1" thickBot="1" x14ac:dyDescent="0.45">
      <c r="A52" s="3"/>
      <c r="B52" s="3"/>
      <c r="C52" s="3"/>
      <c r="D52" s="23"/>
      <c r="E52" s="319"/>
      <c r="F52" s="319"/>
      <c r="G52" s="319"/>
      <c r="H52" s="319"/>
      <c r="I52" s="319"/>
      <c r="J52" s="319"/>
      <c r="K52" s="319"/>
      <c r="L52" s="24"/>
      <c r="M52" s="5"/>
      <c r="N52" s="6"/>
    </row>
    <row r="53" spans="1:14" ht="60.75" customHeight="1" thickTop="1" thickBot="1" x14ac:dyDescent="0.45">
      <c r="A53" s="320" t="s">
        <v>1</v>
      </c>
      <c r="B53" s="320"/>
      <c r="C53" s="320"/>
      <c r="D53" s="320"/>
      <c r="E53" s="320"/>
      <c r="F53" s="320"/>
      <c r="G53" s="320"/>
      <c r="H53" s="320"/>
      <c r="I53" s="320"/>
      <c r="J53" s="320"/>
      <c r="K53" s="321" t="s">
        <v>2</v>
      </c>
      <c r="L53" s="321"/>
      <c r="M53" s="321"/>
      <c r="N53" s="321"/>
    </row>
    <row r="54" spans="1:14" ht="38.25" customHeight="1" thickBot="1" x14ac:dyDescent="0.45">
      <c r="A54" s="320"/>
      <c r="B54" s="320"/>
      <c r="C54" s="320"/>
      <c r="D54" s="320"/>
      <c r="E54" s="320"/>
      <c r="F54" s="320"/>
      <c r="G54" s="320"/>
      <c r="H54" s="320"/>
      <c r="I54" s="320"/>
      <c r="J54" s="320"/>
      <c r="K54" s="322" t="s">
        <v>49</v>
      </c>
      <c r="L54" s="323"/>
      <c r="M54" s="324" t="s">
        <v>207</v>
      </c>
      <c r="N54" s="325"/>
    </row>
    <row r="55" spans="1:14" ht="37.5" customHeight="1" thickBot="1" x14ac:dyDescent="0.45">
      <c r="A55" s="308" t="s">
        <v>4</v>
      </c>
      <c r="B55" s="308"/>
      <c r="C55" s="308"/>
      <c r="D55" s="308"/>
      <c r="E55" s="308"/>
      <c r="F55" s="308"/>
      <c r="G55" s="308"/>
      <c r="H55" s="308"/>
      <c r="I55" s="308"/>
      <c r="J55" s="308"/>
      <c r="K55" s="25"/>
      <c r="L55" s="25"/>
      <c r="M55" s="309" t="s">
        <v>50</v>
      </c>
      <c r="N55" s="310"/>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1" t="s">
        <v>51</v>
      </c>
      <c r="B58" s="311"/>
      <c r="C58" s="311"/>
      <c r="D58" s="311"/>
      <c r="E58" s="311"/>
      <c r="F58" s="311"/>
      <c r="G58" s="311"/>
      <c r="H58" s="311"/>
      <c r="I58" s="311"/>
      <c r="J58" s="311"/>
      <c r="K58" s="311"/>
      <c r="L58" s="311"/>
      <c r="M58" s="311"/>
      <c r="N58" s="311"/>
    </row>
    <row r="59" spans="1:14" ht="24" customHeight="1" x14ac:dyDescent="0.4">
      <c r="A59" s="312" t="s">
        <v>52</v>
      </c>
      <c r="B59" s="312"/>
      <c r="C59" s="312"/>
      <c r="D59" s="312"/>
      <c r="E59" s="312"/>
      <c r="F59" s="312"/>
      <c r="G59" s="312"/>
      <c r="H59" s="312"/>
      <c r="I59" s="312"/>
      <c r="J59" s="312"/>
      <c r="K59" s="312"/>
      <c r="L59" s="312"/>
      <c r="M59" s="312"/>
      <c r="N59" s="312"/>
    </row>
    <row r="60" spans="1:14" ht="23.25" customHeight="1" x14ac:dyDescent="0.4">
      <c r="A60" s="313" t="s">
        <v>53</v>
      </c>
      <c r="B60" s="313"/>
      <c r="C60" s="313"/>
      <c r="D60" s="313"/>
      <c r="E60" s="313"/>
      <c r="F60" s="313"/>
      <c r="G60" s="313"/>
      <c r="H60" s="313"/>
      <c r="I60" s="313"/>
      <c r="J60" s="313"/>
      <c r="K60" s="313"/>
      <c r="L60" s="313"/>
      <c r="M60" s="313"/>
      <c r="N60" s="313"/>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4"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5"/>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2"/>
      <c r="B64" s="303"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2"/>
      <c r="B65" s="304"/>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2"/>
      <c r="B66" s="47"/>
      <c r="C66" s="41"/>
      <c r="D66" s="41"/>
      <c r="E66" s="41"/>
      <c r="F66" s="41"/>
      <c r="G66" s="41"/>
      <c r="H66" s="41"/>
      <c r="I66" s="41"/>
      <c r="J66" s="41"/>
      <c r="K66" s="41"/>
      <c r="L66" s="41"/>
      <c r="M66" s="41"/>
    </row>
    <row r="67" spans="1:14" s="13" customFormat="1" ht="24" hidden="1" customHeight="1" x14ac:dyDescent="0.4">
      <c r="A67" s="302"/>
      <c r="B67" s="305"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2"/>
      <c r="B68" s="306"/>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2"/>
      <c r="B69" s="303"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2"/>
      <c r="B70" s="304"/>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2"/>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7"/>
      <c r="B73" s="307"/>
      <c r="C73" s="307"/>
      <c r="D73" s="52" t="s">
        <v>56</v>
      </c>
      <c r="E73" s="52" t="s">
        <v>57</v>
      </c>
      <c r="F73" s="51"/>
      <c r="G73" s="51"/>
      <c r="H73" s="51"/>
      <c r="I73" s="51"/>
      <c r="J73" s="31"/>
      <c r="K73" s="31"/>
      <c r="L73" s="31"/>
      <c r="M73" s="31"/>
    </row>
    <row r="74" spans="1:14" ht="24" hidden="1" customHeight="1" x14ac:dyDescent="0.4">
      <c r="A74" s="278" t="s">
        <v>58</v>
      </c>
      <c r="B74" s="278"/>
      <c r="C74" s="278"/>
      <c r="D74" s="53" t="e">
        <f>MAX(#REF!)</f>
        <v>#REF!</v>
      </c>
      <c r="E74" s="54" t="e">
        <f>D74/25400</f>
        <v>#REF!</v>
      </c>
      <c r="G74" s="279" t="s">
        <v>59</v>
      </c>
      <c r="H74" s="280"/>
      <c r="I74" s="55" t="e">
        <f>#REF!*9.81/1000</f>
        <v>#REF!</v>
      </c>
    </row>
    <row r="75" spans="1:14" ht="6" hidden="1" customHeight="1" x14ac:dyDescent="0.4">
      <c r="A75" s="278" t="s">
        <v>60</v>
      </c>
      <c r="B75" s="278"/>
      <c r="C75" s="27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91"/>
      <c r="B77" s="291"/>
      <c r="C77" s="291"/>
      <c r="D77" s="291"/>
      <c r="E77" s="291"/>
      <c r="F77" s="291"/>
      <c r="G77" s="291"/>
      <c r="H77" s="291"/>
      <c r="I77" s="291"/>
      <c r="J77" s="291"/>
      <c r="K77" s="291"/>
      <c r="L77" s="291"/>
      <c r="M77" s="56"/>
      <c r="N77" s="5"/>
    </row>
    <row r="78" spans="1:14" ht="60" customHeight="1" thickTop="1" thickBot="1" x14ac:dyDescent="0.45">
      <c r="A78" s="277" t="s">
        <v>61</v>
      </c>
      <c r="B78" s="277"/>
      <c r="C78" s="277"/>
      <c r="D78" s="277"/>
      <c r="E78" s="277"/>
      <c r="F78" s="277"/>
      <c r="G78" s="277"/>
      <c r="H78" s="277"/>
      <c r="I78" s="277"/>
      <c r="J78" s="277"/>
      <c r="K78" s="277"/>
      <c r="L78" s="277"/>
      <c r="M78" s="277"/>
      <c r="N78" s="277"/>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98" t="s">
        <v>202</v>
      </c>
      <c r="B81" s="299"/>
      <c r="C81" s="233" t="s">
        <v>214</v>
      </c>
      <c r="D81" s="233" t="s">
        <v>215</v>
      </c>
      <c r="E81" s="233" t="s">
        <v>216</v>
      </c>
      <c r="F81" s="233" t="s">
        <v>217</v>
      </c>
      <c r="G81" s="233" t="s">
        <v>218</v>
      </c>
      <c r="H81" s="233" t="s">
        <v>219</v>
      </c>
      <c r="I81" s="233" t="s">
        <v>220</v>
      </c>
      <c r="J81" s="233" t="s">
        <v>221</v>
      </c>
      <c r="K81" s="233" t="s">
        <v>222</v>
      </c>
      <c r="L81" s="234" t="s">
        <v>223</v>
      </c>
      <c r="M81" s="235" t="s">
        <v>224</v>
      </c>
      <c r="N81"/>
    </row>
    <row r="82" spans="1:14" ht="62.15" customHeight="1" thickBot="1" x14ac:dyDescent="0.45">
      <c r="A82" s="300" t="s">
        <v>203</v>
      </c>
      <c r="B82" s="301"/>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201</v>
      </c>
      <c r="J88" s="22"/>
      <c r="K88" s="22"/>
      <c r="L88" s="22"/>
      <c r="M88" s="22"/>
    </row>
    <row r="89" spans="1:14" ht="39.75" customHeight="1" thickBot="1" x14ac:dyDescent="0.55000000000000004">
      <c r="A89" s="292" t="s">
        <v>204</v>
      </c>
      <c r="B89" s="293"/>
      <c r="C89" s="293"/>
      <c r="D89" s="294"/>
      <c r="E89" s="241"/>
      <c r="F89" s="66"/>
      <c r="G89" s="66"/>
      <c r="H89" s="295" t="s">
        <v>63</v>
      </c>
      <c r="I89" s="296"/>
      <c r="J89" s="297"/>
      <c r="K89" s="239"/>
      <c r="L89" s="22"/>
    </row>
    <row r="90" spans="1:14" ht="38.6" customHeight="1" thickBot="1" x14ac:dyDescent="0.55000000000000004">
      <c r="A90" s="269" t="s">
        <v>205</v>
      </c>
      <c r="B90" s="270"/>
      <c r="C90" s="270"/>
      <c r="D90" s="271"/>
      <c r="E90" s="240" t="s">
        <v>206</v>
      </c>
      <c r="F90" s="66"/>
      <c r="G90" s="66"/>
      <c r="L90" s="22"/>
    </row>
    <row r="91" spans="1:14" ht="9" customHeight="1" x14ac:dyDescent="0.5">
      <c r="A91" s="272"/>
      <c r="B91" s="272"/>
      <c r="C91" s="272"/>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73" t="s">
        <v>64</v>
      </c>
      <c r="B99" s="274"/>
      <c r="C99" s="275" t="s">
        <v>229</v>
      </c>
      <c r="D99" s="275"/>
      <c r="E99" s="275"/>
      <c r="F99" s="276"/>
      <c r="G99" s="276"/>
      <c r="H99" s="276"/>
      <c r="I99" s="276"/>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7" t="s">
        <v>65</v>
      </c>
      <c r="B101" s="277"/>
      <c r="C101" s="277"/>
      <c r="D101" s="277"/>
      <c r="E101" s="277"/>
      <c r="F101" s="277"/>
      <c r="G101" s="277"/>
      <c r="H101" s="277"/>
      <c r="I101" s="277"/>
      <c r="J101" s="277"/>
      <c r="K101" s="277"/>
      <c r="L101" s="277"/>
      <c r="M101" s="277"/>
      <c r="N101" s="277"/>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86" t="s">
        <v>66</v>
      </c>
      <c r="D103" s="286"/>
      <c r="E103" s="286"/>
      <c r="F103" s="395" t="s">
        <v>230</v>
      </c>
      <c r="G103" s="395"/>
      <c r="I103" s="287" t="s">
        <v>67</v>
      </c>
      <c r="J103" s="287"/>
      <c r="K103" s="395" t="s">
        <v>231</v>
      </c>
      <c r="L103" s="395"/>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88" t="s">
        <v>68</v>
      </c>
      <c r="B105" s="288"/>
      <c r="C105" s="288"/>
      <c r="D105" s="288"/>
      <c r="E105" s="288"/>
      <c r="F105" s="288"/>
      <c r="G105" s="288"/>
      <c r="H105" s="288"/>
      <c r="I105" s="288"/>
      <c r="J105" s="288"/>
      <c r="K105" s="288"/>
      <c r="L105" s="288"/>
      <c r="M105" s="288"/>
      <c r="N105" s="288"/>
    </row>
    <row r="106" spans="1:16" ht="92.25" customHeight="1" x14ac:dyDescent="0.4">
      <c r="A106" s="289" t="s">
        <v>69</v>
      </c>
      <c r="B106" s="289"/>
      <c r="C106" s="289"/>
      <c r="D106" s="289"/>
      <c r="E106" s="289"/>
      <c r="F106" s="289"/>
      <c r="G106" s="289"/>
      <c r="H106" s="289"/>
      <c r="I106" s="289"/>
      <c r="J106" s="289"/>
      <c r="K106" s="289"/>
      <c r="L106" s="289"/>
      <c r="M106" s="289"/>
      <c r="N106" s="289"/>
      <c r="O106" s="76"/>
      <c r="P106" s="76"/>
    </row>
    <row r="107" spans="1:16" ht="79.5" customHeight="1" x14ac:dyDescent="0.4">
      <c r="A107" s="289" t="s">
        <v>70</v>
      </c>
      <c r="B107" s="289"/>
      <c r="C107" s="289"/>
      <c r="D107" s="289"/>
      <c r="E107" s="289"/>
      <c r="F107" s="289"/>
      <c r="G107" s="289"/>
      <c r="H107" s="289"/>
      <c r="I107" s="289"/>
      <c r="J107" s="289"/>
      <c r="K107" s="289"/>
      <c r="L107" s="289"/>
      <c r="M107" s="289"/>
      <c r="N107" s="289"/>
      <c r="O107" s="76"/>
      <c r="P107" s="76"/>
    </row>
    <row r="108" spans="1:16" ht="39" customHeight="1" x14ac:dyDescent="0.55000000000000004">
      <c r="A108" s="281" t="s">
        <v>71</v>
      </c>
      <c r="B108" s="281"/>
      <c r="C108" s="281"/>
      <c r="D108" s="281"/>
      <c r="F108" s="290">
        <v>45437</v>
      </c>
      <c r="G108" s="290"/>
      <c r="H108" s="77"/>
      <c r="I108" s="73"/>
      <c r="J108" s="73"/>
      <c r="K108" s="73"/>
      <c r="L108" s="73"/>
      <c r="M108" s="73"/>
    </row>
    <row r="109" spans="1:16" ht="35.25" customHeight="1" x14ac:dyDescent="0.55000000000000004">
      <c r="A109" s="281" t="s">
        <v>72</v>
      </c>
      <c r="B109" s="281"/>
      <c r="C109" s="281"/>
      <c r="D109" s="281"/>
      <c r="F109" s="282" t="s">
        <v>94</v>
      </c>
      <c r="G109" s="282"/>
      <c r="H109" s="282"/>
      <c r="I109" s="73"/>
      <c r="J109" s="73"/>
      <c r="K109" s="73"/>
      <c r="L109" s="73"/>
      <c r="M109" s="73"/>
    </row>
    <row r="110" spans="1:16" ht="40.5" customHeight="1" x14ac:dyDescent="0.55000000000000004">
      <c r="A110" s="281" t="s">
        <v>73</v>
      </c>
      <c r="B110" s="281"/>
      <c r="C110" s="281"/>
      <c r="D110" s="281"/>
      <c r="E110" s="281"/>
      <c r="F110" s="78" t="s">
        <v>74</v>
      </c>
      <c r="G110" s="79"/>
      <c r="H110" s="72"/>
      <c r="I110" s="73"/>
      <c r="J110" s="73"/>
      <c r="K110" s="73"/>
      <c r="L110" s="73"/>
      <c r="M110" s="73"/>
    </row>
    <row r="111" spans="1:16" s="80" customFormat="1" ht="50.15" customHeight="1" x14ac:dyDescent="0.4"/>
    <row r="112" spans="1:16" s="80" customFormat="1" ht="43.2" customHeight="1" x14ac:dyDescent="0.4">
      <c r="D112" s="283" t="s">
        <v>75</v>
      </c>
      <c r="E112" s="283"/>
      <c r="F112" s="283"/>
      <c r="G112" s="283"/>
      <c r="H112" s="283"/>
      <c r="I112" s="283"/>
      <c r="J112" s="283"/>
      <c r="K112" s="283"/>
      <c r="L112" s="283"/>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84" t="s">
        <v>47</v>
      </c>
      <c r="B130" s="284"/>
      <c r="C130" s="284"/>
      <c r="D130" s="284"/>
      <c r="E130" s="284"/>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85"/>
      <c r="F145" s="285"/>
      <c r="G145" s="285"/>
      <c r="H145" s="285"/>
      <c r="I145" s="285"/>
      <c r="J145" s="285"/>
      <c r="K145" s="90"/>
    </row>
    <row r="146" spans="1:13" x14ac:dyDescent="0.4">
      <c r="A146"/>
      <c r="B146"/>
      <c r="C146"/>
      <c r="D146"/>
      <c r="E146"/>
      <c r="F146"/>
      <c r="G146"/>
      <c r="H146"/>
      <c r="I146"/>
      <c r="J146"/>
      <c r="K146"/>
      <c r="L146"/>
      <c r="M146"/>
    </row>
  </sheetData>
  <mergeCells count="137">
    <mergeCell ref="A7:N7"/>
    <mergeCell ref="A8:C8"/>
    <mergeCell ref="D8:N8"/>
    <mergeCell ref="A9:C9"/>
    <mergeCell ref="D9:N9"/>
    <mergeCell ref="A11:N11"/>
    <mergeCell ref="E1:K2"/>
    <mergeCell ref="A3:J4"/>
    <mergeCell ref="K3:N3"/>
    <mergeCell ref="K4:L4"/>
    <mergeCell ref="M4:N4"/>
    <mergeCell ref="A5:J5"/>
    <mergeCell ref="M5:N5"/>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21:N21"/>
    <mergeCell ref="A22:C22"/>
    <mergeCell ref="D22:D23"/>
    <mergeCell ref="E22:F22"/>
    <mergeCell ref="G22:I23"/>
    <mergeCell ref="J22:L22"/>
    <mergeCell ref="M22:N23"/>
    <mergeCell ref="A23:C23"/>
    <mergeCell ref="E23:F23"/>
    <mergeCell ref="J23:L23"/>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64:A65"/>
    <mergeCell ref="B64:B65"/>
    <mergeCell ref="A66:A71"/>
    <mergeCell ref="B67:B68"/>
    <mergeCell ref="B69:B70"/>
    <mergeCell ref="A73:C73"/>
    <mergeCell ref="A55:J55"/>
    <mergeCell ref="M55:N55"/>
    <mergeCell ref="A58:N58"/>
    <mergeCell ref="A59:N59"/>
    <mergeCell ref="A60:N60"/>
    <mergeCell ref="B62:B6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95</v>
      </c>
      <c r="I1" s="122"/>
      <c r="J1" s="122"/>
      <c r="K1" s="122"/>
      <c r="L1" s="123"/>
      <c r="M1" s="123"/>
    </row>
    <row r="2" spans="1:15" ht="11.15" customHeight="1" x14ac:dyDescent="0.25">
      <c r="A2" s="423" t="s">
        <v>96</v>
      </c>
      <c r="B2" s="423"/>
      <c r="C2" s="423"/>
      <c r="D2" s="423"/>
      <c r="H2" s="122" t="s">
        <v>97</v>
      </c>
      <c r="I2" s="122" t="s">
        <v>98</v>
      </c>
      <c r="J2" s="122" t="s">
        <v>99</v>
      </c>
      <c r="K2" s="122" t="s">
        <v>100</v>
      </c>
      <c r="L2" s="123"/>
      <c r="M2" s="123"/>
    </row>
    <row r="3" spans="1:15" s="124" customFormat="1" ht="11.15" customHeight="1" x14ac:dyDescent="0.25">
      <c r="B3" s="125"/>
      <c r="C3" s="125"/>
      <c r="D3" s="126"/>
      <c r="H3" s="122" t="s">
        <v>101</v>
      </c>
      <c r="I3" s="122" t="s">
        <v>102</v>
      </c>
      <c r="J3" s="122" t="s">
        <v>102</v>
      </c>
      <c r="K3" s="122" t="s">
        <v>102</v>
      </c>
      <c r="L3" s="123" t="s">
        <v>103</v>
      </c>
      <c r="M3" s="123" t="s">
        <v>104</v>
      </c>
    </row>
    <row r="4" spans="1:15" s="127" customFormat="1" ht="11.15" customHeight="1" x14ac:dyDescent="0.3">
      <c r="B4" s="128" t="s">
        <v>105</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106</v>
      </c>
      <c r="C7" s="134">
        <f>M16</f>
        <v>0</v>
      </c>
      <c r="D7" s="126"/>
      <c r="H7" s="129">
        <v>33.400999999999996</v>
      </c>
      <c r="I7" s="130">
        <v>0</v>
      </c>
      <c r="J7" s="130">
        <v>0</v>
      </c>
      <c r="K7" s="130">
        <v>0</v>
      </c>
      <c r="L7" s="131">
        <f t="shared" si="0"/>
        <v>0</v>
      </c>
      <c r="M7" s="132">
        <f t="shared" si="1"/>
        <v>0</v>
      </c>
    </row>
    <row r="8" spans="1:15" s="124" customFormat="1" ht="11.15" customHeight="1" x14ac:dyDescent="0.3">
      <c r="B8" s="133" t="s">
        <v>107</v>
      </c>
      <c r="C8" s="134">
        <v>3</v>
      </c>
      <c r="D8" s="126"/>
      <c r="H8" s="129">
        <v>36.067999999999998</v>
      </c>
      <c r="I8" s="130">
        <v>0</v>
      </c>
      <c r="J8" s="130">
        <v>0</v>
      </c>
      <c r="K8" s="130">
        <v>0</v>
      </c>
      <c r="L8" s="131">
        <f t="shared" si="0"/>
        <v>0</v>
      </c>
      <c r="M8" s="132">
        <f t="shared" si="1"/>
        <v>0</v>
      </c>
    </row>
    <row r="9" spans="1:15" s="124" customFormat="1" ht="11.15" customHeight="1" x14ac:dyDescent="0.3">
      <c r="B9" s="133" t="s">
        <v>108</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109</v>
      </c>
      <c r="C10" s="136">
        <f>((C7/SQRT(C8)))*C9</f>
        <v>0</v>
      </c>
      <c r="D10" s="126"/>
      <c r="H10" s="129">
        <v>40.766999999999996</v>
      </c>
      <c r="I10" s="130">
        <v>0</v>
      </c>
      <c r="J10" s="130">
        <v>0</v>
      </c>
      <c r="K10" s="130">
        <v>0</v>
      </c>
      <c r="L10" s="131">
        <f t="shared" si="0"/>
        <v>0</v>
      </c>
      <c r="M10" s="132">
        <f t="shared" si="1"/>
        <v>0</v>
      </c>
      <c r="N10" s="424"/>
    </row>
    <row r="11" spans="1:15" s="124" customFormat="1" ht="11.15" customHeight="1" x14ac:dyDescent="0.3">
      <c r="C11" s="126"/>
      <c r="D11" s="126"/>
      <c r="H11" s="129">
        <v>43.433999999999997</v>
      </c>
      <c r="I11" s="130">
        <v>0</v>
      </c>
      <c r="J11" s="130">
        <v>0</v>
      </c>
      <c r="K11" s="130">
        <v>0</v>
      </c>
      <c r="L11" s="131">
        <f t="shared" si="0"/>
        <v>0</v>
      </c>
      <c r="M11" s="132">
        <f t="shared" si="1"/>
        <v>0</v>
      </c>
      <c r="N11" s="424"/>
    </row>
    <row r="12" spans="1:15" s="124" customFormat="1" ht="11.15" customHeight="1" x14ac:dyDescent="0.3">
      <c r="C12" s="126"/>
      <c r="D12" s="126"/>
      <c r="H12" s="129">
        <v>46.100999999999999</v>
      </c>
      <c r="I12" s="130">
        <v>0</v>
      </c>
      <c r="J12" s="130">
        <v>0</v>
      </c>
      <c r="K12" s="130">
        <v>0</v>
      </c>
      <c r="L12" s="131">
        <f t="shared" si="0"/>
        <v>0</v>
      </c>
      <c r="M12" s="132">
        <f t="shared" si="1"/>
        <v>0</v>
      </c>
      <c r="N12" s="424"/>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110</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111</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5" t="s">
        <v>112</v>
      </c>
      <c r="C18" s="425"/>
      <c r="D18" s="126"/>
      <c r="E18" s="137"/>
      <c r="H18" s="142"/>
      <c r="I18" s="143"/>
      <c r="J18" s="143"/>
      <c r="K18" s="143"/>
      <c r="L18" s="131"/>
      <c r="M18" s="131"/>
      <c r="N18" s="139"/>
      <c r="O18" s="139"/>
    </row>
    <row r="19" spans="2:15" s="124" customFormat="1" ht="11.15" customHeight="1" x14ac:dyDescent="0.3">
      <c r="B19" s="124" t="s">
        <v>113</v>
      </c>
      <c r="C19" s="144">
        <f>H25</f>
        <v>0.35919493314911888</v>
      </c>
      <c r="D19" s="126"/>
      <c r="G19" s="134" t="s">
        <v>114</v>
      </c>
      <c r="H19" s="134" t="s">
        <v>115</v>
      </c>
      <c r="I19" s="145" t="s">
        <v>116</v>
      </c>
      <c r="J19" s="143"/>
      <c r="K19" s="143"/>
      <c r="L19" s="131"/>
      <c r="M19" s="131"/>
      <c r="N19" s="139"/>
      <c r="O19" s="139"/>
    </row>
    <row r="20" spans="2:15" s="124" customFormat="1" ht="11.15" customHeight="1" thickBot="1" x14ac:dyDescent="0.35">
      <c r="B20" s="124" t="s">
        <v>117</v>
      </c>
      <c r="C20" s="144">
        <f>C19/2</f>
        <v>0.17959746657455944</v>
      </c>
      <c r="D20" s="146" t="s">
        <v>118</v>
      </c>
      <c r="E20" s="147"/>
      <c r="F20" s="147"/>
      <c r="G20" s="148" t="s">
        <v>119</v>
      </c>
      <c r="H20" s="134">
        <v>0.12</v>
      </c>
      <c r="I20" s="149">
        <v>0.2</v>
      </c>
      <c r="J20" s="143"/>
      <c r="K20" s="143"/>
      <c r="L20" s="131"/>
      <c r="M20" s="131"/>
      <c r="N20" s="139"/>
      <c r="O20" s="139"/>
    </row>
    <row r="21" spans="2:15" s="124" customFormat="1" ht="11.15" customHeight="1" thickBot="1" x14ac:dyDescent="0.35">
      <c r="B21" s="150" t="s">
        <v>120</v>
      </c>
      <c r="C21" s="151">
        <f>D24/((1)*2*SQRT(3))</f>
        <v>0.23094010767585033</v>
      </c>
      <c r="D21" s="126" t="s">
        <v>121</v>
      </c>
      <c r="E21" s="124" t="s">
        <v>122</v>
      </c>
      <c r="F21" s="124">
        <v>0.8</v>
      </c>
      <c r="G21" s="148" t="s">
        <v>123</v>
      </c>
      <c r="H21" s="134">
        <v>0.05</v>
      </c>
      <c r="I21" s="152">
        <v>0.1</v>
      </c>
      <c r="J21" s="143">
        <v>0</v>
      </c>
      <c r="K21" s="143">
        <v>0</v>
      </c>
      <c r="L21" s="131"/>
      <c r="M21" s="131"/>
      <c r="O21" s="139"/>
    </row>
    <row r="22" spans="2:15" s="124" customFormat="1" ht="11.15" customHeight="1" thickBot="1" x14ac:dyDescent="0.45">
      <c r="B22" s="153" t="s">
        <v>124</v>
      </c>
      <c r="C22" s="154">
        <f>SQRT(C21^2+C20^2)</f>
        <v>0.29255526543429933</v>
      </c>
      <c r="D22" s="126" t="s">
        <v>121</v>
      </c>
      <c r="E22" s="124" t="s">
        <v>125</v>
      </c>
      <c r="F22" s="124">
        <v>2.6</v>
      </c>
      <c r="G22" s="148" t="s">
        <v>126</v>
      </c>
      <c r="H22" s="134">
        <v>0.12</v>
      </c>
      <c r="I22" s="155">
        <v>0.1</v>
      </c>
      <c r="O22" s="139"/>
    </row>
    <row r="23" spans="2:15" s="124" customFormat="1" ht="11.15" customHeight="1" x14ac:dyDescent="0.4">
      <c r="C23" s="126"/>
      <c r="D23" s="126" t="s">
        <v>121</v>
      </c>
      <c r="E23" s="124" t="s">
        <v>127</v>
      </c>
      <c r="F23" s="124">
        <v>4.2</v>
      </c>
      <c r="G23" s="148" t="s">
        <v>93</v>
      </c>
      <c r="H23" s="134">
        <v>0.28000000000000003</v>
      </c>
      <c r="I23" s="134">
        <v>0.09</v>
      </c>
      <c r="O23" s="139"/>
    </row>
    <row r="24" spans="2:15" s="124" customFormat="1" ht="11.15" customHeight="1" x14ac:dyDescent="0.4">
      <c r="C24" s="126"/>
      <c r="D24" s="126">
        <f>IF(C14&lt;=150,F21,IF(C14&lt;=600,F22,F23))</f>
        <v>0.8</v>
      </c>
      <c r="G24" s="148" t="s">
        <v>128</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129</v>
      </c>
      <c r="D26" s="158"/>
      <c r="G26" s="156"/>
      <c r="I26" s="126"/>
      <c r="O26" s="139"/>
    </row>
    <row r="27" spans="2:15" s="124" customFormat="1" ht="11.15" customHeight="1" thickBot="1" x14ac:dyDescent="0.45">
      <c r="B27" s="124" t="s">
        <v>116</v>
      </c>
      <c r="C27" s="126">
        <f>I20</f>
        <v>0.2</v>
      </c>
      <c r="G27" s="156"/>
      <c r="I27" s="126"/>
      <c r="O27" s="139"/>
    </row>
    <row r="28" spans="2:15" s="124" customFormat="1" ht="11.15" customHeight="1" thickBot="1" x14ac:dyDescent="0.45">
      <c r="B28" s="159" t="s">
        <v>130</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131</v>
      </c>
      <c r="D30" s="158"/>
      <c r="G30" s="156"/>
      <c r="I30" s="126"/>
      <c r="O30" s="139"/>
    </row>
    <row r="31" spans="2:15" s="124" customFormat="1" ht="11.15" customHeight="1" thickBot="1" x14ac:dyDescent="0.45">
      <c r="B31" s="124" t="s">
        <v>116</v>
      </c>
      <c r="C31" s="126">
        <f>I21</f>
        <v>0.1</v>
      </c>
      <c r="G31" s="156"/>
      <c r="I31" s="126"/>
      <c r="O31" s="139"/>
    </row>
    <row r="32" spans="2:15" s="124" customFormat="1" ht="11.15" customHeight="1" thickBot="1" x14ac:dyDescent="0.45">
      <c r="B32" s="159" t="s">
        <v>130</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132</v>
      </c>
      <c r="D34" s="158"/>
      <c r="G34" s="156"/>
      <c r="I34" s="126"/>
      <c r="O34" s="139"/>
    </row>
    <row r="35" spans="2:15" s="124" customFormat="1" ht="11.15" customHeight="1" thickBot="1" x14ac:dyDescent="0.45">
      <c r="B35" s="124" t="s">
        <v>116</v>
      </c>
      <c r="C35" s="126">
        <f>I22</f>
        <v>0.1</v>
      </c>
      <c r="G35" s="156"/>
      <c r="I35" s="126"/>
      <c r="O35" s="139"/>
    </row>
    <row r="36" spans="2:15" s="124" customFormat="1" ht="11.15" customHeight="1" thickBot="1" x14ac:dyDescent="0.45">
      <c r="B36" s="159" t="s">
        <v>130</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133</v>
      </c>
      <c r="D38" s="158"/>
      <c r="G38" s="156"/>
      <c r="I38" s="126"/>
      <c r="O38" s="139"/>
    </row>
    <row r="39" spans="2:15" s="124" customFormat="1" ht="11.15" customHeight="1" thickBot="1" x14ac:dyDescent="0.45">
      <c r="B39" s="124" t="s">
        <v>116</v>
      </c>
      <c r="C39" s="126">
        <f>I23</f>
        <v>0.09</v>
      </c>
      <c r="G39" s="156"/>
      <c r="I39" s="126"/>
      <c r="O39" s="139"/>
    </row>
    <row r="40" spans="2:15" s="124" customFormat="1" ht="11.15" customHeight="1" thickBot="1" x14ac:dyDescent="0.45">
      <c r="B40" s="159" t="s">
        <v>130</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134</v>
      </c>
      <c r="D42" s="158"/>
      <c r="G42" s="156"/>
      <c r="I42" s="126"/>
      <c r="O42" s="139"/>
    </row>
    <row r="43" spans="2:15" s="124" customFormat="1" ht="11.15" customHeight="1" thickBot="1" x14ac:dyDescent="0.45">
      <c r="B43" s="124" t="s">
        <v>116</v>
      </c>
      <c r="C43" s="126">
        <f>I24</f>
        <v>7.0000000000000007E-2</v>
      </c>
      <c r="G43" s="156"/>
      <c r="I43" s="126"/>
      <c r="O43" s="139"/>
    </row>
    <row r="44" spans="2:15" s="124" customFormat="1" ht="11.15" customHeight="1" thickBot="1" x14ac:dyDescent="0.45">
      <c r="B44" s="159" t="s">
        <v>130</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26" t="s">
        <v>135</v>
      </c>
      <c r="C46" s="426"/>
      <c r="D46" s="126" t="s">
        <v>115</v>
      </c>
      <c r="O46" s="139"/>
    </row>
    <row r="47" spans="2:15" s="124" customFormat="1" ht="11.15" customHeight="1" x14ac:dyDescent="0.4">
      <c r="B47" s="162" t="s">
        <v>136</v>
      </c>
      <c r="C47" s="163">
        <v>2</v>
      </c>
      <c r="D47" s="164">
        <f>C47/SQRT(3)</f>
        <v>1.1547005383792517</v>
      </c>
      <c r="E47" s="165"/>
      <c r="O47" s="139"/>
    </row>
    <row r="48" spans="2:15" s="124" customFormat="1" ht="11.15" customHeight="1" x14ac:dyDescent="0.4">
      <c r="B48" s="162" t="s">
        <v>137</v>
      </c>
      <c r="C48" s="164">
        <v>2</v>
      </c>
      <c r="D48" s="164">
        <f>C48/SQRT(3)</f>
        <v>1.1547005383792517</v>
      </c>
      <c r="E48" s="165"/>
      <c r="O48" s="139"/>
    </row>
    <row r="49" spans="2:16" s="124" customFormat="1" ht="11.15" customHeight="1" x14ac:dyDescent="0.4">
      <c r="B49" s="162" t="s">
        <v>138</v>
      </c>
      <c r="C49" s="163">
        <v>0.2</v>
      </c>
      <c r="D49" s="164">
        <f>C49/2</f>
        <v>0.1</v>
      </c>
      <c r="E49" s="165"/>
      <c r="O49" s="139"/>
    </row>
    <row r="50" spans="2:16" s="124" customFormat="1" ht="11.15" customHeight="1" x14ac:dyDescent="0.4">
      <c r="B50" s="162" t="s">
        <v>139</v>
      </c>
      <c r="C50" s="163">
        <v>0.5</v>
      </c>
      <c r="D50" s="164">
        <f>C50/SQRT(3)</f>
        <v>0.28867513459481292</v>
      </c>
      <c r="E50" s="165"/>
      <c r="O50" s="139"/>
    </row>
    <row r="51" spans="2:16" s="124" customFormat="1" ht="11.15" customHeight="1" x14ac:dyDescent="0.5">
      <c r="B51" s="162"/>
      <c r="C51" s="166" t="s">
        <v>115</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140</v>
      </c>
      <c r="C52" s="163">
        <v>0.5</v>
      </c>
      <c r="D52" s="164">
        <f>C52/SQRT(3)</f>
        <v>0.28867513459481292</v>
      </c>
      <c r="E52" s="165"/>
      <c r="F52" s="167"/>
      <c r="G52" s="427" t="s">
        <v>84</v>
      </c>
      <c r="H52" s="427"/>
      <c r="I52" s="427"/>
      <c r="J52" s="427"/>
      <c r="K52" s="169"/>
      <c r="L52" s="427" t="s">
        <v>85</v>
      </c>
      <c r="M52" s="427"/>
      <c r="N52" s="427"/>
      <c r="O52" s="427"/>
      <c r="P52" s="427"/>
    </row>
    <row r="53" spans="2:16" s="124" customFormat="1" ht="11.15" customHeight="1" x14ac:dyDescent="0.3">
      <c r="B53" s="162" t="s">
        <v>141</v>
      </c>
      <c r="C53" s="163">
        <v>11.8</v>
      </c>
      <c r="D53" s="144"/>
      <c r="E53" s="165"/>
      <c r="F53" s="158"/>
      <c r="G53" s="170" t="s">
        <v>86</v>
      </c>
      <c r="H53" s="171">
        <v>3</v>
      </c>
      <c r="I53" s="170" t="s">
        <v>87</v>
      </c>
      <c r="J53" s="171">
        <v>3</v>
      </c>
      <c r="K53" s="169"/>
      <c r="L53" s="170" t="s">
        <v>88</v>
      </c>
      <c r="M53" s="171"/>
      <c r="N53" s="171"/>
      <c r="O53" s="171"/>
      <c r="P53" s="171"/>
    </row>
    <row r="54" spans="2:16" s="124" customFormat="1" ht="11.15" customHeight="1" x14ac:dyDescent="0.3">
      <c r="B54" s="162" t="s">
        <v>142</v>
      </c>
      <c r="C54" s="163">
        <v>11.8</v>
      </c>
      <c r="D54" s="144"/>
      <c r="E54" s="165"/>
      <c r="F54" s="158"/>
      <c r="G54" s="158"/>
      <c r="H54" s="158"/>
      <c r="I54" s="158"/>
      <c r="J54" s="158"/>
      <c r="K54" s="158"/>
      <c r="L54" s="158"/>
      <c r="M54" s="158"/>
      <c r="N54" s="158"/>
      <c r="O54" s="158"/>
      <c r="P54" s="158"/>
    </row>
    <row r="55" spans="2:16" s="124" customFormat="1" ht="11.15" customHeight="1" x14ac:dyDescent="0.3">
      <c r="B55" s="162" t="s">
        <v>143</v>
      </c>
      <c r="C55" s="164">
        <f>(C53+C54)/2</f>
        <v>11.8</v>
      </c>
      <c r="D55" s="144"/>
      <c r="E55" s="165"/>
      <c r="F55" s="158"/>
      <c r="G55" s="158"/>
      <c r="H55" s="158"/>
      <c r="I55" s="158"/>
      <c r="J55" s="172">
        <f>MAX(H53,J53)</f>
        <v>3</v>
      </c>
      <c r="K55" s="158"/>
      <c r="L55" s="172">
        <f>MAX(M53,N53,O53,P53)</f>
        <v>0</v>
      </c>
      <c r="M55" s="158"/>
      <c r="N55" s="158"/>
      <c r="O55" s="158"/>
      <c r="P55" s="158"/>
    </row>
    <row r="56" spans="2:16" s="124" customFormat="1" ht="11.15" customHeight="1" x14ac:dyDescent="0.4">
      <c r="B56" s="162" t="s">
        <v>144</v>
      </c>
      <c r="C56" s="163">
        <v>20</v>
      </c>
      <c r="D56" s="144"/>
      <c r="E56" s="165"/>
    </row>
    <row r="57" spans="2:16" s="124" customFormat="1" ht="11.15" customHeight="1" x14ac:dyDescent="0.4">
      <c r="B57" s="162" t="s">
        <v>145</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146</v>
      </c>
      <c r="C59" s="174">
        <f>(C57*C50*D48)/SQRT(3)</f>
        <v>1.6933333333333335E-2</v>
      </c>
      <c r="D59" s="175">
        <f>C59*SQRT(3)</f>
        <v>2.932939367483299E-2</v>
      </c>
      <c r="E59" s="165"/>
      <c r="F59" s="430"/>
      <c r="G59" s="430"/>
      <c r="H59" s="176"/>
      <c r="I59" s="176"/>
      <c r="J59" s="176"/>
      <c r="K59" s="176"/>
      <c r="L59" s="176"/>
      <c r="M59" s="176"/>
    </row>
    <row r="60" spans="2:16" s="124" customFormat="1" ht="12" customHeight="1" thickBot="1" x14ac:dyDescent="0.3">
      <c r="C60" s="144"/>
      <c r="D60" s="175"/>
      <c r="E60" s="165"/>
      <c r="F60" s="431"/>
      <c r="G60" s="431"/>
      <c r="H60" s="176"/>
      <c r="I60" s="430"/>
      <c r="J60" s="430"/>
      <c r="K60" s="430"/>
      <c r="L60" s="430"/>
      <c r="M60" s="430"/>
    </row>
    <row r="61" spans="2:16" s="124" customFormat="1" ht="13.5" customHeight="1" thickBot="1" x14ac:dyDescent="0.3">
      <c r="B61" s="177" t="s">
        <v>147</v>
      </c>
      <c r="C61" s="178">
        <f>(C57*C55*C50)/(SQRT(3))</f>
        <v>0.17304342268151462</v>
      </c>
      <c r="D61" s="175">
        <f>C61*SQRT(3)</f>
        <v>0.29971999999999999</v>
      </c>
      <c r="E61" s="165"/>
      <c r="F61" s="431"/>
      <c r="G61" s="431"/>
      <c r="H61" s="176"/>
      <c r="I61" s="179"/>
      <c r="J61" s="179"/>
      <c r="K61" s="180"/>
      <c r="L61" s="432"/>
      <c r="M61" s="432"/>
    </row>
    <row r="62" spans="2:16" s="124" customFormat="1" ht="15" customHeight="1" thickBot="1" x14ac:dyDescent="0.3">
      <c r="C62" s="144"/>
      <c r="D62" s="164"/>
      <c r="E62" s="165"/>
      <c r="F62" s="431"/>
      <c r="G62" s="431"/>
      <c r="H62" s="176"/>
      <c r="I62" s="179"/>
      <c r="J62" s="179"/>
      <c r="K62" s="180"/>
      <c r="L62" s="432"/>
      <c r="M62" s="432"/>
    </row>
    <row r="63" spans="2:16" s="124" customFormat="1" ht="15" customHeight="1" x14ac:dyDescent="0.3">
      <c r="B63" s="182" t="s">
        <v>148</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149</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150</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5" t="s">
        <v>151</v>
      </c>
      <c r="C70" s="425"/>
    </row>
    <row r="71" spans="2:13" s="126" customFormat="1" ht="11.15" customHeight="1" x14ac:dyDescent="0.4"/>
    <row r="72" spans="2:13" s="126" customFormat="1" ht="11.15" customHeight="1" x14ac:dyDescent="0.4">
      <c r="B72" s="126" t="s">
        <v>152</v>
      </c>
      <c r="C72" s="187">
        <v>5.0000000000000002E-5</v>
      </c>
    </row>
    <row r="73" spans="2:13" s="126" customFormat="1" ht="11.15" customHeight="1" x14ac:dyDescent="0.4">
      <c r="B73" s="186" t="s">
        <v>153</v>
      </c>
      <c r="C73" s="188" t="str">
        <f>[4]Datos!J12</f>
        <v/>
      </c>
    </row>
    <row r="74" spans="2:13" s="126" customFormat="1" ht="11.15" customHeight="1" thickBot="1" x14ac:dyDescent="0.45">
      <c r="C74" s="189"/>
    </row>
    <row r="75" spans="2:13" s="126" customFormat="1" ht="11.15" customHeight="1" thickBot="1" x14ac:dyDescent="0.45">
      <c r="B75" s="185" t="s">
        <v>154</v>
      </c>
      <c r="C75" s="154">
        <f>(C72)/(2*SQRT(3))</f>
        <v>1.4433756729740646E-5</v>
      </c>
    </row>
    <row r="76" spans="2:13" s="126" customFormat="1" ht="11.15" customHeight="1" x14ac:dyDescent="0.4"/>
    <row r="77" spans="2:13" s="126" customFormat="1" ht="11.15" customHeight="1" x14ac:dyDescent="0.4">
      <c r="B77" s="156" t="s">
        <v>155</v>
      </c>
    </row>
    <row r="78" spans="2:13" s="126" customFormat="1" ht="11.15" customHeight="1" thickBot="1" x14ac:dyDescent="0.45">
      <c r="B78" s="126" t="s">
        <v>156</v>
      </c>
      <c r="C78" s="126">
        <f>J55</f>
        <v>3</v>
      </c>
    </row>
    <row r="79" spans="2:13" s="126" customFormat="1" ht="11.15" customHeight="1" thickBot="1" x14ac:dyDescent="0.45">
      <c r="B79" s="185" t="s">
        <v>157</v>
      </c>
      <c r="C79" s="154">
        <f>C78/SQRT(6)</f>
        <v>1.2247448713915892</v>
      </c>
    </row>
    <row r="80" spans="2:13" s="126" customFormat="1" ht="11.15" customHeight="1" thickBot="1" x14ac:dyDescent="0.45"/>
    <row r="81" spans="2:14" s="126" customFormat="1" ht="11.15" customHeight="1" thickTop="1" x14ac:dyDescent="0.4">
      <c r="B81" s="156" t="s">
        <v>158</v>
      </c>
      <c r="I81" s="190" t="s">
        <v>159</v>
      </c>
      <c r="J81" s="191"/>
      <c r="K81" s="191" t="s">
        <v>160</v>
      </c>
      <c r="L81" s="192"/>
      <c r="M81" s="191"/>
      <c r="N81" s="193"/>
    </row>
    <row r="82" spans="2:14" s="126" customFormat="1" ht="11.15" customHeight="1" thickBot="1" x14ac:dyDescent="0.45">
      <c r="B82" s="126" t="s">
        <v>161</v>
      </c>
      <c r="C82" s="126">
        <f>L55</f>
        <v>0</v>
      </c>
      <c r="I82" s="194"/>
      <c r="J82" s="195"/>
      <c r="K82" s="196" t="s">
        <v>162</v>
      </c>
      <c r="L82" s="197">
        <f>C83</f>
        <v>0</v>
      </c>
      <c r="M82" s="195" t="s">
        <v>62</v>
      </c>
      <c r="N82" s="198"/>
    </row>
    <row r="83" spans="2:14" s="126" customFormat="1" ht="11.15" customHeight="1" thickBot="1" x14ac:dyDescent="0.45">
      <c r="B83" s="185" t="s">
        <v>163</v>
      </c>
      <c r="C83" s="154">
        <f>C82/SQRT(6)</f>
        <v>0</v>
      </c>
      <c r="I83" s="194" t="s">
        <v>164</v>
      </c>
      <c r="J83" s="195"/>
      <c r="K83" s="196" t="s">
        <v>165</v>
      </c>
      <c r="L83" s="197">
        <f>C22</f>
        <v>0.29255526543429933</v>
      </c>
      <c r="M83" s="195" t="s">
        <v>62</v>
      </c>
      <c r="N83" s="198"/>
    </row>
    <row r="84" spans="2:14" s="124" customFormat="1" ht="11.15" customHeight="1" x14ac:dyDescent="0.4">
      <c r="C84" s="126"/>
      <c r="D84" s="126"/>
      <c r="I84" s="199">
        <f>C10</f>
        <v>0</v>
      </c>
      <c r="J84" s="195" t="s">
        <v>62</v>
      </c>
      <c r="K84" s="196" t="s">
        <v>135</v>
      </c>
      <c r="L84" s="197">
        <f>C66</f>
        <v>0.17445168941784639</v>
      </c>
      <c r="M84" s="195" t="s">
        <v>62</v>
      </c>
      <c r="N84" s="200"/>
    </row>
    <row r="85" spans="2:14" s="126" customFormat="1" ht="11.15" customHeight="1" x14ac:dyDescent="0.4">
      <c r="B85" s="156" t="s">
        <v>166</v>
      </c>
      <c r="D85" s="124"/>
      <c r="E85" s="124"/>
      <c r="F85" s="124" t="s">
        <v>167</v>
      </c>
      <c r="G85" s="124"/>
      <c r="H85" s="124"/>
      <c r="I85" s="194" t="s">
        <v>168</v>
      </c>
      <c r="J85" s="195"/>
      <c r="K85" s="196" t="s">
        <v>60</v>
      </c>
      <c r="L85" s="197">
        <f>C79</f>
        <v>1.2247448713915892</v>
      </c>
      <c r="M85" s="195" t="s">
        <v>62</v>
      </c>
      <c r="N85" s="198"/>
    </row>
    <row r="86" spans="2:14" s="126" customFormat="1" ht="11.15" customHeight="1" x14ac:dyDescent="0.4">
      <c r="B86" s="126" t="s">
        <v>169</v>
      </c>
      <c r="C86" s="201">
        <f>C72/4</f>
        <v>1.2500000000000001E-5</v>
      </c>
      <c r="D86" s="124"/>
      <c r="E86" s="124"/>
      <c r="F86" s="433" t="s">
        <v>170</v>
      </c>
      <c r="G86" s="433"/>
      <c r="H86" s="434"/>
      <c r="I86" s="199">
        <f>C75</f>
        <v>1.4433756729740646E-5</v>
      </c>
      <c r="J86" s="195" t="s">
        <v>62</v>
      </c>
      <c r="K86" s="197" t="s">
        <v>171</v>
      </c>
      <c r="L86" s="202">
        <f>C87</f>
        <v>7.2168783648703231E-6</v>
      </c>
      <c r="M86" s="195" t="s">
        <v>62</v>
      </c>
      <c r="N86" s="200"/>
    </row>
    <row r="87" spans="2:14" s="126" customFormat="1" ht="11.15" customHeight="1" x14ac:dyDescent="0.4">
      <c r="B87" s="136" t="s">
        <v>163</v>
      </c>
      <c r="C87" s="136">
        <f>C86/SQRT(3)</f>
        <v>7.2168783648703231E-6</v>
      </c>
      <c r="D87" s="124"/>
      <c r="E87" s="124"/>
      <c r="F87" s="433"/>
      <c r="G87" s="433"/>
      <c r="H87" s="434"/>
      <c r="I87" s="194"/>
      <c r="J87" s="195"/>
      <c r="K87" s="203"/>
      <c r="L87" s="203"/>
      <c r="M87" s="195"/>
      <c r="N87" s="200"/>
    </row>
    <row r="88" spans="2:14" s="126" customFormat="1" ht="11.15" customHeight="1" x14ac:dyDescent="0.4">
      <c r="D88" s="124"/>
      <c r="E88" s="124"/>
      <c r="F88" s="124"/>
      <c r="G88" s="124"/>
      <c r="H88" s="124"/>
      <c r="I88" s="194" t="s">
        <v>172</v>
      </c>
      <c r="J88" s="201">
        <f>SQRT(I84^2+I86^2)</f>
        <v>1.4433756729740646E-5</v>
      </c>
      <c r="K88" s="204" t="s">
        <v>172</v>
      </c>
      <c r="L88" s="201">
        <f>SQRT(L83^2+L84^2+L85^2+L82^2+L86^2)</f>
        <v>1.2712285299371462</v>
      </c>
      <c r="M88" s="202"/>
      <c r="N88" s="200"/>
    </row>
    <row r="89" spans="2:14" s="126" customFormat="1" ht="11.15" customHeight="1" x14ac:dyDescent="0.4">
      <c r="B89" s="205" t="s">
        <v>173</v>
      </c>
      <c r="C89" s="205">
        <f>SQRT(POWER(C75,2) + POWER(C66,2) + POWER(C10,2) +POWER(C83,2) + POWER(C87,2) + POWER(C22,2) + POWER(C79,2)+ POWER(C28,2)+ POWER(C32,2)+ POWER(C36,2)+ POWER(C40,2)+ POWER(C44,2))</f>
        <v>1.2807635647799418</v>
      </c>
      <c r="I89" s="194" t="s">
        <v>174</v>
      </c>
      <c r="J89" s="201">
        <f>J88*2</f>
        <v>2.8867513459481293E-5</v>
      </c>
      <c r="K89" s="195" t="s">
        <v>174</v>
      </c>
      <c r="L89" s="201">
        <f>L88*2</f>
        <v>2.5424570598742924</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175</v>
      </c>
      <c r="C91" s="207">
        <f>C89*2</f>
        <v>2.5615271295598836</v>
      </c>
      <c r="D91" s="126"/>
      <c r="I91" s="194"/>
      <c r="J91" s="208" t="s">
        <v>176</v>
      </c>
      <c r="K91" s="209">
        <f>SQRT(J89^2+L89^2)</f>
        <v>2.542457060038176</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177</v>
      </c>
      <c r="D95" s="121" t="s">
        <v>178</v>
      </c>
      <c r="I95" s="215"/>
      <c r="J95" s="124"/>
      <c r="K95" s="124"/>
      <c r="L95" s="124"/>
      <c r="M95" s="124"/>
      <c r="N95" s="214"/>
    </row>
    <row r="96" spans="2:14" ht="11.15" hidden="1" customHeight="1" x14ac:dyDescent="0.4">
      <c r="B96" s="119" t="s">
        <v>179</v>
      </c>
      <c r="C96" s="120">
        <v>5.8</v>
      </c>
      <c r="D96" s="121">
        <v>0</v>
      </c>
      <c r="I96" s="215"/>
      <c r="J96" s="124"/>
      <c r="K96" s="124"/>
      <c r="L96" s="124"/>
      <c r="M96" s="124"/>
      <c r="N96" s="214"/>
    </row>
    <row r="97" spans="1:14" ht="11.15" hidden="1" customHeight="1" x14ac:dyDescent="0.4">
      <c r="B97" s="119" t="s">
        <v>180</v>
      </c>
      <c r="C97" s="120">
        <v>24</v>
      </c>
      <c r="D97" s="121">
        <v>1500</v>
      </c>
      <c r="I97" s="215"/>
      <c r="J97" s="216"/>
      <c r="K97" s="124"/>
      <c r="L97" s="216"/>
      <c r="M97" s="165"/>
      <c r="N97" s="214"/>
    </row>
    <row r="98" spans="1:14" ht="11.15" hidden="1" customHeight="1" x14ac:dyDescent="0.4">
      <c r="B98" s="119" t="s">
        <v>181</v>
      </c>
      <c r="C98" s="217">
        <f>C97-C96</f>
        <v>18.2</v>
      </c>
      <c r="D98" s="218">
        <f>D97-D96</f>
        <v>1500</v>
      </c>
      <c r="I98" s="215" t="s">
        <v>182</v>
      </c>
      <c r="J98" s="124"/>
      <c r="K98" s="124" t="s">
        <v>183</v>
      </c>
      <c r="L98" s="124"/>
      <c r="M98" s="124"/>
      <c r="N98" s="214"/>
    </row>
    <row r="99" spans="1:14" ht="11.15" hidden="1" customHeight="1" x14ac:dyDescent="0.4">
      <c r="B99" s="219" t="s">
        <v>184</v>
      </c>
      <c r="C99" s="120">
        <f>C96-C98*D96/D98</f>
        <v>5.8</v>
      </c>
      <c r="I99" s="220">
        <f>C17</f>
        <v>0</v>
      </c>
      <c r="J99" s="124"/>
      <c r="K99" s="124">
        <f>C54</f>
        <v>11.8</v>
      </c>
      <c r="L99" s="124"/>
      <c r="M99" s="124" t="s">
        <v>185</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184</v>
      </c>
      <c r="C101" s="217">
        <f>C99</f>
        <v>5.8</v>
      </c>
      <c r="I101" s="215"/>
      <c r="J101" s="124"/>
      <c r="K101" s="124">
        <f>E54</f>
        <v>0</v>
      </c>
      <c r="L101" s="124"/>
      <c r="M101" s="124" t="s">
        <v>186</v>
      </c>
      <c r="N101" s="214">
        <v>2.4</v>
      </c>
    </row>
    <row r="102" spans="1:14" ht="11.15" hidden="1" customHeight="1" x14ac:dyDescent="0.4">
      <c r="B102" s="221" t="s">
        <v>187</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188</v>
      </c>
      <c r="C103" s="120">
        <v>1500</v>
      </c>
      <c r="I103" s="215">
        <f>I102*2</f>
        <v>1.4433756729740646E-5</v>
      </c>
      <c r="J103" s="124"/>
      <c r="K103" s="124" t="e">
        <f>K102*2</f>
        <v>#VALUE!</v>
      </c>
      <c r="L103" s="124"/>
      <c r="M103" s="124"/>
      <c r="N103" s="214"/>
    </row>
    <row r="104" spans="1:14" ht="11.15" hidden="1" customHeight="1" x14ac:dyDescent="0.4">
      <c r="B104" s="221" t="s">
        <v>115</v>
      </c>
      <c r="C104" s="120">
        <f>C101+C103*C102</f>
        <v>24</v>
      </c>
      <c r="I104" s="215"/>
      <c r="J104" s="124"/>
      <c r="K104" s="124"/>
      <c r="L104" s="124"/>
      <c r="M104" s="124"/>
      <c r="N104" s="214"/>
    </row>
    <row r="105" spans="1:14" hidden="1" x14ac:dyDescent="0.4">
      <c r="A105" s="435" t="e">
        <f>#REF!</f>
        <v>#REF!</v>
      </c>
      <c r="B105" s="436"/>
      <c r="C105" s="222" t="s">
        <v>189</v>
      </c>
      <c r="D105" s="223" t="e">
        <f>#REF!</f>
        <v>#REF!</v>
      </c>
      <c r="I105" s="224"/>
      <c r="J105" s="216"/>
      <c r="N105" s="225"/>
    </row>
    <row r="106" spans="1:14" hidden="1" x14ac:dyDescent="0.4">
      <c r="A106" s="435" t="e">
        <f>#REF!</f>
        <v>#REF!</v>
      </c>
      <c r="B106" s="436"/>
      <c r="C106" s="222" t="s">
        <v>190</v>
      </c>
      <c r="D106" s="223" t="e">
        <f>#REF!</f>
        <v>#REF!</v>
      </c>
      <c r="I106" s="224"/>
      <c r="J106" s="216"/>
      <c r="N106" s="225"/>
    </row>
    <row r="107" spans="1:14" hidden="1" x14ac:dyDescent="0.4">
      <c r="A107" s="435" t="e">
        <f>#REF!</f>
        <v>#REF!</v>
      </c>
      <c r="B107" s="436"/>
      <c r="C107" s="222" t="s">
        <v>191</v>
      </c>
      <c r="D107" s="223" t="e">
        <f>#REF!</f>
        <v>#REF!</v>
      </c>
      <c r="I107" s="224"/>
      <c r="J107" s="216"/>
      <c r="N107" s="225"/>
    </row>
    <row r="108" spans="1:14" hidden="1" x14ac:dyDescent="0.4">
      <c r="I108" s="224" t="s">
        <v>192</v>
      </c>
      <c r="J108" s="216"/>
      <c r="N108" s="225"/>
    </row>
    <row r="109" spans="1:14" x14ac:dyDescent="0.4">
      <c r="C109" s="120" t="str">
        <f>"± "&amp;IF(C89*2&lt;(1.4+(0.005*C14)),"(1.4+0.005 L) µm, L en mm ",ROUND(C91,1)&amp;" μm ")</f>
        <v xml:space="preserve">± 2.6 μm </v>
      </c>
      <c r="I109" s="224"/>
      <c r="J109" s="216"/>
      <c r="N109" s="225"/>
    </row>
    <row r="110" spans="1:14" x14ac:dyDescent="0.4">
      <c r="I110" s="428" t="s">
        <v>193</v>
      </c>
      <c r="J110" s="429"/>
      <c r="K110" s="429"/>
      <c r="L110" s="195"/>
      <c r="M110" s="195"/>
      <c r="N110" s="226"/>
    </row>
    <row r="111" spans="1:14" x14ac:dyDescent="0.4">
      <c r="I111" s="194" t="s">
        <v>192</v>
      </c>
      <c r="J111" s="201">
        <v>1.304</v>
      </c>
      <c r="K111" s="227">
        <f>(J112-J111)/600</f>
        <v>5.4083333333333336E-3</v>
      </c>
      <c r="L111" s="195"/>
      <c r="M111" s="195"/>
      <c r="N111" s="226"/>
    </row>
    <row r="112" spans="1:14" x14ac:dyDescent="0.4">
      <c r="I112" s="228" t="s">
        <v>194</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195</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2023-05-25T20:21:45Z</dcterms:modified>
</cp:coreProperties>
</file>