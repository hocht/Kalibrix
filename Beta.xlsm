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2AC803B4-A5FD-4189-8317-1318424588E1}" xr6:coauthVersionLast="47" xr6:coauthVersionMax="47" xr10:uidLastSave="{00000000-0000-0000-0000-000000000000}"/>
  <bookViews>
    <workbookView xWindow="-103" yWindow="-103" windowWidth="33120" windowHeight="18000"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<sst xmlns="http://schemas.openxmlformats.org/spreadsheetml/2006/main" count="117" uniqueCount="110">
  <si>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</si>
  <si>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</si>
  <si>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</si>
  <si>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</si>
  <si>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</si>
  <si>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</si>
  <si>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</si>
  <si>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</si>
  <si>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</si>
  <si>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</si>
  <si>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</si>
  <si>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</si>
  <si>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</si>
  <si>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</si>
  <si>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</si>
  <si>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</si>
  <si>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</si>
  <si>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</si>
  <si>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</si>
  <si>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</si>
  <si>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</si>
  <si>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</si>
  <si>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</si>
  <si>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</si>
  <si>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</si>
  <si>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</si>
  <si>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</si>
  <si>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</si>
  <si>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</si>
  <si>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</si>
  <si>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</si>
  <si>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</si>
  <si>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</si>
  <si>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</si>
  <si>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</si>
  <si>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</si>
  <si>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</si>
  <si>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</si>
  <si>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</si>
  <si>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</si>
  <si>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</si>
  <si>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</si>
  <si>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</si>
  <si>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</si>
  <si>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</si>
  <si>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</si>
  <si>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</si>
  <si>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</si>
  <si>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</si>
  <si>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</si>
  <si>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</si>
  <si>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</si>
  <si>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</si>
  <si>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</si>
  <si>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</si>
  <si>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</si>
  <si>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</si>
  <si>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</si>
  <si>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</si>
  <si>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</si>
  <si>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</si>
  <si>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</si>
  <si>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</si>
  <si>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</si>
  <si>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</si>
  <si>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</si>
  <si>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</si>
  <si>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</si>
  <si>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</si>
  <si>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</si>
  <si>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</si>
  <si>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</si>
  <si>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</si>
  <si>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</si>
  <si>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</si>
  <si>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</si>
  <si>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</si>
  <si>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</si>
  <si>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</si>
  <si>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Robin Mexicana, S. de R.L. de C.V.</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</si>
  <si>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</si>
  <si>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</si>
  <si>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</si>
  <si>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</si>
  <si>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</si>
  <si>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</si>
  <si>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</si>
  <si>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</si>
  <si>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</si>
  <si>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</si>
  <si>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</si>
  <si>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</si>
  <si>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</si>
  <si>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</si>
  <si>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</si>
  <si>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</si>
  <si>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</si>
  <si>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</si>
  <si>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 xml:space="preserve">Av. Las Misiones  9 Parque Industrial Bernardo Quintana 76246 El Marqués Querétaro,  México </t>
  </si>
  <si>
    <t>Alcance</t>
  </si>
  <si>
    <t>TCM2303-0231</t>
  </si>
  <si>
    <t>MICROMETRO DE EXTERIORES TOPE PLANO</t>
  </si>
  <si>
    <t>EHQ-4333-MIC</t>
  </si>
  <si>
    <t>2-3 in</t>
  </si>
  <si>
    <t>2 - 3 in</t>
  </si>
  <si>
    <t>Método Empleado:</t>
  </si>
  <si>
    <t>Measuring Method:</t>
  </si>
  <si>
    <t>STARRETT</t>
  </si>
  <si>
    <t>436-3</t>
  </si>
  <si>
    <t>40-0003-007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</si>
</sst>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b/>
      <sz val="16"/>
      <color rgb="FF002060"/>
      <name val="Arial"/>
      <family val="2"/>
    </font>
    <font>
      <u/>
      <sz val="11"/>
      <color theme="1"/>
      <name val="Calibri"/>
      <family val="2"/>
      <scheme val="minor"/>
    </font>
    <font>
      <b/>
      <u/>
      <sz val="14"/>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26" fillId="4" borderId="75" xfId="0" applyFont="1" applyFill="1" applyBorder="1" applyAlignment="1">
      <alignment horizontal="center" vertical="center" wrapText="1"/>
    </xf>
    <xf numFmtId="0" fontId="26" fillId="4" borderId="81" xfId="0" applyFont="1" applyFill="1" applyBorder="1" applyAlignment="1">
      <alignment horizontal="center" vertical="center" wrapText="1"/>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9" fillId="0" borderId="0" xfId="0" applyFont="1" applyAlignment="1">
      <alignment horizontal="right"/>
    </xf>
    <xf numFmtId="0" fontId="79" fillId="0" borderId="0" xfId="0" applyFont="1"/>
    <xf numFmtId="169" fontId="81" fillId="5" borderId="70" xfId="0" applyNumberFormat="1" applyFont="1" applyFill="1" applyBorder="1" applyAlignment="1" applyProtection="1">
      <alignment horizontal="center" vertical="center"/>
      <protection locked="0"/>
    </xf>
    <xf numFmtId="0" fontId="82" fillId="0" borderId="0" xfId="0" applyFont="1" applyAlignment="1">
      <alignment horizontal="center"/>
    </xf>
    <xf numFmtId="0" fontId="83" fillId="0" borderId="76" xfId="0" applyFont="1" applyBorder="1" applyAlignment="1">
      <alignment horizontal="center" vertical="center" wrapText="1"/>
    </xf>
    <xf numFmtId="0" fontId="83" fillId="0" borderId="83" xfId="0" applyFont="1" applyBorder="1" applyAlignment="1">
      <alignment horizontal="center" vertical="center" wrapText="1"/>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80" fillId="0" borderId="0" xfId="0" applyNumberFormat="1"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78" fillId="4" borderId="77" xfId="2" applyFont="1" applyFill="1" applyBorder="1" applyAlignment="1">
      <alignment horizontal="center" vertical="center" wrapText="1"/>
    </xf>
    <xf numFmtId="0" fontId="78" fillId="4" borderId="78" xfId="2" applyFont="1" applyFill="1" applyBorder="1" applyAlignment="1">
      <alignment horizontal="center" vertical="center" wrapText="1"/>
    </xf>
    <xf numFmtId="0" fontId="78" fillId="4" borderId="79" xfId="2" applyFont="1" applyFill="1" applyBorder="1" applyAlignment="1">
      <alignment horizontal="center" vertical="center" wrapText="1"/>
    </xf>
    <xf numFmtId="0" fontId="78"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6" fillId="4" borderId="87" xfId="0" applyFont="1" applyFill="1" applyBorder="1" applyAlignment="1">
      <alignment horizontal="center" vertical="center" wrapText="1"/>
    </xf>
    <xf numFmtId="0" fontId="83" fillId="0" borderId="88" xfId="0" applyFont="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1">
    <dxf>
      <font>
        <color theme="0"/>
      </font>
      <fill>
        <patternFill>
          <bgColor theme="0"/>
        </patternFill>
      </fill>
      <border>
        <right style="thin">
          <color theme="0"/>
        </right>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695323</xdr:colOff>
          <xdr:row>5</xdr:row>
          <xdr:rowOff>19050</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428623</xdr:colOff>
          <xdr:row>7</xdr:row>
          <xdr:rowOff>180977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409577</xdr:colOff>
          <xdr:row>10</xdr:row>
          <xdr:rowOff>200023</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409577</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400050</xdr:colOff>
          <xdr:row>13</xdr:row>
          <xdr:rowOff>85723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100260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1036053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1186447</xdr:colOff>
      <xdr:row>1</xdr:row>
      <xdr:rowOff>1002632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1064041</xdr:colOff>
      <xdr:row>51</xdr:row>
      <xdr:rowOff>891937</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1214435</xdr:colOff>
      <xdr:row>51</xdr:row>
      <xdr:rowOff>1054456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tabSelected="1" topLeftCell="A7" workbookViewId="0">
      <selection activeCell="J24" sqref="J24"/>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7">
        <v>80</v>
      </c>
      <c r="B1" s="147" t="s">
        <v>95</v>
      </c>
      <c r="C1" s="147"/>
    </row>
    <row r="2" spans="1:13" ht="17.149999999999999" thickBot="1" x14ac:dyDescent="0.5">
      <c r="A2" s="137" t="s">
        <v>100</v>
      </c>
      <c r="B2" s="147" t="s">
        <v>96</v>
      </c>
      <c r="C2" s="147"/>
      <c r="E2" s="134" t="s">
        <v>80</v>
      </c>
      <c r="F2" s="135"/>
      <c r="G2" s="132"/>
    </row>
    <row r="3" spans="1:13" ht="18.899999999999999" thickBot="1" x14ac:dyDescent="0.55000000000000004">
      <c r="A3" s="137" t="s">
        <v>88</v>
      </c>
      <c r="B3" s="147" t="s">
        <v>97</v>
      </c>
      <c r="C3" s="147"/>
      <c r="E3" s="133" t="s">
        <v>81</v>
      </c>
      <c r="F3" s="133"/>
      <c r="G3" s="104"/>
    </row>
    <row r="4" spans="1:13" ht="18.45" x14ac:dyDescent="0.5">
      <c r="E4" s="144" t="s">
        <v>82</v>
      </c>
      <c r="F4" s="144"/>
      <c r="G4" s="104"/>
    </row>
    <row r="5" spans="1:13" ht="18.45" x14ac:dyDescent="0.5">
      <c r="A5" s="106" t="s">
        <v>85</v>
      </c>
      <c r="B5" s="145"/>
      <c r="C5" s="145"/>
      <c r="E5" s="144" t="s">
        <v>83</v>
      </c>
      <c r="F5" s="144"/>
      <c r="G5" s="104"/>
    </row>
    <row r="6" spans="1:13" ht="18.45" x14ac:dyDescent="0.5">
      <c r="A6" s="106" t="s">
        <v>86</v>
      </c>
      <c r="B6" s="146"/>
      <c r="C6" s="146"/>
      <c r="E6" s="144" t="s">
        <v>84</v>
      </c>
      <c r="F6" s="144"/>
      <c r="G6" s="104"/>
      <c r="I6" s="125"/>
    </row>
    <row r="7" spans="1:13" ht="19.75" x14ac:dyDescent="0.4">
      <c r="C7" s="128"/>
      <c r="D7" s="128"/>
      <c r="E7" s="102"/>
      <c r="I7" s="103"/>
    </row>
    <row r="8" spans="1:13" ht="18.45" customHeight="1" x14ac:dyDescent="0.4">
      <c r="C8" s="126"/>
      <c r="D8" s="127"/>
      <c r="E8" s="102"/>
      <c r="I8" s="103"/>
    </row>
    <row r="9" spans="1:13" ht="18.45" customHeight="1" x14ac:dyDescent="0.4">
      <c r="B9" s="139"/>
      <c r="C9" s="126"/>
      <c r="D9" s="127"/>
      <c r="E9" s="102"/>
      <c r="H9" s="139"/>
      <c r="I9" s="103"/>
    </row>
    <row r="10" spans="1:13" x14ac:dyDescent="0.4">
      <c r="E10" s="105"/>
      <c r="I10" s="138"/>
    </row>
    <row r="11" spans="1:13" ht="19.75" x14ac:dyDescent="0.5">
      <c r="B11" s="150"/>
      <c r="C11" s="150"/>
      <c r="D11" s="107"/>
      <c r="G11" s="107"/>
      <c r="H11" s="107"/>
      <c r="I11" s="107"/>
      <c r="J11" s="96"/>
      <c r="K11" s="96"/>
    </row>
    <row r="12" spans="1:13" ht="18.45" x14ac:dyDescent="0.5">
      <c r="B12" s="148"/>
      <c r="C12" s="149"/>
      <c r="D12" s="108"/>
      <c r="E12" s="108"/>
      <c r="F12" s="108"/>
      <c r="G12" s="107"/>
      <c r="H12" s="107"/>
      <c r="I12" s="107"/>
      <c r="K12" s="96"/>
      <c r="M12" s="105"/>
    </row>
    <row r="13" spans="1:13" ht="20.6" x14ac:dyDescent="0.5">
      <c r="B13" s="109"/>
      <c r="C13" s="109">
        <v>1</v>
      </c>
      <c r="D13" s="109">
        <v>2</v>
      </c>
      <c r="E13" s="109">
        <v>3</v>
      </c>
      <c r="F13" s="110" t="s">
        <v>87</v>
      </c>
      <c r="G13" s="111" t="s">
        <v>99</v>
      </c>
      <c r="H13" s="129" t="s">
        <v>104</v>
      </c>
      <c r="I13" s="107"/>
      <c r="K13" s="131"/>
    </row>
    <row r="14" spans="1:13" ht="18.45" x14ac:dyDescent="0.5">
      <c r="B14" s="112">
        <v>2</v>
      </c>
      <c r="C14" s="113">
        <v>1</v>
      </c>
      <c r="D14" s="113">
        <v>3</v>
      </c>
      <c r="E14" s="113">
        <v>1</v>
      </c>
      <c r="F14" s="114">
        <v>1.6666666666666667</v>
      </c>
      <c r="G14" s="107"/>
      <c r="H14" s="107"/>
      <c r="I14" s="107"/>
      <c r="M14" s="96"/>
    </row>
    <row r="15" spans="1:13" ht="18.45" x14ac:dyDescent="0.5">
      <c r="B15" s="112">
        <v>2.105</v>
      </c>
      <c r="C15" s="113">
        <v>1</v>
      </c>
      <c r="D15" s="113">
        <v>3</v>
      </c>
      <c r="E15" s="113">
        <v>1</v>
      </c>
      <c r="F15" s="114">
        <v>1.6666666666666667</v>
      </c>
      <c r="G15" s="107"/>
      <c r="H15" s="107"/>
      <c r="I15" s="107"/>
      <c r="M15" s="96"/>
    </row>
    <row r="16" spans="1:13" ht="18.45" x14ac:dyDescent="0.5">
      <c r="B16" s="112">
        <v>2.21</v>
      </c>
      <c r="C16" s="113">
        <v>1</v>
      </c>
      <c r="D16" s="113">
        <v>4</v>
      </c>
      <c r="E16" s="113">
        <v>1</v>
      </c>
      <c r="F16" s="114">
        <v>2</v>
      </c>
      <c r="K16" s="106"/>
      <c r="M16" s="96"/>
    </row>
    <row r="17" spans="2:13" ht="18.45" x14ac:dyDescent="0.5">
      <c r="B17" s="112">
        <v>2.3149999999999999</v>
      </c>
      <c r="C17" s="113">
        <v>3</v>
      </c>
      <c r="D17" s="113">
        <v>2</v>
      </c>
      <c r="E17" s="113">
        <v>1</v>
      </c>
      <c r="F17" s="114">
        <v>2</v>
      </c>
      <c r="K17" s="102"/>
      <c r="M17" s="96"/>
    </row>
    <row r="18" spans="2:13" ht="18.45" x14ac:dyDescent="0.5">
      <c r="B18" s="112">
        <v>2.42</v>
      </c>
      <c r="C18" s="113">
        <v>1</v>
      </c>
      <c r="D18" s="113">
        <v>1</v>
      </c>
      <c r="E18" s="113">
        <v>1</v>
      </c>
      <c r="F18" s="114">
        <v>1</v>
      </c>
      <c r="K18" s="102"/>
      <c r="M18" s="96"/>
    </row>
    <row r="19" spans="2:13" ht="18.45" x14ac:dyDescent="0.5">
      <c r="B19" s="112">
        <v>2.5</v>
      </c>
      <c r="C19" s="113">
        <v>3</v>
      </c>
      <c r="D19" s="113">
        <v>3</v>
      </c>
      <c r="E19" s="113">
        <v>1</v>
      </c>
      <c r="F19" s="114">
        <v>2.3333333333333335</v>
      </c>
      <c r="K19" s="96"/>
      <c r="M19" s="96"/>
    </row>
    <row r="20" spans="2:13" ht="18.45" x14ac:dyDescent="0.5">
      <c r="B20" s="112">
        <v>2.605</v>
      </c>
      <c r="C20" s="140">
        <v>1</v>
      </c>
      <c r="D20" s="113">
        <v>1</v>
      </c>
      <c r="E20" s="113">
        <v>2</v>
      </c>
      <c r="F20" s="114">
        <v>1.3333333333333333</v>
      </c>
      <c r="G20" s="107"/>
      <c r="H20" s="107"/>
      <c r="I20" s="107"/>
      <c r="K20" s="96"/>
      <c r="M20" s="96"/>
    </row>
    <row r="21" spans="2:13" ht="18.45" x14ac:dyDescent="0.5">
      <c r="B21" s="112">
        <v>2.71</v>
      </c>
      <c r="C21" s="113">
        <v>1</v>
      </c>
      <c r="D21" s="113">
        <v>1</v>
      </c>
      <c r="E21" s="113">
        <v>1</v>
      </c>
      <c r="F21" s="114">
        <v>1</v>
      </c>
      <c r="G21" s="107"/>
      <c r="H21" s="107"/>
      <c r="I21" s="107"/>
    </row>
    <row r="22" spans="2:13" ht="18.45" x14ac:dyDescent="0.5">
      <c r="B22" s="112">
        <v>2.8149999999999999</v>
      </c>
      <c r="C22" s="113">
        <v>1</v>
      </c>
      <c r="D22" s="113">
        <v>1</v>
      </c>
      <c r="E22" s="113">
        <v>1</v>
      </c>
      <c r="F22" s="114">
        <v>1</v>
      </c>
      <c r="G22" s="107"/>
      <c r="H22" s="107"/>
      <c r="I22" s="141"/>
      <c r="J22" s="130"/>
    </row>
    <row r="23" spans="2:13" ht="18.45" x14ac:dyDescent="0.5">
      <c r="B23" s="112">
        <v>2.92</v>
      </c>
      <c r="C23" s="113">
        <v>1</v>
      </c>
      <c r="D23" s="113">
        <v>1</v>
      </c>
      <c r="E23" s="113">
        <v>1</v>
      </c>
      <c r="F23" s="114">
        <v>1</v>
      </c>
      <c r="G23" s="107"/>
      <c r="H23" s="107"/>
      <c r="I23" s="107"/>
    </row>
    <row r="24" spans="2:13" ht="18.45" x14ac:dyDescent="0.5">
      <c r="B24" s="112">
        <v>3</v>
      </c>
      <c r="C24" s="113">
        <v>3</v>
      </c>
      <c r="D24" s="113">
        <v>4</v>
      </c>
      <c r="E24" s="113">
        <v>3</v>
      </c>
      <c r="F24" s="114">
        <v>3.3333333333333335</v>
      </c>
      <c r="G24" s="107"/>
      <c r="H24" s="107"/>
      <c r="I24" s="107"/>
      <c r="M24" s="96"/>
    </row>
    <row r="25" spans="2:13" ht="18.45" x14ac:dyDescent="0.5">
      <c r="B25" s="107"/>
      <c r="C25" s="115"/>
      <c r="D25" s="107"/>
      <c r="G25" s="107"/>
      <c r="H25" s="107"/>
      <c r="I25" s="107"/>
    </row>
    <row r="26" spans="2:13" x14ac:dyDescent="0.4">
      <c r="B26" s="136" t="s">
        <v>89</v>
      </c>
      <c r="C26" s="136"/>
      <c r="D26" s="136"/>
      <c r="E26" s="136"/>
      <c r="F26" s="116"/>
      <c r="G26" s="136" t="s">
        <v>90</v>
      </c>
      <c r="H26" s="136"/>
      <c r="I26" s="136"/>
      <c r="J26" s="136"/>
      <c r="K26" s="136"/>
    </row>
    <row r="27" spans="2:13" x14ac:dyDescent="0.4">
      <c r="B27" s="117" t="s">
        <v>91</v>
      </c>
      <c r="C27" s="118"/>
      <c r="D27" s="117" t="s">
        <v>92</v>
      </c>
      <c r="E27" s="118"/>
      <c r="F27" s="116"/>
      <c r="G27" s="117" t="s">
        <v>93</v>
      </c>
      <c r="H27" s="118"/>
      <c r="I27" s="118"/>
      <c r="J27" s="118"/>
      <c r="K27" s="118"/>
    </row>
    <row r="29" spans="2:13" x14ac:dyDescent="0.4">
      <c r="E29" s="119">
        <f>MAX(C27,E27)</f>
        <v>0</v>
      </c>
      <c r="G29" s="119">
        <f>MAX(H27,I27,J27,K27)</f>
        <v>0</v>
      </c>
    </row>
    <row r="31" spans="2:13" x14ac:dyDescent="0.4">
      <c r="B31" s="136" t="s">
        <v>94</v>
      </c>
      <c r="C31" s="136"/>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disablePrompts="1"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Borrarpatron">
          <controlPr defaultSize="0" autoLine="0" r:id="rId5">
            <anchor moveWithCells="1">
              <from>
                <xdr:col>11</xdr:col>
                <xdr:colOff>762000</xdr:colOff>
                <xdr:row>11</xdr:row>
                <xdr:rowOff>179614</xdr:rowOff>
              </from>
              <to>
                <xdr:col>13</xdr:col>
                <xdr:colOff>402771</xdr:colOff>
                <xdr:row>13</xdr:row>
                <xdr:rowOff>81643</xdr:rowOff>
              </to>
            </anchor>
          </controlPr>
        </control>
      </mc:Choice>
      <mc:Fallback>
        <control shapeId="2070" r:id="rId4" name="Borrarpatron"/>
      </mc:Fallback>
    </mc:AlternateContent>
    <mc:AlternateContent xmlns:mc="http://schemas.openxmlformats.org/markup-compatibility/2006">
      <mc:Choice Requires="x14">
        <control shapeId="2051" r:id="rId6" name="BuscarEquipo">
          <controlPr defaultSize="0" autoLine="0" r:id="rId7">
            <anchor moveWithCells="1">
              <from>
                <xdr:col>9</xdr:col>
                <xdr:colOff>767443</xdr:colOff>
                <xdr:row>8</xdr:row>
                <xdr:rowOff>223157</xdr:rowOff>
              </from>
              <to>
                <xdr:col>11</xdr:col>
                <xdr:colOff>408214</xdr:colOff>
                <xdr:row>10</xdr:row>
                <xdr:rowOff>201386</xdr:rowOff>
              </to>
            </anchor>
          </controlPr>
        </control>
      </mc:Choice>
      <mc:Fallback>
        <control shapeId="2051" r:id="rId6" name="BuscarEquipo"/>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49" r:id="rId10" name="BuscarRutas">
          <controlPr defaultSize="0" autoLine="0" r:id="rId11">
            <anchor moveWithCells="1">
              <from>
                <xdr:col>10</xdr:col>
                <xdr:colOff>0</xdr:colOff>
                <xdr:row>3</xdr:row>
                <xdr:rowOff>38100</xdr:rowOff>
              </from>
              <to>
                <xdr:col>11</xdr:col>
                <xdr:colOff>696686</xdr:colOff>
                <xdr:row>5</xdr:row>
                <xdr:rowOff>21771</xdr:rowOff>
              </to>
            </anchor>
          </controlPr>
        </control>
      </mc:Choice>
      <mc:Fallback>
        <control shapeId="2049" r:id="rId10" name="BuscarRutas"/>
      </mc:Fallback>
    </mc:AlternateContent>
    <mc:AlternateContent xmlns:mc="http://schemas.openxmlformats.org/markup-compatibility/2006">
      <mc:Choice Requires="x14">
        <control shapeId="2059" r:id="rId12" name="BuscarPatron">
          <controlPr defaultSize="0" autoLine="0" r:id="rId13">
            <anchor moveWithCells="1">
              <from>
                <xdr:col>9</xdr:col>
                <xdr:colOff>772886</xdr:colOff>
                <xdr:row>11</xdr:row>
                <xdr:rowOff>190500</xdr:rowOff>
              </from>
              <to>
                <xdr:col>11</xdr:col>
                <xdr:colOff>413657</xdr:colOff>
                <xdr:row>13</xdr:row>
                <xdr:rowOff>92529</xdr:rowOff>
              </to>
            </anchor>
          </controlPr>
        </control>
      </mc:Choice>
      <mc:Fallback>
        <control shapeId="2059" r:id="rId12"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54" zoomScale="85" zoomScaleNormal="40" zoomScaleSheetLayoutView="85" zoomScalePageLayoutView="70" workbookViewId="0">
      <selection activeCell="M81" sqref="M81"/>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5" t="s">
        <v>0</v>
      </c>
      <c r="F1" s="165"/>
      <c r="G1" s="165"/>
      <c r="H1" s="165"/>
      <c r="I1" s="165"/>
      <c r="J1" s="165"/>
      <c r="K1" s="165"/>
      <c r="L1"/>
      <c r="M1"/>
    </row>
    <row r="2" spans="1:14" ht="90" customHeight="1" thickBot="1" x14ac:dyDescent="0.45">
      <c r="A2" s="3"/>
      <c r="B2" s="3"/>
      <c r="C2" s="3"/>
      <c r="D2" s="4"/>
      <c r="E2" s="166"/>
      <c r="F2" s="166"/>
      <c r="G2" s="166"/>
      <c r="H2" s="166"/>
      <c r="I2" s="166"/>
      <c r="J2" s="166"/>
      <c r="K2" s="166"/>
      <c r="L2" s="5"/>
      <c r="M2" s="5"/>
      <c r="N2" s="6"/>
    </row>
    <row r="3" spans="1:14" ht="60.75" customHeight="1" thickTop="1" thickBot="1" x14ac:dyDescent="0.45">
      <c r="A3" s="167" t="s">
        <v>1</v>
      </c>
      <c r="B3" s="167"/>
      <c r="C3" s="167"/>
      <c r="D3" s="167"/>
      <c r="E3" s="167"/>
      <c r="F3" s="167"/>
      <c r="G3" s="167"/>
      <c r="H3" s="167"/>
      <c r="I3" s="167"/>
      <c r="J3" s="167"/>
      <c r="K3" s="168" t="s">
        <v>2</v>
      </c>
      <c r="L3" s="168"/>
      <c r="M3" s="168"/>
      <c r="N3" s="168"/>
    </row>
    <row r="4" spans="1:14" ht="38.25" customHeight="1" thickBot="1" x14ac:dyDescent="0.45">
      <c r="A4" s="167"/>
      <c r="B4" s="167"/>
      <c r="C4" s="167"/>
      <c r="D4" s="167"/>
      <c r="E4" s="167"/>
      <c r="F4" s="167"/>
      <c r="G4" s="167"/>
      <c r="H4" s="167"/>
      <c r="I4" s="167"/>
      <c r="J4" s="167"/>
      <c r="K4" s="169" t="s">
        <v>3</v>
      </c>
      <c r="L4" s="170"/>
      <c r="M4" s="171" t="s">
        <v>100</v>
      </c>
      <c r="N4" s="172"/>
    </row>
    <row r="5" spans="1:14" ht="37.5" customHeight="1" thickBot="1" x14ac:dyDescent="0.45">
      <c r="A5" s="173" t="s">
        <v>4</v>
      </c>
      <c r="B5" s="173"/>
      <c r="C5" s="173"/>
      <c r="D5" s="173"/>
      <c r="E5" s="173"/>
      <c r="F5" s="173"/>
      <c r="G5" s="173"/>
      <c r="H5" s="173"/>
      <c r="I5" s="173"/>
      <c r="J5" s="173"/>
      <c r="K5" s="7"/>
      <c r="L5" s="7"/>
      <c r="M5" s="174" t="s">
        <v>5</v>
      </c>
      <c r="N5" s="17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51" t="s">
        <v>6</v>
      </c>
      <c r="B7" s="151"/>
      <c r="C7" s="151"/>
      <c r="D7" s="151"/>
      <c r="E7" s="151"/>
      <c r="F7" s="151"/>
      <c r="G7" s="151"/>
      <c r="H7" s="151"/>
      <c r="I7" s="151"/>
      <c r="J7" s="151"/>
      <c r="K7" s="151"/>
      <c r="L7" s="151"/>
      <c r="M7" s="151"/>
      <c r="N7" s="151"/>
    </row>
    <row r="8" spans="1:14" s="13" customFormat="1" ht="57" customHeight="1" thickBot="1" x14ac:dyDescent="0.45">
      <c r="A8" s="152" t="s">
        <v>7</v>
      </c>
      <c r="B8" s="153"/>
      <c r="C8" s="154"/>
      <c r="D8" s="155" t="s">
        <v>79</v>
      </c>
      <c r="E8" s="156"/>
      <c r="F8" s="156"/>
      <c r="G8" s="156"/>
      <c r="H8" s="156"/>
      <c r="I8" s="156"/>
      <c r="J8" s="156"/>
      <c r="K8" s="156"/>
      <c r="L8" s="156"/>
      <c r="M8" s="156"/>
      <c r="N8" s="157"/>
    </row>
    <row r="9" spans="1:14" ht="57" customHeight="1" thickBot="1" x14ac:dyDescent="0.45">
      <c r="A9" s="158" t="s">
        <v>8</v>
      </c>
      <c r="B9" s="159"/>
      <c r="C9" s="160"/>
      <c r="D9" s="161" t="s">
        <v>98</v>
      </c>
      <c r="E9" s="162"/>
      <c r="F9" s="162"/>
      <c r="G9" s="162"/>
      <c r="H9" s="162"/>
      <c r="I9" s="162"/>
      <c r="J9" s="162"/>
      <c r="K9" s="162"/>
      <c r="L9" s="162"/>
      <c r="M9" s="162"/>
      <c r="N9" s="163"/>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64" t="s">
        <v>9</v>
      </c>
      <c r="B11" s="164"/>
      <c r="C11" s="164"/>
      <c r="D11" s="164"/>
      <c r="E11" s="164"/>
      <c r="F11" s="164"/>
      <c r="G11" s="164"/>
      <c r="H11" s="164"/>
      <c r="I11" s="164"/>
      <c r="J11" s="164"/>
      <c r="K11" s="164"/>
      <c r="L11" s="164"/>
      <c r="M11" s="164"/>
      <c r="N11" s="164"/>
    </row>
    <row r="12" spans="1:14" ht="23.15" customHeight="1" x14ac:dyDescent="0.45">
      <c r="A12" s="176" t="s">
        <v>10</v>
      </c>
      <c r="B12" s="177"/>
      <c r="C12" s="177"/>
      <c r="D12" s="196" t="s">
        <v>101</v>
      </c>
      <c r="E12" s="197"/>
      <c r="F12" s="197"/>
      <c r="G12" s="198"/>
      <c r="I12" s="184" t="s">
        <v>11</v>
      </c>
      <c r="J12" s="202"/>
      <c r="K12" s="187" t="s">
        <v>102</v>
      </c>
      <c r="L12" s="187"/>
      <c r="M12" s="187"/>
      <c r="N12" s="188"/>
    </row>
    <row r="13" spans="1:14" ht="23.15" customHeight="1" thickBot="1" x14ac:dyDescent="0.5">
      <c r="A13" s="192" t="s">
        <v>12</v>
      </c>
      <c r="B13" s="193"/>
      <c r="C13" s="193"/>
      <c r="D13" s="199"/>
      <c r="E13" s="200"/>
      <c r="F13" s="200"/>
      <c r="G13" s="201"/>
      <c r="I13" s="194" t="s">
        <v>13</v>
      </c>
      <c r="J13" s="203"/>
      <c r="K13" s="190"/>
      <c r="L13" s="190"/>
      <c r="M13" s="190"/>
      <c r="N13" s="191"/>
    </row>
    <row r="14" spans="1:14" ht="23.15" customHeight="1" x14ac:dyDescent="0.45">
      <c r="A14" s="176" t="s">
        <v>14</v>
      </c>
      <c r="B14" s="177"/>
      <c r="C14" s="177"/>
      <c r="D14" s="178" t="s">
        <v>107</v>
      </c>
      <c r="E14" s="179"/>
      <c r="F14" s="179"/>
      <c r="G14" s="180"/>
      <c r="I14" s="184" t="s">
        <v>15</v>
      </c>
      <c r="J14" s="185"/>
      <c r="K14" s="186" t="s">
        <v>78</v>
      </c>
      <c r="L14" s="187"/>
      <c r="M14" s="187"/>
      <c r="N14" s="188"/>
    </row>
    <row r="15" spans="1:14" ht="23.15" customHeight="1" thickBot="1" x14ac:dyDescent="0.5">
      <c r="A15" s="192" t="s">
        <v>16</v>
      </c>
      <c r="B15" s="193"/>
      <c r="C15" s="193"/>
      <c r="D15" s="181"/>
      <c r="E15" s="182"/>
      <c r="F15" s="182"/>
      <c r="G15" s="183"/>
      <c r="I15" s="194" t="s">
        <v>17</v>
      </c>
      <c r="J15" s="195"/>
      <c r="K15" s="189"/>
      <c r="L15" s="190"/>
      <c r="M15" s="190"/>
      <c r="N15" s="191"/>
    </row>
    <row r="16" spans="1:14" ht="23.15" customHeight="1" x14ac:dyDescent="0.45">
      <c r="A16" s="176" t="s">
        <v>18</v>
      </c>
      <c r="B16" s="177"/>
      <c r="C16" s="177"/>
      <c r="D16" s="178" t="s">
        <v>108</v>
      </c>
      <c r="E16" s="179"/>
      <c r="F16" s="179"/>
      <c r="G16" s="180"/>
      <c r="I16" s="184" t="s">
        <v>19</v>
      </c>
      <c r="J16" s="202"/>
      <c r="K16" s="204"/>
      <c r="L16" s="187"/>
      <c r="M16" s="187"/>
      <c r="N16" s="188"/>
    </row>
    <row r="17" spans="1:14" ht="23.15" customHeight="1" thickBot="1" x14ac:dyDescent="0.5">
      <c r="A17" s="192" t="s">
        <v>20</v>
      </c>
      <c r="B17" s="193"/>
      <c r="C17" s="193"/>
      <c r="D17" s="181"/>
      <c r="E17" s="182"/>
      <c r="F17" s="182"/>
      <c r="G17" s="183"/>
      <c r="I17" s="194" t="s">
        <v>21</v>
      </c>
      <c r="J17" s="203"/>
      <c r="K17" s="190"/>
      <c r="L17" s="190"/>
      <c r="M17" s="190"/>
      <c r="N17" s="191"/>
    </row>
    <row r="18" spans="1:14" ht="23.15" customHeight="1" x14ac:dyDescent="0.45">
      <c r="A18" s="176" t="s">
        <v>22</v>
      </c>
      <c r="B18" s="177"/>
      <c r="C18" s="177"/>
      <c r="D18" s="178" t="s">
        <v>109</v>
      </c>
      <c r="E18" s="179"/>
      <c r="F18" s="179"/>
      <c r="G18" s="180"/>
      <c r="I18" s="184" t="s">
        <v>23</v>
      </c>
      <c r="J18" s="202"/>
      <c r="K18" s="204" t="s">
        <v>103</v>
      </c>
      <c r="L18" s="187"/>
      <c r="M18" s="187"/>
      <c r="N18" s="188"/>
    </row>
    <row r="19" spans="1:14" ht="23.15" customHeight="1" thickBot="1" x14ac:dyDescent="0.5">
      <c r="A19" s="192" t="s">
        <v>24</v>
      </c>
      <c r="B19" s="193"/>
      <c r="C19" s="193"/>
      <c r="D19" s="181"/>
      <c r="E19" s="182"/>
      <c r="F19" s="182"/>
      <c r="G19" s="183"/>
      <c r="I19" s="194" t="s">
        <v>25</v>
      </c>
      <c r="J19" s="203"/>
      <c r="K19" s="190"/>
      <c r="L19" s="190"/>
      <c r="M19" s="190"/>
      <c r="N19" s="191"/>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5" t="s">
        <v>26</v>
      </c>
      <c r="B21" s="205"/>
      <c r="C21" s="205"/>
      <c r="D21" s="205"/>
      <c r="E21" s="205"/>
      <c r="F21" s="205"/>
      <c r="G21" s="205"/>
      <c r="H21" s="205"/>
      <c r="I21" s="205"/>
      <c r="J21" s="205"/>
      <c r="K21" s="205"/>
      <c r="L21" s="205"/>
      <c r="M21" s="205"/>
      <c r="N21" s="205"/>
    </row>
    <row r="22" spans="1:14" ht="38.25" customHeight="1" x14ac:dyDescent="0.5">
      <c r="A22" s="206" t="s">
        <v>27</v>
      </c>
      <c r="B22" s="207"/>
      <c r="C22" s="207"/>
      <c r="D22" s="208"/>
      <c r="E22" s="210" t="s">
        <v>105</v>
      </c>
      <c r="F22" s="207"/>
      <c r="G22" s="208"/>
      <c r="H22" s="208"/>
      <c r="I22" s="208"/>
      <c r="J22" s="210" t="s">
        <v>28</v>
      </c>
      <c r="K22" s="207"/>
      <c r="L22" s="207"/>
      <c r="M22" s="211"/>
      <c r="N22" s="212"/>
    </row>
    <row r="23" spans="1:14" ht="38.25" customHeight="1" thickBot="1" x14ac:dyDescent="0.45">
      <c r="A23" s="215" t="s">
        <v>29</v>
      </c>
      <c r="B23" s="216"/>
      <c r="C23" s="216"/>
      <c r="D23" s="209"/>
      <c r="E23" s="217" t="s">
        <v>106</v>
      </c>
      <c r="F23" s="216"/>
      <c r="G23" s="209"/>
      <c r="H23" s="209"/>
      <c r="I23" s="209"/>
      <c r="J23" s="217" t="s">
        <v>30</v>
      </c>
      <c r="K23" s="216"/>
      <c r="L23" s="216"/>
      <c r="M23" s="213"/>
      <c r="N23" s="214"/>
    </row>
    <row r="24" spans="1:14" ht="45" customHeight="1" thickBot="1" x14ac:dyDescent="0.45">
      <c r="A24" s="17"/>
      <c r="B24" s="221"/>
      <c r="C24" s="221"/>
      <c r="D24" s="221"/>
      <c r="E24" s="221"/>
      <c r="F24" s="222"/>
      <c r="G24" s="222"/>
      <c r="H24" s="5"/>
      <c r="I24" s="5"/>
      <c r="J24" s="5"/>
      <c r="K24" s="5"/>
      <c r="L24" s="5"/>
      <c r="M24" s="5"/>
      <c r="N24" s="6"/>
    </row>
    <row r="25" spans="1:14" ht="60" customHeight="1" thickTop="1" x14ac:dyDescent="0.4">
      <c r="A25" s="164" t="s">
        <v>31</v>
      </c>
      <c r="B25" s="164"/>
      <c r="C25" s="164"/>
      <c r="D25" s="164"/>
      <c r="E25" s="164"/>
      <c r="F25" s="164"/>
      <c r="G25" s="164"/>
      <c r="H25" s="164"/>
      <c r="I25" s="164"/>
      <c r="J25" s="164"/>
      <c r="K25" s="164"/>
      <c r="L25" s="164"/>
      <c r="M25" s="164"/>
      <c r="N25" s="164"/>
    </row>
    <row r="26" spans="1:14" ht="29.25" customHeight="1" x14ac:dyDescent="0.5">
      <c r="A26" s="223" t="s">
        <v>32</v>
      </c>
      <c r="B26" s="224"/>
      <c r="C26" s="224"/>
      <c r="D26" s="225"/>
      <c r="E26" s="226" t="s">
        <v>33</v>
      </c>
      <c r="F26" s="224"/>
      <c r="G26" s="224"/>
      <c r="H26" s="224"/>
      <c r="I26" s="224"/>
      <c r="J26" s="223" t="s">
        <v>34</v>
      </c>
      <c r="K26" s="224"/>
      <c r="L26" s="227"/>
      <c r="M26" s="224" t="s">
        <v>35</v>
      </c>
      <c r="N26" s="227"/>
    </row>
    <row r="27" spans="1:14" ht="23.25" customHeight="1" x14ac:dyDescent="0.4">
      <c r="A27" s="218" t="s">
        <v>36</v>
      </c>
      <c r="B27" s="218"/>
      <c r="C27" s="218"/>
      <c r="D27" s="218"/>
      <c r="E27" s="218" t="s">
        <v>37</v>
      </c>
      <c r="F27" s="218"/>
      <c r="G27" s="218"/>
      <c r="H27" s="218"/>
      <c r="I27" s="218"/>
      <c r="J27" s="218" t="s">
        <v>38</v>
      </c>
      <c r="K27" s="218"/>
      <c r="L27" s="218"/>
      <c r="M27" s="218" t="s">
        <v>39</v>
      </c>
      <c r="N27" s="218"/>
    </row>
    <row r="28" spans="1:14" ht="71.25" customHeight="1" x14ac:dyDescent="0.4">
      <c r="A28" s="219"/>
      <c r="B28" s="219"/>
      <c r="C28" s="219"/>
      <c r="D28" s="219"/>
      <c r="E28" s="219"/>
      <c r="F28" s="219"/>
      <c r="G28" s="219"/>
      <c r="H28" s="219"/>
      <c r="I28" s="219"/>
      <c r="J28" s="219"/>
      <c r="K28" s="219"/>
      <c r="L28" s="219"/>
      <c r="M28" s="220">
        <v>0</v>
      </c>
      <c r="N28" s="220"/>
    </row>
    <row r="29" spans="1:14" ht="71.25" customHeight="1" x14ac:dyDescent="0.4">
      <c r="A29" s="228"/>
      <c r="B29" s="228"/>
      <c r="C29" s="228"/>
      <c r="D29" s="228"/>
      <c r="E29" s="228"/>
      <c r="F29" s="228"/>
      <c r="G29" s="228"/>
      <c r="H29" s="228"/>
      <c r="I29" s="228"/>
      <c r="J29" s="228"/>
      <c r="K29" s="228"/>
      <c r="L29" s="228"/>
      <c r="M29" s="229"/>
      <c r="N29" s="229"/>
    </row>
    <row r="30" spans="1:14" ht="71.25" customHeight="1" x14ac:dyDescent="0.4">
      <c r="A30" s="228"/>
      <c r="B30" s="228"/>
      <c r="C30" s="228"/>
      <c r="D30" s="228"/>
      <c r="E30" s="228"/>
      <c r="F30" s="228"/>
      <c r="G30" s="228"/>
      <c r="H30" s="228"/>
      <c r="I30" s="228"/>
      <c r="J30" s="246"/>
      <c r="K30" s="246"/>
      <c r="L30" s="246"/>
      <c r="M30" s="229"/>
      <c r="N30" s="229"/>
    </row>
    <row r="31" spans="1:14" ht="71.25" customHeight="1" x14ac:dyDescent="0.4">
      <c r="A31" s="228"/>
      <c r="B31" s="228"/>
      <c r="C31" s="228"/>
      <c r="D31" s="228"/>
      <c r="E31" s="228"/>
      <c r="F31" s="228"/>
      <c r="G31" s="228"/>
      <c r="H31" s="228"/>
      <c r="I31" s="228"/>
      <c r="J31" s="228"/>
      <c r="K31" s="228"/>
      <c r="L31" s="228"/>
      <c r="M31" s="229"/>
      <c r="N31" s="229"/>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30" t="s">
        <v>40</v>
      </c>
      <c r="B44" s="231"/>
      <c r="C44" s="231"/>
      <c r="D44" s="234"/>
      <c r="E44" s="235"/>
      <c r="F44" s="236"/>
      <c r="G44" s="240" t="s">
        <v>41</v>
      </c>
      <c r="H44" s="241"/>
      <c r="I44" s="241"/>
      <c r="J44" s="242"/>
      <c r="K44" s="241" t="s">
        <v>42</v>
      </c>
      <c r="L44" s="241"/>
      <c r="M44" s="241"/>
      <c r="N44" s="242"/>
    </row>
    <row r="45" spans="1:14" s="20" customFormat="1" ht="30" customHeight="1" thickBot="1" x14ac:dyDescent="0.4">
      <c r="A45" s="232"/>
      <c r="B45" s="233"/>
      <c r="C45" s="233"/>
      <c r="D45" s="237"/>
      <c r="E45" s="238"/>
      <c r="F45" s="239"/>
      <c r="G45" s="243" t="s">
        <v>43</v>
      </c>
      <c r="H45" s="244"/>
      <c r="I45" s="244"/>
      <c r="J45" s="245"/>
      <c r="K45" s="244" t="s">
        <v>44</v>
      </c>
      <c r="L45" s="244"/>
      <c r="M45" s="244"/>
      <c r="N45" s="245"/>
    </row>
    <row r="46" spans="1:14" s="20" customFormat="1" ht="30" customHeight="1" x14ac:dyDescent="0.35">
      <c r="A46" s="230" t="s">
        <v>45</v>
      </c>
      <c r="B46" s="231"/>
      <c r="C46" s="231"/>
      <c r="D46" s="234"/>
      <c r="E46" s="235"/>
      <c r="F46" s="236"/>
      <c r="G46" s="21"/>
      <c r="H46" s="22"/>
      <c r="I46" s="22"/>
      <c r="J46" s="23"/>
      <c r="K46" s="22"/>
      <c r="L46" s="22"/>
      <c r="M46" s="22"/>
      <c r="N46" s="23"/>
    </row>
    <row r="47" spans="1:14" s="20" customFormat="1" ht="30" customHeight="1" thickBot="1" x14ac:dyDescent="0.4">
      <c r="A47" s="232"/>
      <c r="B47" s="233"/>
      <c r="C47" s="233"/>
      <c r="D47" s="255"/>
      <c r="E47" s="256"/>
      <c r="F47" s="257"/>
      <c r="G47" s="24"/>
      <c r="J47" s="25"/>
      <c r="K47" s="26"/>
      <c r="L47" s="26"/>
      <c r="M47" s="26"/>
      <c r="N47" s="25"/>
    </row>
    <row r="48" spans="1:14" s="20" customFormat="1" ht="30" customHeight="1" x14ac:dyDescent="0.5">
      <c r="A48" s="230" t="s">
        <v>46</v>
      </c>
      <c r="B48" s="231"/>
      <c r="C48" s="231"/>
      <c r="D48" s="234"/>
      <c r="E48" s="235"/>
      <c r="F48" s="236"/>
      <c r="G48" s="27"/>
      <c r="H48" s="28"/>
      <c r="I48" s="29"/>
      <c r="J48" s="30"/>
      <c r="K48" s="28"/>
      <c r="L48" s="29"/>
      <c r="M48" s="29"/>
      <c r="N48" s="30"/>
    </row>
    <row r="49" spans="1:14" s="20" customFormat="1" ht="30" customHeight="1" thickBot="1" x14ac:dyDescent="0.4">
      <c r="A49" s="232"/>
      <c r="B49" s="233"/>
      <c r="C49" s="233"/>
      <c r="D49" s="237"/>
      <c r="E49" s="238"/>
      <c r="F49" s="239"/>
      <c r="G49" s="199"/>
      <c r="H49" s="200"/>
      <c r="I49" s="200"/>
      <c r="J49" s="201"/>
      <c r="K49" s="200"/>
      <c r="L49" s="200"/>
      <c r="M49" s="200"/>
      <c r="N49" s="201"/>
    </row>
    <row r="50" spans="1:14" ht="16.5" customHeight="1" x14ac:dyDescent="0.4">
      <c r="A50" s="247" t="s">
        <v>47</v>
      </c>
      <c r="B50" s="247"/>
      <c r="C50" s="247"/>
      <c r="D50" s="248"/>
      <c r="E50"/>
      <c r="F50"/>
      <c r="G50"/>
      <c r="H50"/>
      <c r="I50"/>
      <c r="J50"/>
      <c r="K50"/>
      <c r="L50"/>
      <c r="M50"/>
    </row>
    <row r="51" spans="1:14" ht="47.25" customHeight="1" x14ac:dyDescent="0.4">
      <c r="C51" s="2"/>
      <c r="E51" s="249" t="s">
        <v>48</v>
      </c>
      <c r="F51" s="249"/>
      <c r="G51" s="249"/>
      <c r="H51" s="249"/>
      <c r="I51" s="249"/>
      <c r="J51" s="249"/>
      <c r="K51" s="249"/>
      <c r="L51"/>
      <c r="M51"/>
    </row>
    <row r="52" spans="1:14" ht="90" customHeight="1" thickBot="1" x14ac:dyDescent="0.45">
      <c r="A52" s="3"/>
      <c r="B52" s="3"/>
      <c r="C52" s="3"/>
      <c r="D52" s="31"/>
      <c r="E52" s="250"/>
      <c r="F52" s="250"/>
      <c r="G52" s="250"/>
      <c r="H52" s="250"/>
      <c r="I52" s="250"/>
      <c r="J52" s="250"/>
      <c r="K52" s="250"/>
      <c r="L52" s="32"/>
      <c r="M52" s="5"/>
      <c r="N52" s="6"/>
    </row>
    <row r="53" spans="1:14" ht="60.75" customHeight="1" thickTop="1" thickBot="1" x14ac:dyDescent="0.45">
      <c r="A53" s="167" t="s">
        <v>1</v>
      </c>
      <c r="B53" s="167"/>
      <c r="C53" s="167"/>
      <c r="D53" s="167"/>
      <c r="E53" s="167"/>
      <c r="F53" s="167"/>
      <c r="G53" s="167"/>
      <c r="H53" s="167"/>
      <c r="I53" s="167"/>
      <c r="J53" s="167"/>
      <c r="K53" s="168" t="s">
        <v>2</v>
      </c>
      <c r="L53" s="168"/>
      <c r="M53" s="168"/>
      <c r="N53" s="168"/>
    </row>
    <row r="54" spans="1:14" ht="38.25" customHeight="1" thickBot="1" x14ac:dyDescent="0.45">
      <c r="A54" s="167"/>
      <c r="B54" s="167"/>
      <c r="C54" s="167"/>
      <c r="D54" s="167"/>
      <c r="E54" s="167"/>
      <c r="F54" s="167"/>
      <c r="G54" s="167"/>
      <c r="H54" s="167"/>
      <c r="I54" s="167"/>
      <c r="J54" s="167"/>
      <c r="K54" s="251" t="s">
        <v>49</v>
      </c>
      <c r="L54" s="252"/>
      <c r="M54" s="253"/>
      <c r="N54" s="254"/>
    </row>
    <row r="55" spans="1:14" ht="37.5" customHeight="1" thickBot="1" x14ac:dyDescent="0.45">
      <c r="A55" s="173" t="s">
        <v>4</v>
      </c>
      <c r="B55" s="173"/>
      <c r="C55" s="173"/>
      <c r="D55" s="173"/>
      <c r="E55" s="173"/>
      <c r="F55" s="173"/>
      <c r="G55" s="173"/>
      <c r="H55" s="173"/>
      <c r="I55" s="173"/>
      <c r="J55" s="173"/>
      <c r="K55" s="33"/>
      <c r="L55" s="33"/>
      <c r="M55" s="264" t="s">
        <v>50</v>
      </c>
      <c r="N55" s="265"/>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66" t="s">
        <v>51</v>
      </c>
      <c r="B58" s="266"/>
      <c r="C58" s="266"/>
      <c r="D58" s="266"/>
      <c r="E58" s="266"/>
      <c r="F58" s="266"/>
      <c r="G58" s="266"/>
      <c r="H58" s="266"/>
      <c r="I58" s="266"/>
      <c r="J58" s="266"/>
      <c r="K58" s="266"/>
      <c r="L58" s="266"/>
      <c r="M58" s="266"/>
      <c r="N58" s="266"/>
    </row>
    <row r="59" spans="1:14" ht="24" customHeight="1" x14ac:dyDescent="0.4">
      <c r="A59" s="267" t="s">
        <v>52</v>
      </c>
      <c r="B59" s="267"/>
      <c r="C59" s="267"/>
      <c r="D59" s="267"/>
      <c r="E59" s="267"/>
      <c r="F59" s="267"/>
      <c r="G59" s="267"/>
      <c r="H59" s="267"/>
      <c r="I59" s="267"/>
      <c r="J59" s="267"/>
      <c r="K59" s="267"/>
      <c r="L59" s="267"/>
      <c r="M59" s="267"/>
      <c r="N59" s="267"/>
    </row>
    <row r="60" spans="1:14" ht="23.25" customHeight="1" x14ac:dyDescent="0.4">
      <c r="A60" s="268" t="s">
        <v>53</v>
      </c>
      <c r="B60" s="268"/>
      <c r="C60" s="268"/>
      <c r="D60" s="268"/>
      <c r="E60" s="268"/>
      <c r="F60" s="268"/>
      <c r="G60" s="268"/>
      <c r="H60" s="268"/>
      <c r="I60" s="268"/>
      <c r="J60" s="268"/>
      <c r="K60" s="268"/>
      <c r="L60" s="268"/>
      <c r="M60" s="268"/>
      <c r="N60" s="268"/>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69"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70"/>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58"/>
      <c r="B64" s="259"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58"/>
      <c r="B65" s="260"/>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58"/>
      <c r="B66" s="55"/>
      <c r="C66" s="49"/>
      <c r="D66" s="49"/>
      <c r="E66" s="49"/>
      <c r="F66" s="49"/>
      <c r="G66" s="49"/>
      <c r="H66" s="49"/>
      <c r="I66" s="49"/>
      <c r="J66" s="49"/>
      <c r="K66" s="49"/>
      <c r="L66" s="49"/>
      <c r="M66" s="49"/>
    </row>
    <row r="67" spans="1:14" s="13" customFormat="1" ht="24" hidden="1" customHeight="1" x14ac:dyDescent="0.4">
      <c r="A67" s="258"/>
      <c r="B67" s="261"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58"/>
      <c r="B68" s="262"/>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58"/>
      <c r="B69" s="259"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58"/>
      <c r="B70" s="260"/>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58"/>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63"/>
      <c r="B73" s="263"/>
      <c r="C73" s="263"/>
      <c r="D73" s="60" t="s">
        <v>56</v>
      </c>
      <c r="E73" s="60" t="s">
        <v>57</v>
      </c>
      <c r="F73" s="59"/>
      <c r="G73" s="59"/>
      <c r="H73" s="59"/>
      <c r="I73" s="59"/>
      <c r="J73" s="39"/>
      <c r="K73" s="39"/>
      <c r="L73" s="39"/>
      <c r="M73" s="39"/>
    </row>
    <row r="74" spans="1:14" ht="24" hidden="1" customHeight="1" x14ac:dyDescent="0.4">
      <c r="A74" s="279" t="s">
        <v>58</v>
      </c>
      <c r="B74" s="279"/>
      <c r="C74" s="279"/>
      <c r="D74" s="61" t="e">
        <f>MAX(#REF!)</f>
        <v>#REF!</v>
      </c>
      <c r="E74" s="62" t="e">
        <f>D74/25400</f>
        <v>#REF!</v>
      </c>
      <c r="G74" s="280" t="s">
        <v>59</v>
      </c>
      <c r="H74" s="281"/>
      <c r="I74" s="63" t="e">
        <f>#REF!*9.81/1000</f>
        <v>#REF!</v>
      </c>
    </row>
    <row r="75" spans="1:14" ht="6" hidden="1" customHeight="1" x14ac:dyDescent="0.4">
      <c r="A75" s="279" t="s">
        <v>60</v>
      </c>
      <c r="B75" s="279"/>
      <c r="C75" s="279"/>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82"/>
      <c r="B77" s="282"/>
      <c r="C77" s="282"/>
      <c r="D77" s="282"/>
      <c r="E77" s="282"/>
      <c r="F77" s="282"/>
      <c r="G77" s="282"/>
      <c r="H77" s="282"/>
      <c r="I77" s="282"/>
      <c r="J77" s="282"/>
      <c r="K77" s="282"/>
      <c r="L77" s="282"/>
      <c r="M77" s="64"/>
      <c r="N77" s="5"/>
    </row>
    <row r="78" spans="1:14" ht="60" customHeight="1" thickTop="1" thickBot="1" x14ac:dyDescent="0.45">
      <c r="A78" s="151" t="s">
        <v>61</v>
      </c>
      <c r="B78" s="151"/>
      <c r="C78" s="151"/>
      <c r="D78" s="151"/>
      <c r="E78" s="151"/>
      <c r="F78" s="151"/>
      <c r="G78" s="151"/>
      <c r="H78" s="151"/>
      <c r="I78" s="151"/>
      <c r="J78" s="151"/>
      <c r="K78" s="151"/>
      <c r="L78" s="151"/>
      <c r="M78" s="151"/>
      <c r="N78" s="151"/>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289"/>
      <c r="B81" s="290"/>
      <c r="C81" s="122">
        <v>2</v>
      </c>
      <c r="D81" s="122">
        <v>2.105</v>
      </c>
      <c r="E81" s="122">
        <v>2.21</v>
      </c>
      <c r="F81" s="122">
        <v>2.3149999999999999</v>
      </c>
      <c r="G81" s="122">
        <v>2.42</v>
      </c>
      <c r="H81" s="122">
        <v>2.5</v>
      </c>
      <c r="I81" s="122">
        <v>2.605</v>
      </c>
      <c r="J81" s="122">
        <v>2.71</v>
      </c>
      <c r="K81" s="122">
        <v>2.8149999999999999</v>
      </c>
      <c r="L81" s="123">
        <v>2.92</v>
      </c>
      <c r="M81" s="303">
        <v>3</v>
      </c>
      <c r="N81"/>
    </row>
    <row r="82" spans="1:14" ht="45" customHeight="1" thickBot="1" x14ac:dyDescent="0.45">
      <c r="A82" s="291"/>
      <c r="B82" s="292"/>
      <c r="C82" s="142"/>
      <c r="D82" s="142"/>
      <c r="E82" s="142"/>
      <c r="F82" s="142"/>
      <c r="G82" s="142"/>
      <c r="H82" s="142"/>
      <c r="I82" s="142"/>
      <c r="J82" s="142"/>
      <c r="K82" s="142"/>
      <c r="L82" s="143"/>
      <c r="M82" s="304"/>
      <c r="N82"/>
    </row>
    <row r="83" spans="1:14" ht="15" customHeight="1" x14ac:dyDescent="0.5">
      <c r="A83" s="67"/>
      <c r="B83" s="67"/>
      <c r="C83" s="68"/>
      <c r="D83" s="69"/>
      <c r="E83" s="69"/>
      <c r="F83" s="69"/>
      <c r="G83" s="69"/>
      <c r="H83" s="69"/>
      <c r="I83" s="70"/>
      <c r="J83" s="29"/>
      <c r="K83" s="29"/>
      <c r="L83" s="124"/>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83" t="s">
        <v>63</v>
      </c>
      <c r="B89" s="284"/>
      <c r="C89" s="284"/>
      <c r="D89" s="285"/>
      <c r="E89" s="74"/>
      <c r="F89" s="75"/>
      <c r="G89" s="75"/>
      <c r="H89" s="286" t="s">
        <v>64</v>
      </c>
      <c r="I89" s="287"/>
      <c r="J89" s="288"/>
      <c r="K89" s="76"/>
      <c r="L89" s="29"/>
    </row>
    <row r="90" spans="1:14" ht="27" customHeight="1" thickBot="1" x14ac:dyDescent="0.55000000000000004">
      <c r="A90" s="271" t="s">
        <v>65</v>
      </c>
      <c r="B90" s="272"/>
      <c r="C90" s="272"/>
      <c r="D90" s="273"/>
      <c r="E90" s="77"/>
      <c r="F90" s="75"/>
      <c r="G90" s="75"/>
      <c r="L90" s="29"/>
    </row>
    <row r="91" spans="1:14" ht="9" customHeight="1" x14ac:dyDescent="0.5">
      <c r="A91" s="274"/>
      <c r="B91" s="274"/>
      <c r="C91" s="274"/>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75" t="s">
        <v>66</v>
      </c>
      <c r="B99" s="276"/>
      <c r="C99" s="277"/>
      <c r="D99" s="277"/>
      <c r="E99" s="277"/>
      <c r="F99" s="278"/>
      <c r="G99" s="278"/>
      <c r="H99" s="278"/>
      <c r="I99" s="278"/>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51" t="s">
        <v>67</v>
      </c>
      <c r="B101" s="151"/>
      <c r="C101" s="151"/>
      <c r="D101" s="151"/>
      <c r="E101" s="151"/>
      <c r="F101" s="151"/>
      <c r="G101" s="151"/>
      <c r="H101" s="151"/>
      <c r="I101" s="151"/>
      <c r="J101" s="151"/>
      <c r="K101" s="151"/>
      <c r="L101" s="151"/>
      <c r="M101" s="151"/>
      <c r="N101" s="151"/>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8" t="s">
        <v>68</v>
      </c>
      <c r="D103" s="298"/>
      <c r="E103" s="298"/>
      <c r="F103" s="82"/>
      <c r="G103" s="83"/>
      <c r="I103" s="299" t="s">
        <v>69</v>
      </c>
      <c r="J103" s="299"/>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300" t="s">
        <v>70</v>
      </c>
      <c r="B105" s="300"/>
      <c r="C105" s="300"/>
      <c r="D105" s="300"/>
      <c r="E105" s="300"/>
      <c r="F105" s="300"/>
      <c r="G105" s="300"/>
      <c r="H105" s="300"/>
      <c r="I105" s="300"/>
      <c r="J105" s="300"/>
      <c r="K105" s="300"/>
      <c r="L105" s="300"/>
      <c r="M105" s="300"/>
      <c r="N105" s="300"/>
    </row>
    <row r="106" spans="1:16" ht="92.25" customHeight="1" x14ac:dyDescent="0.4">
      <c r="A106" s="301" t="s">
        <v>71</v>
      </c>
      <c r="B106" s="301"/>
      <c r="C106" s="301"/>
      <c r="D106" s="301"/>
      <c r="E106" s="301"/>
      <c r="F106" s="301"/>
      <c r="G106" s="301"/>
      <c r="H106" s="301"/>
      <c r="I106" s="301"/>
      <c r="J106" s="301"/>
      <c r="K106" s="301"/>
      <c r="L106" s="301"/>
      <c r="M106" s="301"/>
      <c r="N106" s="301"/>
      <c r="O106" s="87"/>
      <c r="P106" s="87"/>
    </row>
    <row r="107" spans="1:16" ht="79.5" customHeight="1" x14ac:dyDescent="0.4">
      <c r="A107" s="301" t="s">
        <v>72</v>
      </c>
      <c r="B107" s="301"/>
      <c r="C107" s="301"/>
      <c r="D107" s="301"/>
      <c r="E107" s="301"/>
      <c r="F107" s="301"/>
      <c r="G107" s="301"/>
      <c r="H107" s="301"/>
      <c r="I107" s="301"/>
      <c r="J107" s="301"/>
      <c r="K107" s="301"/>
      <c r="L107" s="301"/>
      <c r="M107" s="301"/>
      <c r="N107" s="301"/>
      <c r="O107" s="87"/>
      <c r="P107" s="87"/>
    </row>
    <row r="108" spans="1:16" ht="39" customHeight="1" x14ac:dyDescent="0.55000000000000004">
      <c r="A108" s="293" t="s">
        <v>73</v>
      </c>
      <c r="B108" s="293"/>
      <c r="C108" s="293"/>
      <c r="D108" s="293"/>
      <c r="F108" s="302"/>
      <c r="G108" s="302"/>
      <c r="H108" s="88"/>
      <c r="I108" s="84"/>
      <c r="J108" s="84"/>
      <c r="K108" s="84"/>
      <c r="L108" s="84"/>
      <c r="M108" s="84"/>
    </row>
    <row r="109" spans="1:16" ht="35.25" customHeight="1" x14ac:dyDescent="0.55000000000000004">
      <c r="A109" s="293" t="s">
        <v>74</v>
      </c>
      <c r="B109" s="293"/>
      <c r="C109" s="293"/>
      <c r="D109" s="293"/>
      <c r="F109" s="294"/>
      <c r="G109" s="294"/>
      <c r="H109" s="294"/>
      <c r="I109" s="84"/>
      <c r="J109" s="84"/>
      <c r="K109" s="84"/>
      <c r="L109" s="84"/>
      <c r="M109" s="84"/>
    </row>
    <row r="110" spans="1:16" ht="40.5" customHeight="1" x14ac:dyDescent="0.55000000000000004">
      <c r="A110" s="293" t="s">
        <v>75</v>
      </c>
      <c r="B110" s="293"/>
      <c r="C110" s="293"/>
      <c r="D110" s="293"/>
      <c r="E110" s="293"/>
      <c r="F110" s="89" t="s">
        <v>76</v>
      </c>
      <c r="G110" s="90"/>
      <c r="H110" s="83"/>
      <c r="I110" s="84"/>
      <c r="J110" s="84"/>
      <c r="K110" s="84"/>
      <c r="L110" s="84"/>
      <c r="M110" s="84"/>
    </row>
    <row r="111" spans="1:16" s="91" customFormat="1" ht="50.15" customHeight="1" x14ac:dyDescent="0.4"/>
    <row r="112" spans="1:16" s="91" customFormat="1" ht="43.2" customHeight="1" x14ac:dyDescent="0.4">
      <c r="D112" s="295" t="s">
        <v>77</v>
      </c>
      <c r="E112" s="295"/>
      <c r="F112" s="295"/>
      <c r="G112" s="295"/>
      <c r="H112" s="295"/>
      <c r="I112" s="295"/>
      <c r="J112" s="295"/>
      <c r="K112" s="295"/>
      <c r="L112" s="295"/>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96" t="s">
        <v>47</v>
      </c>
      <c r="B130" s="296"/>
      <c r="C130" s="296"/>
      <c r="D130" s="296"/>
      <c r="E130" s="296"/>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97"/>
      <c r="F145" s="297"/>
      <c r="G145" s="297"/>
      <c r="H145" s="297"/>
      <c r="I145" s="297"/>
      <c r="J145" s="297"/>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2023-05-09T17:36:13Z</dcterms:modified>
</cp:coreProperties>
</file>