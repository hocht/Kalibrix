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Elizabeth Kalibrix\Desktop\"/>
    </mc:Choice>
  </mc:AlternateContent>
  <bookViews>
    <workbookView xWindow="-120" yWindow="-120" windowWidth="20730" windowHeight="11160" activeTab="1"/>
  </bookViews>
  <sheets>
    <sheet name="Datos" sheetId="3" r:id="rId1"/>
    <sheet name="Certificado " sheetId="7" r:id="rId2"/>
    <sheet name="Incertidumbre" sheetId="5" r:id="rId3"/>
  </sheets>
  <functionGroups builtInGroupCount="18"/>
  <externalReferences>
    <externalReference r:id="rId4"/>
  </externalReferences>
  <definedNames>
    <definedName name="_xlnm.Print_Area" localSheetId="1">'Certificado '!$A$1:$N$139</definedName>
    <definedName name="_xlnm.Print_Area" localSheetId="0">Datos!$A$1:$L$76</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70" i="7" l="1"/>
  <c r="G70" i="7" s="1"/>
  <c r="L69" i="7"/>
  <c r="E69" i="7"/>
  <c r="G69" i="7" s="1"/>
  <c r="I65" i="7"/>
  <c r="H65" i="7"/>
  <c r="G65" i="7"/>
  <c r="E65" i="7"/>
  <c r="D65" i="7"/>
  <c r="I64" i="7"/>
  <c r="H64" i="7"/>
  <c r="G64" i="7"/>
  <c r="E64" i="7"/>
  <c r="D64" i="7"/>
  <c r="I63" i="7"/>
  <c r="H63" i="7"/>
  <c r="G63" i="7"/>
  <c r="E63" i="7"/>
  <c r="D63" i="7"/>
  <c r="I62" i="7"/>
  <c r="H62" i="7"/>
  <c r="G62" i="7"/>
  <c r="E62" i="7"/>
  <c r="D62" i="7"/>
  <c r="K60" i="7"/>
  <c r="I60" i="7"/>
  <c r="H60" i="7"/>
  <c r="G60" i="7"/>
  <c r="E60" i="7"/>
  <c r="D60" i="7"/>
  <c r="K59" i="7"/>
  <c r="I59" i="7"/>
  <c r="H59" i="7"/>
  <c r="G59" i="7"/>
  <c r="E59" i="7"/>
  <c r="D59" i="7"/>
  <c r="K58" i="7"/>
  <c r="I58" i="7"/>
  <c r="H58" i="7"/>
  <c r="G58" i="7"/>
  <c r="E58" i="7"/>
  <c r="D58" i="7"/>
  <c r="K57" i="7"/>
  <c r="I57" i="7"/>
  <c r="H57" i="7"/>
  <c r="G57" i="7"/>
  <c r="E57" i="7"/>
  <c r="D57" i="7"/>
  <c r="M49" i="7"/>
  <c r="A36" i="3" l="1"/>
  <c r="A25" i="3"/>
  <c r="M72" i="5" l="1"/>
  <c r="G42" i="3" l="1"/>
  <c r="G43" i="3"/>
  <c r="G31" i="3"/>
  <c r="G32" i="3"/>
  <c r="G36" i="3" l="1"/>
  <c r="G25" i="3"/>
  <c r="N15" i="5"/>
  <c r="O15" i="5" s="1"/>
  <c r="M15" i="5"/>
  <c r="G37" i="3"/>
  <c r="G38" i="3"/>
  <c r="G39" i="3"/>
  <c r="G40" i="3"/>
  <c r="G41" i="3"/>
  <c r="G26" i="3"/>
  <c r="G27" i="3"/>
  <c r="G28" i="3"/>
  <c r="G29" i="3"/>
  <c r="G30" i="3"/>
  <c r="I58" i="5" l="1"/>
  <c r="A133" i="3" l="1"/>
  <c r="G5" i="3"/>
  <c r="A134" i="3"/>
  <c r="F6" i="3" l="1"/>
  <c r="A131" i="3" l="1"/>
  <c r="C54" i="5" s="1"/>
  <c r="C14" i="5" l="1"/>
  <c r="H30" i="5"/>
  <c r="I30" i="5"/>
  <c r="J30" i="5"/>
  <c r="H31" i="5"/>
  <c r="I31" i="5"/>
  <c r="J31" i="5"/>
  <c r="J14" i="5"/>
  <c r="I14" i="5"/>
  <c r="H14" i="5"/>
  <c r="H25" i="5"/>
  <c r="I25" i="5"/>
  <c r="J25" i="5"/>
  <c r="H26" i="5"/>
  <c r="I26" i="5"/>
  <c r="J26" i="5"/>
  <c r="H27" i="5"/>
  <c r="I27" i="5"/>
  <c r="J27" i="5"/>
  <c r="H28" i="5"/>
  <c r="I28" i="5"/>
  <c r="J28" i="5"/>
  <c r="H29" i="5"/>
  <c r="I29" i="5"/>
  <c r="J29" i="5"/>
  <c r="I24" i="5"/>
  <c r="J24" i="5"/>
  <c r="H24" i="5"/>
  <c r="H7" i="5"/>
  <c r="I7" i="5"/>
  <c r="J7" i="5"/>
  <c r="H8" i="5"/>
  <c r="I8" i="5"/>
  <c r="J8" i="5"/>
  <c r="H9" i="5"/>
  <c r="I9" i="5"/>
  <c r="J9" i="5"/>
  <c r="H10" i="5"/>
  <c r="I10" i="5"/>
  <c r="J10" i="5"/>
  <c r="H11" i="5"/>
  <c r="I11" i="5"/>
  <c r="J11" i="5"/>
  <c r="H12" i="5"/>
  <c r="I12" i="5"/>
  <c r="J12" i="5"/>
  <c r="H13" i="5"/>
  <c r="I13" i="5"/>
  <c r="J13" i="5"/>
  <c r="I6" i="5"/>
  <c r="J6" i="5"/>
  <c r="H6" i="5"/>
  <c r="C72" i="3"/>
  <c r="E17" i="5"/>
  <c r="D24" i="5"/>
  <c r="D25" i="5"/>
  <c r="D26" i="5"/>
  <c r="D27" i="5"/>
  <c r="D29" i="5"/>
  <c r="C32" i="5"/>
  <c r="C49" i="5"/>
  <c r="C63" i="5"/>
  <c r="C64" i="5" s="1"/>
  <c r="E92" i="5" s="1"/>
  <c r="C68" i="5"/>
  <c r="C79" i="5"/>
  <c r="D79" i="5"/>
  <c r="J93" i="5"/>
  <c r="F104" i="5"/>
  <c r="N14" i="5" l="1"/>
  <c r="O14" i="5" s="1"/>
  <c r="M14" i="5"/>
  <c r="N31" i="5"/>
  <c r="O31" i="5" s="1"/>
  <c r="M31" i="5"/>
  <c r="M29" i="5"/>
  <c r="N29" i="5"/>
  <c r="O29" i="5" s="1"/>
  <c r="N30" i="5"/>
  <c r="O30" i="5" s="1"/>
  <c r="M30" i="5"/>
  <c r="M28" i="5"/>
  <c r="N28" i="5"/>
  <c r="O28" i="5" s="1"/>
  <c r="M27" i="5"/>
  <c r="N27" i="5"/>
  <c r="O27" i="5" s="1"/>
  <c r="M26" i="5"/>
  <c r="N26" i="5"/>
  <c r="O26" i="5" s="1"/>
  <c r="M25" i="5"/>
  <c r="N25" i="5"/>
  <c r="O25" i="5" s="1"/>
  <c r="N24" i="5"/>
  <c r="O24" i="5" s="1"/>
  <c r="M24" i="5"/>
  <c r="N13" i="5"/>
  <c r="O13" i="5" s="1"/>
  <c r="M13" i="5"/>
  <c r="N12" i="5"/>
  <c r="O12" i="5" s="1"/>
  <c r="M12" i="5"/>
  <c r="N11" i="5"/>
  <c r="O11" i="5" s="1"/>
  <c r="M11" i="5"/>
  <c r="N10" i="5"/>
  <c r="O10" i="5" s="1"/>
  <c r="M10" i="5"/>
  <c r="N9" i="5"/>
  <c r="O9" i="5" s="1"/>
  <c r="M9" i="5"/>
  <c r="N8" i="5"/>
  <c r="O8" i="5" s="1"/>
  <c r="M8" i="5"/>
  <c r="N7" i="5"/>
  <c r="O7" i="5" s="1"/>
  <c r="M7" i="5"/>
  <c r="N6" i="5"/>
  <c r="O6" i="5" s="1"/>
  <c r="M6" i="5"/>
  <c r="C80" i="5"/>
  <c r="C82" i="5" s="1"/>
  <c r="D28" i="5"/>
  <c r="J58" i="5"/>
  <c r="E12" i="5"/>
  <c r="E14" i="5"/>
  <c r="C18" i="5"/>
  <c r="C34" i="5"/>
  <c r="C36" i="5" s="1"/>
  <c r="D36" i="5" s="1"/>
  <c r="K58" i="5"/>
  <c r="C83" i="5"/>
  <c r="C85" i="5" s="1"/>
  <c r="E15" i="5" l="1"/>
  <c r="C16" i="5" s="1"/>
  <c r="C17" i="5" s="1"/>
  <c r="C19" i="5" s="1"/>
  <c r="E91" i="5" s="1"/>
  <c r="C57" i="5"/>
  <c r="B94" i="5" s="1"/>
  <c r="P25" i="5"/>
  <c r="P24" i="5"/>
  <c r="J59" i="5"/>
  <c r="G60" i="5" s="1"/>
  <c r="E94" i="5" s="1"/>
  <c r="C40" i="5"/>
  <c r="D40" i="5" s="1"/>
  <c r="C38" i="5"/>
  <c r="D38" i="5" s="1"/>
  <c r="C41" i="5"/>
  <c r="D41" i="5" s="1"/>
  <c r="P26" i="5" l="1"/>
  <c r="C5" i="5" s="1"/>
  <c r="C43" i="5"/>
  <c r="C8" i="5" l="1"/>
  <c r="B92" i="5" s="1"/>
  <c r="B95" i="5" s="1"/>
  <c r="B96" i="5" s="1"/>
  <c r="E93" i="5"/>
  <c r="E95" i="5" s="1"/>
  <c r="E96" i="5" s="1"/>
  <c r="E99" i="5" l="1"/>
  <c r="C70" i="5"/>
  <c r="C72" i="5" s="1"/>
  <c r="A35" i="3" l="1"/>
  <c r="A24" i="3"/>
</calcChain>
</file>

<file path=xl/sharedStrings.xml><?xml version="1.0" encoding="utf-8"?>
<sst xmlns="http://schemas.openxmlformats.org/spreadsheetml/2006/main" count="359" uniqueCount="283">
  <si>
    <t xml:space="preserve">Objeto: </t>
  </si>
  <si>
    <t>Object:</t>
  </si>
  <si>
    <t>Exactitud:</t>
  </si>
  <si>
    <t>Accuracy:</t>
  </si>
  <si>
    <t>Resolución:</t>
  </si>
  <si>
    <t>Graduation:</t>
  </si>
  <si>
    <t>Modelo:</t>
  </si>
  <si>
    <t>Model:</t>
  </si>
  <si>
    <t>Nº Identificación:</t>
  </si>
  <si>
    <t>Id N°:</t>
  </si>
  <si>
    <t>Intervalo Nominal:</t>
  </si>
  <si>
    <t>Nominal Interval:</t>
  </si>
  <si>
    <t>Procedimiento de Calibración:</t>
  </si>
  <si>
    <t>Calibration Procedure:</t>
  </si>
  <si>
    <t>Método Empleado:</t>
  </si>
  <si>
    <t>Instrumento Patrón:</t>
  </si>
  <si>
    <t>Trazabilidad Metrológica a (patrón primario):</t>
  </si>
  <si>
    <t>Metrologic Traceability to (primary master):</t>
  </si>
  <si>
    <t>Siguiente Calibración:</t>
  </si>
  <si>
    <t>Next Calibration:</t>
  </si>
  <si>
    <t>Fecha de Emisión:</t>
  </si>
  <si>
    <t>Date of Issue:</t>
  </si>
  <si>
    <t>Autorizó la Calibración:</t>
  </si>
  <si>
    <t>Authorized Calibration:</t>
  </si>
  <si>
    <t>• Av. Colinas del Cimatario No 381,  Col. Colinas del Cimatario, Querétaro, Qro., C. P. 76090
• Tel: (442) 2480250 • Fax: (442) 2481503 • e-mail: info@kalibrix.com.mx</t>
  </si>
  <si>
    <t>Measuring Method:</t>
  </si>
  <si>
    <t>Unidades de  medición:</t>
  </si>
  <si>
    <t>Intervalo de medición:</t>
  </si>
  <si>
    <t>Resolución</t>
  </si>
  <si>
    <t>Identificación</t>
  </si>
  <si>
    <t>Fabricante</t>
  </si>
  <si>
    <t>Nº Serie</t>
  </si>
  <si>
    <t>Código</t>
  </si>
  <si>
    <t>Condiciones generales</t>
  </si>
  <si>
    <t>Apariencia General</t>
  </si>
  <si>
    <t>Observaciones</t>
  </si>
  <si>
    <t>Líneas de graduación legibles</t>
  </si>
  <si>
    <t>Cifras legibles</t>
  </si>
  <si>
    <t>Desplzamiento suave en el alcance total</t>
  </si>
  <si>
    <t>Tornillos de sujeción</t>
  </si>
  <si>
    <t>Funcionamiento del dispositivo de ajuste fino</t>
  </si>
  <si>
    <t>A contraluz buen contacto entre las superficies</t>
  </si>
  <si>
    <t>Verificación puntas de medición exteriores</t>
  </si>
  <si>
    <t>Verificación puntas de medición interiores</t>
  </si>
  <si>
    <t>Barra de profundidad al ras (max error = 0,02mm)</t>
  </si>
  <si>
    <t>Promedio</t>
  </si>
  <si>
    <t>Longitud del patrón</t>
  </si>
  <si>
    <t>Error Instrumental Exteriores</t>
  </si>
  <si>
    <t>Error Instrumental Interiores</t>
  </si>
  <si>
    <t>Error de medición Exteriores</t>
  </si>
  <si>
    <t>Adelante</t>
  </si>
  <si>
    <t>Atrás</t>
  </si>
  <si>
    <t>Error de medición interiores</t>
  </si>
  <si>
    <t>No Cliente</t>
  </si>
  <si>
    <t>Fecha Calibración</t>
  </si>
  <si>
    <t>Número de Entrada</t>
  </si>
  <si>
    <t>T. Máxima (ºC)</t>
  </si>
  <si>
    <t>T. Mínima (ºC)</t>
  </si>
  <si>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</si>
  <si>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</si>
  <si>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t>0</t>
  </si>
  <si>
    <t>0.5</t>
  </si>
  <si>
    <t>1</t>
  </si>
  <si>
    <t>2</t>
  </si>
  <si>
    <t>6</t>
  </si>
  <si>
    <t>8</t>
  </si>
  <si>
    <t>12</t>
  </si>
  <si>
    <t>4</t>
  </si>
  <si>
    <t>Test Instrument:</t>
  </si>
  <si>
    <t>12.4+0.006*L</t>
  </si>
  <si>
    <t>formula para lab</t>
  </si>
  <si>
    <t>Para 1000 mm</t>
  </si>
  <si>
    <t>Para 100 mm</t>
  </si>
  <si>
    <t>µm</t>
  </si>
  <si>
    <t>SUMA DE CONTRIBUCIONES</t>
  </si>
  <si>
    <t>formula general</t>
  </si>
  <si>
    <t>Paralelismo</t>
  </si>
  <si>
    <t>Temperatura</t>
  </si>
  <si>
    <t>resolucion</t>
  </si>
  <si>
    <t>Abbe</t>
  </si>
  <si>
    <t xml:space="preserve">Patron ULM </t>
  </si>
  <si>
    <t>Repetibilidad</t>
  </si>
  <si>
    <t>Hook</t>
  </si>
  <si>
    <t>CONTRIBUCION   "LABORATORIO"</t>
  </si>
  <si>
    <t>CONTRIBUCION   "IBC"</t>
  </si>
  <si>
    <t>U</t>
  </si>
  <si>
    <t>L</t>
  </si>
  <si>
    <t>b</t>
  </si>
  <si>
    <t>a</t>
  </si>
  <si>
    <t>Dif</t>
  </si>
  <si>
    <t>Valor 2</t>
  </si>
  <si>
    <t>Valor 1</t>
  </si>
  <si>
    <t>Distancia</t>
  </si>
  <si>
    <t>Valor</t>
  </si>
  <si>
    <t>U95</t>
  </si>
  <si>
    <t>U(combinada)</t>
  </si>
  <si>
    <t>Uparal</t>
  </si>
  <si>
    <t xml:space="preserve">Error  </t>
  </si>
  <si>
    <t>Error de paralaje</t>
  </si>
  <si>
    <t>Uabbe</t>
  </si>
  <si>
    <t>Error</t>
  </si>
  <si>
    <t>h</t>
  </si>
  <si>
    <t>u =</t>
  </si>
  <si>
    <t>Paralelismo medición de exteriores:</t>
  </si>
  <si>
    <t>(a*h)/L</t>
  </si>
  <si>
    <t>Error de Abbe</t>
  </si>
  <si>
    <t>Paralelismo medición de interiores:</t>
  </si>
  <si>
    <t>6) Por Paralelismo de caras:</t>
  </si>
  <si>
    <t>Uresm</t>
  </si>
  <si>
    <t>Resolución µm:</t>
  </si>
  <si>
    <t>Resolución Instrumento</t>
  </si>
  <si>
    <t>Uresp</t>
  </si>
  <si>
    <t>Resolución Patron</t>
  </si>
  <si>
    <t>Utemp</t>
  </si>
  <si>
    <t>U(term2)</t>
  </si>
  <si>
    <t>U(term1)</t>
  </si>
  <si>
    <t>U(ref-elem)</t>
  </si>
  <si>
    <t>U(dif. Tem ref)</t>
  </si>
  <si>
    <t>L (m)</t>
  </si>
  <si>
    <t>T(ref)</t>
  </si>
  <si>
    <t>Coef. Prom</t>
  </si>
  <si>
    <t>Coef. Patrón</t>
  </si>
  <si>
    <t>Coef. Acero</t>
  </si>
  <si>
    <t>Dif temps</t>
  </si>
  <si>
    <t>Variacion temp</t>
  </si>
  <si>
    <t>Incert Temp</t>
  </si>
  <si>
    <t>Error Dif. Coefic</t>
  </si>
  <si>
    <t>Error Coeficiente</t>
  </si>
  <si>
    <t>mm</t>
  </si>
  <si>
    <t>Nominal</t>
  </si>
  <si>
    <t>X  3</t>
  </si>
  <si>
    <t>X  2</t>
  </si>
  <si>
    <t>X  1</t>
  </si>
  <si>
    <t>PRUEBA DE EXACTITUD DE LAS CARAS DE MEDICION DE INTERIORES.</t>
  </si>
  <si>
    <t>Ubloque</t>
  </si>
  <si>
    <t>Error bloques</t>
  </si>
  <si>
    <t>Up68</t>
  </si>
  <si>
    <t>Master long</t>
  </si>
  <si>
    <t>L (mm):</t>
  </si>
  <si>
    <t>Valor A  (µm):</t>
  </si>
  <si>
    <t>KAL031</t>
  </si>
  <si>
    <t>KAL 021</t>
  </si>
  <si>
    <t>Bloques patrón</t>
  </si>
  <si>
    <t>Urep µm</t>
  </si>
  <si>
    <t>t Student</t>
  </si>
  <si>
    <t>n</t>
  </si>
  <si>
    <t>Nominal (mm)</t>
  </si>
  <si>
    <t>Desv. Est  µm</t>
  </si>
  <si>
    <t>Desv Sta media</t>
  </si>
  <si>
    <t>Desv stand</t>
  </si>
  <si>
    <t>Medición</t>
  </si>
  <si>
    <t>PRUEBA DE EXACTITUD DE LAS CARAS DE MEDICION DE EXTERIORES</t>
  </si>
  <si>
    <t>CALIBRADOR ELECTRODIGITAL 0,01</t>
  </si>
  <si>
    <t>Calibrador 0 a 1000 mm</t>
  </si>
  <si>
    <t>Elaboró:</t>
  </si>
  <si>
    <t xml:space="preserve">Autorizó: </t>
  </si>
  <si>
    <t>N° de Serie</t>
  </si>
  <si>
    <t xml:space="preserve">    C A L I B R A T I O N   C E R T I F I C A T E</t>
  </si>
  <si>
    <t>Manufacturer:</t>
  </si>
  <si>
    <r>
      <rPr>
        <b/>
        <sz val="28"/>
        <color theme="1"/>
        <rFont val="Arial"/>
        <family val="2"/>
      </rPr>
      <t>C</t>
    </r>
    <r>
      <rPr>
        <b/>
        <sz val="5"/>
        <color theme="0"/>
        <rFont val="Arial"/>
        <family val="2"/>
      </rPr>
      <t>0</t>
    </r>
    <r>
      <rPr>
        <b/>
        <sz val="28"/>
        <color theme="1"/>
        <rFont val="Arial"/>
        <family val="2"/>
      </rPr>
      <t>E</t>
    </r>
    <r>
      <rPr>
        <b/>
        <sz val="5"/>
        <color theme="0"/>
        <rFont val="Arial"/>
        <family val="2"/>
      </rPr>
      <t>0</t>
    </r>
    <r>
      <rPr>
        <b/>
        <sz val="28"/>
        <color theme="1"/>
        <rFont val="Arial"/>
        <family val="2"/>
      </rPr>
      <t>R</t>
    </r>
    <r>
      <rPr>
        <b/>
        <sz val="5"/>
        <color theme="0"/>
        <rFont val="Arial"/>
        <family val="2"/>
      </rPr>
      <t>0</t>
    </r>
    <r>
      <rPr>
        <b/>
        <sz val="28"/>
        <color theme="1"/>
        <rFont val="Arial"/>
        <family val="2"/>
      </rPr>
      <t>T</t>
    </r>
    <r>
      <rPr>
        <b/>
        <sz val="5"/>
        <color theme="0"/>
        <rFont val="Arial"/>
        <family val="2"/>
      </rPr>
      <t>0</t>
    </r>
    <r>
      <rPr>
        <b/>
        <sz val="28"/>
        <color theme="1"/>
        <rFont val="Arial"/>
        <family val="2"/>
      </rPr>
      <t>I</t>
    </r>
    <r>
      <rPr>
        <b/>
        <sz val="5"/>
        <color theme="0"/>
        <rFont val="Arial"/>
        <family val="2"/>
      </rPr>
      <t>0</t>
    </r>
    <r>
      <rPr>
        <b/>
        <sz val="28"/>
        <color theme="1"/>
        <rFont val="Arial"/>
        <family val="2"/>
      </rPr>
      <t>F</t>
    </r>
    <r>
      <rPr>
        <b/>
        <sz val="5"/>
        <color theme="0"/>
        <rFont val="Arial"/>
        <family val="2"/>
      </rPr>
      <t>0</t>
    </r>
    <r>
      <rPr>
        <b/>
        <sz val="28"/>
        <color theme="1"/>
        <rFont val="Arial"/>
        <family val="2"/>
      </rPr>
      <t>I</t>
    </r>
    <r>
      <rPr>
        <b/>
        <sz val="5"/>
        <color theme="0"/>
        <rFont val="Arial"/>
        <family val="2"/>
      </rPr>
      <t>0</t>
    </r>
    <r>
      <rPr>
        <b/>
        <sz val="28"/>
        <color theme="1"/>
        <rFont val="Arial"/>
        <family val="2"/>
      </rPr>
      <t>C</t>
    </r>
    <r>
      <rPr>
        <b/>
        <sz val="5"/>
        <color theme="0"/>
        <rFont val="Arial"/>
        <family val="2"/>
      </rPr>
      <t>0</t>
    </r>
    <r>
      <rPr>
        <b/>
        <sz val="28"/>
        <color theme="1"/>
        <rFont val="Arial"/>
        <family val="2"/>
      </rPr>
      <t>A</t>
    </r>
    <r>
      <rPr>
        <b/>
        <sz val="5"/>
        <color theme="0"/>
        <rFont val="Arial"/>
        <family val="2"/>
      </rPr>
      <t>0</t>
    </r>
    <r>
      <rPr>
        <b/>
        <sz val="28"/>
        <color theme="1"/>
        <rFont val="Arial"/>
        <family val="2"/>
      </rPr>
      <t>D</t>
    </r>
    <r>
      <rPr>
        <b/>
        <sz val="5"/>
        <color theme="0"/>
        <rFont val="Arial"/>
        <family val="2"/>
      </rPr>
      <t>0</t>
    </r>
    <r>
      <rPr>
        <b/>
        <sz val="28"/>
        <color theme="1"/>
        <rFont val="Arial"/>
        <family val="2"/>
      </rPr>
      <t>O</t>
    </r>
    <r>
      <rPr>
        <b/>
        <sz val="5"/>
        <color theme="0"/>
        <rFont val="Arial"/>
        <family val="2"/>
      </rPr>
      <t>0 0</t>
    </r>
    <r>
      <rPr>
        <b/>
        <sz val="28"/>
        <color theme="1"/>
        <rFont val="Arial"/>
        <family val="2"/>
      </rPr>
      <t>D</t>
    </r>
    <r>
      <rPr>
        <b/>
        <sz val="5"/>
        <color theme="0"/>
        <rFont val="Arial"/>
        <family val="2"/>
      </rPr>
      <t>0</t>
    </r>
    <r>
      <rPr>
        <b/>
        <sz val="28"/>
        <color theme="1"/>
        <rFont val="Arial"/>
        <family val="2"/>
      </rPr>
      <t>E</t>
    </r>
    <r>
      <rPr>
        <b/>
        <sz val="5"/>
        <color theme="0"/>
        <rFont val="Arial"/>
        <family val="2"/>
      </rPr>
      <t>0</t>
    </r>
    <r>
      <rPr>
        <b/>
        <sz val="29"/>
        <color theme="1"/>
        <rFont val="Arial"/>
        <family val="2"/>
      </rPr>
      <t xml:space="preserve"> </t>
    </r>
    <r>
      <rPr>
        <b/>
        <sz val="28"/>
        <color theme="1"/>
        <rFont val="Arial"/>
        <family val="2"/>
      </rPr>
      <t>C</t>
    </r>
    <r>
      <rPr>
        <b/>
        <sz val="5"/>
        <color theme="0"/>
        <rFont val="Arial"/>
        <family val="2"/>
      </rPr>
      <t>0</t>
    </r>
    <r>
      <rPr>
        <b/>
        <sz val="28"/>
        <color theme="1"/>
        <rFont val="Arial"/>
        <family val="2"/>
      </rPr>
      <t>A</t>
    </r>
    <r>
      <rPr>
        <b/>
        <sz val="5"/>
        <color theme="0"/>
        <rFont val="Arial"/>
        <family val="2"/>
      </rPr>
      <t>0</t>
    </r>
    <r>
      <rPr>
        <b/>
        <sz val="28"/>
        <color theme="1"/>
        <rFont val="Arial"/>
        <family val="2"/>
      </rPr>
      <t>L</t>
    </r>
    <r>
      <rPr>
        <b/>
        <sz val="5"/>
        <color theme="0"/>
        <rFont val="Arial"/>
        <family val="2"/>
      </rPr>
      <t>0</t>
    </r>
    <r>
      <rPr>
        <b/>
        <sz val="28"/>
        <color theme="1"/>
        <rFont val="Arial"/>
        <family val="2"/>
      </rPr>
      <t>I</t>
    </r>
    <r>
      <rPr>
        <b/>
        <sz val="5"/>
        <color theme="0"/>
        <rFont val="Arial"/>
        <family val="2"/>
      </rPr>
      <t>0</t>
    </r>
    <r>
      <rPr>
        <b/>
        <sz val="28"/>
        <color theme="1"/>
        <rFont val="Arial"/>
        <family val="2"/>
      </rPr>
      <t>B</t>
    </r>
    <r>
      <rPr>
        <b/>
        <sz val="5"/>
        <color theme="0"/>
        <rFont val="Arial"/>
        <family val="2"/>
      </rPr>
      <t>0</t>
    </r>
    <r>
      <rPr>
        <b/>
        <sz val="28"/>
        <color theme="1"/>
        <rFont val="Arial"/>
        <family val="2"/>
      </rPr>
      <t>R</t>
    </r>
    <r>
      <rPr>
        <b/>
        <sz val="5"/>
        <color theme="0"/>
        <rFont val="Arial"/>
        <family val="2"/>
      </rPr>
      <t>0</t>
    </r>
    <r>
      <rPr>
        <b/>
        <sz val="28"/>
        <color theme="1"/>
        <rFont val="Arial"/>
        <family val="2"/>
      </rPr>
      <t>A</t>
    </r>
    <r>
      <rPr>
        <b/>
        <sz val="5"/>
        <color theme="0"/>
        <rFont val="Arial"/>
        <family val="2"/>
      </rPr>
      <t>0</t>
    </r>
    <r>
      <rPr>
        <b/>
        <sz val="28"/>
        <color theme="1"/>
        <rFont val="Arial"/>
        <family val="2"/>
      </rPr>
      <t>C</t>
    </r>
    <r>
      <rPr>
        <b/>
        <sz val="5"/>
        <color theme="0"/>
        <rFont val="Arial"/>
        <family val="2"/>
      </rPr>
      <t>0</t>
    </r>
    <r>
      <rPr>
        <b/>
        <sz val="28"/>
        <color theme="1"/>
        <rFont val="Arial"/>
        <family val="2"/>
      </rPr>
      <t>I</t>
    </r>
    <r>
      <rPr>
        <b/>
        <sz val="5"/>
        <color theme="0"/>
        <rFont val="Arial"/>
        <family val="2"/>
      </rPr>
      <t>0</t>
    </r>
    <r>
      <rPr>
        <b/>
        <sz val="28"/>
        <color theme="1"/>
        <rFont val="Arial"/>
        <family val="2"/>
      </rPr>
      <t>Ó</t>
    </r>
    <r>
      <rPr>
        <b/>
        <sz val="5"/>
        <color theme="0"/>
        <rFont val="Arial"/>
        <family val="2"/>
      </rPr>
      <t>0</t>
    </r>
    <r>
      <rPr>
        <b/>
        <sz val="28"/>
        <color theme="1"/>
        <rFont val="Arial"/>
        <family val="2"/>
      </rPr>
      <t>N</t>
    </r>
    <r>
      <rPr>
        <b/>
        <sz val="29"/>
        <color theme="1"/>
        <rFont val="Arial"/>
        <family val="2"/>
      </rPr>
      <t xml:space="preserve">                                
</t>
    </r>
    <r>
      <rPr>
        <b/>
        <i/>
        <sz val="17.5"/>
        <color theme="1"/>
        <rFont val="Arial"/>
        <family val="2"/>
      </rPr>
      <t/>
    </r>
  </si>
  <si>
    <t xml:space="preserve">Registro de datos de calibración F-DI-CA-General </t>
  </si>
  <si>
    <t>F-DI-CA-GENERAL</t>
  </si>
  <si>
    <t>Formato Exclusivo para uso interno de Kalibrix CAL S.A. de C.V.</t>
  </si>
  <si>
    <t>Última revisión: Agosto 2017</t>
  </si>
  <si>
    <t>E. Estilla</t>
  </si>
  <si>
    <t>M. Lugo</t>
  </si>
  <si>
    <t>Versión 6</t>
  </si>
  <si>
    <t>KAL021</t>
  </si>
  <si>
    <t>KAL032</t>
  </si>
  <si>
    <t>KAL010</t>
  </si>
  <si>
    <t>P7.2.1.4</t>
  </si>
  <si>
    <t>KAL026</t>
  </si>
  <si>
    <t>% HR</t>
  </si>
  <si>
    <t>8+0.008*L</t>
  </si>
  <si>
    <t>Sig. Cali</t>
  </si>
  <si>
    <r>
      <t xml:space="preserve">Nº de Certificado:
</t>
    </r>
    <r>
      <rPr>
        <i/>
        <sz val="14"/>
        <color theme="8" tint="-0.499984740745262"/>
        <rFont val="Arial"/>
        <family val="2"/>
      </rPr>
      <t>Certificate N°:</t>
    </r>
  </si>
  <si>
    <t>Pág 1 de 2</t>
  </si>
  <si>
    <r>
      <t xml:space="preserve">Información General / </t>
    </r>
    <r>
      <rPr>
        <i/>
        <sz val="18"/>
        <color rgb="FF002060"/>
        <rFont val="Arial"/>
        <family val="2"/>
      </rPr>
      <t>General Information</t>
    </r>
  </si>
  <si>
    <r>
      <t>Cliente:</t>
    </r>
    <r>
      <rPr>
        <i/>
        <sz val="13"/>
        <color rgb="FF002060"/>
        <rFont val="Arial"/>
        <family val="2"/>
      </rPr>
      <t xml:space="preserve">
Customer:</t>
    </r>
  </si>
  <si>
    <r>
      <t>Dirección y Teléfono:</t>
    </r>
    <r>
      <rPr>
        <sz val="13"/>
        <color rgb="FF002060"/>
        <rFont val="Arial"/>
        <family val="2"/>
      </rPr>
      <t xml:space="preserve">
</t>
    </r>
    <r>
      <rPr>
        <i/>
        <sz val="13"/>
        <color rgb="FF002060"/>
        <rFont val="Arial"/>
        <family val="2"/>
      </rPr>
      <t>Address and Phone:</t>
    </r>
  </si>
  <si>
    <r>
      <t xml:space="preserve">Información de Objeto / </t>
    </r>
    <r>
      <rPr>
        <i/>
        <sz val="18"/>
        <color rgb="FF002060"/>
        <rFont val="Arial"/>
        <family val="2"/>
      </rPr>
      <t>Object Information</t>
    </r>
  </si>
  <si>
    <t>Fabricante:</t>
  </si>
  <si>
    <t>Serial Number:</t>
  </si>
  <si>
    <r>
      <t xml:space="preserve">Método de Prueba / </t>
    </r>
    <r>
      <rPr>
        <i/>
        <sz val="18"/>
        <color theme="8" tint="-0.499984740745262"/>
        <rFont val="Arial"/>
        <family val="2"/>
      </rPr>
      <t>Testing method</t>
    </r>
  </si>
  <si>
    <t>Norma de Referencia:</t>
  </si>
  <si>
    <t>Reference Standard:</t>
  </si>
  <si>
    <r>
      <t>Patrón de Referencia /</t>
    </r>
    <r>
      <rPr>
        <i/>
        <sz val="18"/>
        <color theme="8" tint="-0.499984740745262"/>
        <rFont val="Arial"/>
        <family val="2"/>
      </rPr>
      <t xml:space="preserve"> Reference Master</t>
    </r>
  </si>
  <si>
    <t>No. De Certificado de Calibración:</t>
  </si>
  <si>
    <t>Calibration certificate number:</t>
  </si>
  <si>
    <t>Calibrador Multiprocesos Martel DMC-1400; KAL805</t>
  </si>
  <si>
    <t>Certificado CANHEFERN CNFR-AE-53529-01 (Patrones Nacionales CENAM)</t>
  </si>
  <si>
    <t>2 años</t>
  </si>
  <si>
    <t>Fecha de Recepción:</t>
  </si>
  <si>
    <t>Sello y Firma Eléctronica</t>
  </si>
  <si>
    <t>Date of Reception:</t>
  </si>
  <si>
    <t>Seal and Electronic Signing</t>
  </si>
  <si>
    <t>Realizó la Calibración:</t>
  </si>
  <si>
    <t>Fecha de Calibración</t>
  </si>
  <si>
    <t>Did the Calibration:</t>
  </si>
  <si>
    <t>Date of Calibration</t>
  </si>
  <si>
    <t>F5.10 Certificado de Calibración (Versión 9)</t>
  </si>
  <si>
    <t>Nº de Certificado:
Certificate N°:</t>
  </si>
  <si>
    <t>Pág 2 de 2</t>
  </si>
  <si>
    <r>
      <t xml:space="preserve">Resultados Previos / </t>
    </r>
    <r>
      <rPr>
        <i/>
        <sz val="16"/>
        <color theme="8" tint="-0.499984740745262"/>
        <rFont val="Arial"/>
        <family val="2"/>
      </rPr>
      <t>Previous Results</t>
    </r>
  </si>
  <si>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</si>
  <si>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</si>
  <si>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</si>
  <si>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</si>
  <si>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</si>
  <si>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</si>
  <si>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</si>
  <si>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6"/>
        <color theme="8" tint="-0.499984740745262"/>
        <rFont val="Arial"/>
        <family val="2"/>
      </rPr>
      <t>Calibration Results</t>
    </r>
  </si>
  <si>
    <r>
      <t xml:space="preserve">Condiciones Ambientales / </t>
    </r>
    <r>
      <rPr>
        <sz val="16"/>
        <color theme="8" tint="-0.499984740745262"/>
        <rFont val="Arial"/>
        <family val="2"/>
      </rPr>
      <t>E</t>
    </r>
    <r>
      <rPr>
        <i/>
        <sz val="16"/>
        <color theme="8" tint="-0.499984740745262"/>
        <rFont val="Arial"/>
        <family val="2"/>
      </rPr>
      <t>nvironmental Conditions</t>
    </r>
  </si>
  <si>
    <r>
      <rPr>
        <sz val="15"/>
        <color theme="8" tint="-0.499984740745262"/>
        <rFont val="Arial"/>
        <family val="2"/>
      </rPr>
      <t>Temperatura de Calibración:</t>
    </r>
    <r>
      <rPr>
        <i/>
        <sz val="13"/>
        <color theme="8" tint="-0.499984740745262"/>
        <rFont val="Arial"/>
        <family val="2"/>
      </rPr>
      <t xml:space="preserve">
Temperature of Calibration:</t>
    </r>
  </si>
  <si>
    <r>
      <rPr>
        <sz val="15"/>
        <color theme="8" tint="-0.499984740745262"/>
        <rFont val="Arial"/>
        <family val="2"/>
      </rPr>
      <t>Humedad relativa:</t>
    </r>
    <r>
      <rPr>
        <i/>
        <sz val="13"/>
        <color theme="8" tint="-0.499984740745262"/>
        <rFont val="Arial"/>
        <family val="2"/>
      </rPr>
      <t xml:space="preserve">
Relative Humidity:</t>
    </r>
  </si>
  <si>
    <r>
      <t xml:space="preserve">Observaciones / </t>
    </r>
    <r>
      <rPr>
        <sz val="16"/>
        <color theme="8" tint="-0.499984740745262"/>
        <rFont val="Arial"/>
        <family val="2"/>
      </rPr>
      <t>Observations</t>
    </r>
  </si>
  <si>
    <t>·</t>
  </si>
  <si>
    <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2"/>
        <color theme="8" tint="-0.499984740745262"/>
        <rFont val="Arial"/>
        <family val="2"/>
      </rPr>
      <t xml:space="preserve">
The uncertainty of the measurement is reported for the measured values with a factor K = 2 (confidence factor of approximately 95%). Uncertainty is not considered when considering compliance with specifications. It is the client's responsibility to determine the acceptance of the calibrated element for use in the scope of measurement reported.</t>
    </r>
  </si>
  <si>
    <r>
      <t xml:space="preserve">La incertidumbre de medición fue estimada de acuerdo a la norma NMX-CH-140-IMNC 2002 Guía para la expresión de la incertidumbre en las mediciones, equivalente al documento JCGM 100:2008 (GUM 1995 with minor corrections)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</si>
  <si>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t>La Siguiente Calibración a solicitud del cliente es:</t>
    </r>
    <r>
      <rPr>
        <sz val="12"/>
        <color theme="8" tint="-0.499984740745262"/>
        <rFont val="Arial"/>
        <family val="2"/>
      </rPr>
      <t xml:space="preserve">
The next calibration at the client´s request is: </t>
    </r>
  </si>
  <si>
    <r>
      <t>Servicio de calibración con acreditación:</t>
    </r>
    <r>
      <rPr>
        <sz val="12"/>
        <color theme="8" tint="-0.499984740745262"/>
        <rFont val="Arial"/>
        <family val="2"/>
      </rPr>
      <t xml:space="preserve">
Calibration Service with accreditation:</t>
    </r>
  </si>
  <si>
    <r>
      <t>No, Solo trazabilidad a patrones nacionales / internacionales</t>
    </r>
    <r>
      <rPr>
        <i/>
        <sz val="12"/>
        <color theme="8" tint="-0.499984740745262"/>
        <rFont val="Arial"/>
        <family val="2"/>
      </rPr>
      <t xml:space="preserve">
No, Only traceability to national / international standards</t>
    </r>
  </si>
  <si>
    <r>
      <t>El servicio fue realizado en instalaciones del cliente:</t>
    </r>
    <r>
      <rPr>
        <i/>
        <sz val="12"/>
        <color theme="8" tint="-0.499984740745262"/>
        <rFont val="Arial"/>
        <family val="2"/>
      </rPr>
      <t xml:space="preserve">
The service was performed  in customer facilities:</t>
    </r>
  </si>
  <si>
    <t xml:space="preserve">NO </t>
  </si>
  <si>
    <r>
      <t>El instrumento se encuentra dentro de especificaciones de acuerdo a la norma ISO 2431 standard.</t>
    </r>
    <r>
      <rPr>
        <i/>
        <sz val="12"/>
        <color theme="8" tint="-0.499984740745262"/>
        <rFont val="Arial"/>
        <family val="2"/>
      </rPr>
      <t xml:space="preserve">
The instrument is considered approved acording to ISO 2431</t>
    </r>
  </si>
  <si>
    <t>Objeto</t>
  </si>
  <si>
    <t>Patrones</t>
  </si>
  <si>
    <t>Verificación de Barra de Profundidad</t>
  </si>
  <si>
    <t>Valor nominal</t>
  </si>
  <si>
    <t>en mm</t>
  </si>
  <si>
    <t>Valor Medido</t>
  </si>
  <si>
    <t xml:space="preserve">Verificación de Medición de peldaño </t>
  </si>
  <si>
    <r>
      <t xml:space="preserve">Adelante/
</t>
    </r>
    <r>
      <rPr>
        <b/>
        <i/>
        <sz val="12"/>
        <color theme="8" tint="-0.499984740745262"/>
        <rFont val="Arial"/>
        <family val="2"/>
      </rPr>
      <t>forward</t>
    </r>
  </si>
  <si>
    <r>
      <t>Atrás/</t>
    </r>
    <r>
      <rPr>
        <b/>
        <i/>
        <sz val="12"/>
        <color theme="8" tint="-0.499984740745262"/>
        <rFont val="Arial"/>
        <family val="2"/>
      </rPr>
      <t xml:space="preserve">back </t>
    </r>
  </si>
  <si>
    <r>
      <t>Exteriores/</t>
    </r>
    <r>
      <rPr>
        <b/>
        <i/>
        <sz val="12"/>
        <color theme="8" tint="-0.499984740745262"/>
        <rFont val="Calibri"/>
        <family val="2"/>
        <scheme val="minor"/>
      </rPr>
      <t>External</t>
    </r>
  </si>
  <si>
    <r>
      <t>Interiores/</t>
    </r>
    <r>
      <rPr>
        <b/>
        <i/>
        <sz val="12"/>
        <color theme="8" tint="-0.499984740745262"/>
        <rFont val="Calibri"/>
        <family val="2"/>
        <scheme val="minor"/>
      </rPr>
      <t>Internal</t>
    </r>
  </si>
  <si>
    <r>
      <t>Medición Interior en mm/</t>
    </r>
    <r>
      <rPr>
        <b/>
        <i/>
        <sz val="14"/>
        <color theme="8" tint="-0.499984740745262"/>
        <rFont val="Arial"/>
        <family val="2"/>
      </rPr>
      <t>Internal Measurement in mm</t>
    </r>
    <r>
      <rPr>
        <b/>
        <sz val="14"/>
        <color theme="8" tint="-0.499984740745262"/>
        <rFont val="Arial"/>
        <family val="2"/>
      </rPr>
      <t xml:space="preserve">
</t>
    </r>
  </si>
  <si>
    <r>
      <t xml:space="preserve">Medición Exterior en mm/
</t>
    </r>
    <r>
      <rPr>
        <b/>
        <i/>
        <sz val="14"/>
        <color theme="8" tint="-0.499984740745262"/>
        <rFont val="Arial"/>
        <family val="2"/>
      </rPr>
      <t>External measurement in mm</t>
    </r>
  </si>
  <si>
    <r>
      <t xml:space="preserve">Verificación de puntas en mm/
</t>
    </r>
    <r>
      <rPr>
        <b/>
        <i/>
        <sz val="14"/>
        <color theme="8" tint="-0.499984740745262"/>
        <rFont val="Arial"/>
        <family val="2"/>
      </rPr>
      <t>Tip Verification in mm</t>
    </r>
  </si>
  <si>
    <r>
      <t xml:space="preserve">Barra de Profundidad en mm/
</t>
    </r>
    <r>
      <rPr>
        <b/>
        <i/>
        <sz val="14"/>
        <color theme="8" tint="-0.499984740745262"/>
        <rFont val="Arial"/>
        <family val="2"/>
      </rPr>
      <t>Depth Bar in mm</t>
    </r>
  </si>
  <si>
    <r>
      <t xml:space="preserve">Medición de peldaño en mm /
</t>
    </r>
    <r>
      <rPr>
        <b/>
        <i/>
        <sz val="14"/>
        <color theme="8" tint="-0.499984740745262"/>
        <rFont val="Arial"/>
        <family val="2"/>
      </rPr>
      <t>Step Measurement in mm</t>
    </r>
  </si>
  <si>
    <t>0 o 0.05</t>
  </si>
  <si>
    <t>0.02 o 0.01</t>
  </si>
  <si>
    <t>50 o menor</t>
  </si>
  <si>
    <t>± 0.05</t>
  </si>
  <si>
    <t>± 0.02</t>
  </si>
  <si>
    <t>Mayor a 50 hasta 100</t>
  </si>
  <si>
    <t>± 0.06</t>
  </si>
  <si>
    <t>± 0.03</t>
  </si>
  <si>
    <t>Mayo a 100 hasta 200</t>
  </si>
  <si>
    <t>± 0.07</t>
  </si>
  <si>
    <t>Mayor a 200 hasta 300</t>
  </si>
  <si>
    <t>± 0.08</t>
  </si>
  <si>
    <t>± 0.04</t>
  </si>
  <si>
    <t>Mayor a 300 hasta 400</t>
  </si>
  <si>
    <t>± 0.09</t>
  </si>
  <si>
    <t>Mayor a 400 hasta 500</t>
  </si>
  <si>
    <t>± 0.10</t>
  </si>
  <si>
    <t>Mayor a 500 hasta 600</t>
  </si>
  <si>
    <t>± 0.11</t>
  </si>
  <si>
    <t>Mayor a 600 hasta 700</t>
  </si>
  <si>
    <t>± 0.12</t>
  </si>
  <si>
    <t>Mayor a 700 hasta 800</t>
  </si>
  <si>
    <t>± 0.13</t>
  </si>
  <si>
    <t>Mayor a 800 hasta 900</t>
  </si>
  <si>
    <t>± 0.14</t>
  </si>
  <si>
    <t>Mayor a 900 hasta 1000</t>
  </si>
  <si>
    <t>± 0.15</t>
  </si>
  <si>
    <r>
      <t>Longitud de Medicion/</t>
    </r>
    <r>
      <rPr>
        <i/>
        <sz val="9"/>
        <rFont val="Arial"/>
        <family val="2"/>
      </rPr>
      <t>Measuring  Length</t>
    </r>
  </si>
  <si>
    <r>
      <t>Intervalos de la escala, minima indicacion de cantidades o valores de lectura minima/</t>
    </r>
    <r>
      <rPr>
        <i/>
        <sz val="9"/>
        <rFont val="Arial"/>
        <family val="2"/>
      </rPr>
      <t>Scale interval, minimum Digital step or minimum reading value</t>
    </r>
  </si>
  <si>
    <t>Maximum permissible error of indication by partial measuring face contact</t>
  </si>
  <si>
    <t>Error de indicación máximo permitido de auerdo a norma  JIS B 7507:2016/
Maximum indication error allowed according to standard</t>
  </si>
  <si>
    <r>
      <t xml:space="preserve">Error de indicación máximo permitido de auerdo a norma  JIS B 7507:2016
</t>
    </r>
    <r>
      <rPr>
        <i/>
        <sz val="14"/>
        <color theme="8" tint="-0.499984740745262"/>
        <rFont val="Arial"/>
        <family val="2"/>
      </rPr>
      <t>Maximum indication error allowed according to standard JIS B 7507:2016</t>
    </r>
  </si>
  <si>
    <r>
      <t>Incertidumbre de medida (±</t>
    </r>
    <r>
      <rPr>
        <b/>
        <sz val="12"/>
        <color theme="4" tint="-0.499984740745262"/>
        <rFont val="Calibri"/>
        <family val="2"/>
      </rPr>
      <t xml:space="preserve"> </t>
    </r>
    <r>
      <rPr>
        <b/>
        <sz val="12"/>
        <color theme="4" tint="-0.499984740745262"/>
        <rFont val="Calibri"/>
        <family val="2"/>
      </rPr>
      <t>)</t>
    </r>
    <r>
      <rPr>
        <b/>
        <i/>
        <sz val="12"/>
        <color theme="4" tint="-0.499984740745262"/>
        <rFont val="Arial"/>
        <family val="2"/>
      </rPr>
      <t xml:space="preserve">
Uncertainity (± )</t>
    </r>
  </si>
  <si>
    <r>
      <t xml:space="preserve">Valor de referencia 
</t>
    </r>
    <r>
      <rPr>
        <b/>
        <i/>
        <sz val="12"/>
        <color theme="4" tint="-0.499984740745262"/>
        <rFont val="Arial"/>
        <family val="2"/>
      </rPr>
      <t xml:space="preserve">Reference Value </t>
    </r>
  </si>
  <si>
    <r>
      <t xml:space="preserve">Error de medida 
</t>
    </r>
    <r>
      <rPr>
        <b/>
        <i/>
        <sz val="12"/>
        <color theme="8" tint="-0.499984740745262"/>
        <rFont val="Arial"/>
        <family val="2"/>
      </rPr>
      <t xml:space="preserve">Measurement </t>
    </r>
    <r>
      <rPr>
        <b/>
        <i/>
        <sz val="12"/>
        <color theme="4" tint="-0.499984740745262"/>
        <rFont val="Arial"/>
        <family val="2"/>
      </rPr>
      <t xml:space="preserve">Error  </t>
    </r>
  </si>
  <si>
    <r>
      <t xml:space="preserve">Error máximo permitido (± )
</t>
    </r>
    <r>
      <rPr>
        <b/>
        <i/>
        <sz val="12"/>
        <color theme="4" tint="-0.499984740745262"/>
        <rFont val="Arial"/>
        <family val="2"/>
      </rPr>
      <t>Maximum permissible error (± )</t>
    </r>
  </si>
  <si>
    <t xml:space="preserve">Valor de referencia 
Reference Value </t>
  </si>
  <si>
    <r>
      <t xml:space="preserve">Error de medida 
</t>
    </r>
    <r>
      <rPr>
        <b/>
        <i/>
        <sz val="12"/>
        <color theme="8" tint="-0.499984740745262"/>
        <rFont val="Arial"/>
        <family val="2"/>
      </rPr>
      <t xml:space="preserve">Measurement Error  </t>
    </r>
  </si>
  <si>
    <r>
      <t xml:space="preserve">Error de medida 
</t>
    </r>
    <r>
      <rPr>
        <b/>
        <i/>
        <sz val="12"/>
        <color theme="4" tint="-0.499984740745262"/>
        <rFont val="Arial"/>
        <family val="2"/>
      </rPr>
      <t xml:space="preserve">Measurement Error  </t>
    </r>
  </si>
  <si>
    <r>
      <t>Verificación de caras de medición/</t>
    </r>
    <r>
      <rPr>
        <i/>
        <sz val="12"/>
        <color theme="8" tint="-0.499984740745262"/>
        <rFont val="Arial"/>
        <family val="2"/>
      </rPr>
      <t>Verification of measuring faces</t>
    </r>
    <r>
      <rPr>
        <sz val="12"/>
        <color theme="8" tint="-0.499984740745262"/>
        <rFont val="Arial"/>
        <family val="2"/>
      </rPr>
      <t>:</t>
    </r>
  </si>
  <si>
    <r>
      <t xml:space="preserve">Verificación puntas de medición p/int.: </t>
    </r>
    <r>
      <rPr>
        <i/>
        <sz val="12"/>
        <color theme="8" tint="-0.499984740745262"/>
        <rFont val="Arial"/>
        <family val="2"/>
      </rPr>
      <t>Verification of internal measuring tip:</t>
    </r>
  </si>
  <si>
    <r>
      <t xml:space="preserve">Barra de Profundidad al ras:
</t>
    </r>
    <r>
      <rPr>
        <i/>
        <sz val="12"/>
        <color theme="8" tint="-0.499984740745262"/>
        <rFont val="Arial"/>
        <family val="2"/>
      </rPr>
      <t>Flush Depth Bar:</t>
    </r>
  </si>
</sst>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0.0"/>
    <numFmt numFmtId="165" formatCode="[$-C0A]mmmm\-yy;@"/>
    <numFmt numFmtId="166" formatCode="0.000"/>
    <numFmt numFmtId="167" formatCode="0.0000"/>
    <numFmt numFmtId="168" formatCode="0.00000"/>
    <numFmt numFmtId="169" formatCode="0.000000"/>
    <numFmt numFmtId="170" formatCode="0.0000000"/>
    <numFmt numFmtId="171" formatCode="yyyy\-mm\-dd;@"/>
    <numFmt numFmtId="172" formatCode="[h]\°mm\'ss\'\'"/>
    <numFmt numFmtId="173" formatCode="yyyy\-mm\-dd"/>
  </numFmts>
  <fonts count="106" x14ac:knownFonts="1">
    <font>
      <sz val="11"/>
      <color theme="1"/>
      <name val="Calibri"/>
      <family val="2"/>
      <scheme val="minor"/>
    </font>
    <font>
      <sz val="12"/>
      <color theme="1"/>
      <name val="Calibri"/>
      <family val="2"/>
      <scheme val="minor"/>
    </font>
    <font>
      <sz val="10"/>
      <color theme="1"/>
      <name val="Times New Roman"/>
      <family val="1"/>
    </font>
    <font>
      <sz val="8"/>
      <color theme="1"/>
      <name val="Arial"/>
      <family val="2"/>
    </font>
    <font>
      <b/>
      <sz val="14"/>
      <color theme="1"/>
      <name val="Arial"/>
      <family val="2"/>
    </font>
    <font>
      <b/>
      <sz val="9"/>
      <color theme="1"/>
      <name val="Arial"/>
      <family val="2"/>
    </font>
    <font>
      <i/>
      <sz val="8"/>
      <color theme="1"/>
      <name val="Arial"/>
      <family val="2"/>
    </font>
    <font>
      <sz val="9"/>
      <color theme="1"/>
      <name val="Arial"/>
      <family val="2"/>
    </font>
    <font>
      <sz val="7"/>
      <color theme="1"/>
      <name val="Arial"/>
      <family val="2"/>
    </font>
    <font>
      <b/>
      <sz val="10"/>
      <color theme="1"/>
      <name val="Arial"/>
      <family val="2"/>
    </font>
    <font>
      <sz val="12"/>
      <color theme="1"/>
      <name val="Times New Roman"/>
      <family val="1"/>
    </font>
    <font>
      <sz val="8"/>
      <color theme="1"/>
      <name val="Times New Roman"/>
      <family val="1"/>
    </font>
    <font>
      <i/>
      <sz val="9"/>
      <color theme="1"/>
      <name val="Arial"/>
      <family val="2"/>
    </font>
    <font>
      <b/>
      <sz val="11"/>
      <color theme="1"/>
      <name val="Calibri"/>
      <family val="2"/>
      <scheme val="minor"/>
    </font>
    <font>
      <sz val="8"/>
      <color theme="1"/>
      <name val="Calibri"/>
      <family val="2"/>
      <scheme val="minor"/>
    </font>
    <font>
      <b/>
      <sz val="9"/>
      <color theme="1"/>
      <name val="Calibri"/>
      <family val="2"/>
      <scheme val="minor"/>
    </font>
    <font>
      <b/>
      <sz val="11"/>
      <color theme="1"/>
      <name val="Aharoni"/>
    </font>
    <font>
      <sz val="8"/>
      <color rgb="FF000000"/>
      <name val="Segoe UI"/>
      <family val="2"/>
    </font>
    <font>
      <b/>
      <sz val="8"/>
      <color theme="1"/>
      <name val="Calibri"/>
      <family val="2"/>
      <scheme val="minor"/>
    </font>
    <font>
      <sz val="11"/>
      <color theme="0"/>
      <name val="Calibri"/>
      <family val="2"/>
      <scheme val="minor"/>
    </font>
    <font>
      <sz val="8"/>
      <name val="Arial"/>
      <family val="2"/>
    </font>
    <font>
      <sz val="10"/>
      <name val="Arial"/>
      <family val="2"/>
    </font>
    <font>
      <sz val="9"/>
      <name val="Arial"/>
      <family val="2"/>
    </font>
    <font>
      <sz val="9"/>
      <color rgb="FFFF0000"/>
      <name val="Arial"/>
      <family val="2"/>
    </font>
    <font>
      <b/>
      <sz val="10"/>
      <color rgb="FFFF0000"/>
      <name val="Arial"/>
      <family val="2"/>
    </font>
    <font>
      <b/>
      <sz val="9"/>
      <color rgb="FFFF0000"/>
      <name val="Arial"/>
      <family val="2"/>
    </font>
    <font>
      <b/>
      <sz val="9"/>
      <name val="Arial"/>
      <family val="2"/>
    </font>
    <font>
      <b/>
      <sz val="10"/>
      <name val="Arial"/>
      <family val="2"/>
    </font>
    <font>
      <b/>
      <i/>
      <sz val="10"/>
      <color theme="1"/>
      <name val="Calibri"/>
      <family val="2"/>
      <scheme val="minor"/>
    </font>
    <font>
      <b/>
      <sz val="12"/>
      <color theme="1"/>
      <name val="Arial"/>
      <family val="2"/>
    </font>
    <font>
      <sz val="14"/>
      <color theme="1"/>
      <name val="Arial"/>
      <family val="2"/>
    </font>
    <font>
      <i/>
      <sz val="13"/>
      <color theme="1"/>
      <name val="Arial"/>
      <family val="2"/>
    </font>
    <font>
      <b/>
      <sz val="12"/>
      <color rgb="FF333333"/>
      <name val="Arial"/>
      <family val="2"/>
    </font>
    <font>
      <sz val="14"/>
      <color theme="1"/>
      <name val="Calibri"/>
      <family val="2"/>
      <scheme val="minor"/>
    </font>
    <font>
      <b/>
      <sz val="14"/>
      <color theme="1"/>
      <name val="Courier New"/>
      <family val="3"/>
    </font>
    <font>
      <sz val="14"/>
      <color theme="0"/>
      <name val="Calibri"/>
      <family val="2"/>
      <scheme val="minor"/>
    </font>
    <font>
      <sz val="14"/>
      <color theme="1"/>
      <name val="Times New Roman"/>
      <family val="1"/>
    </font>
    <font>
      <sz val="11"/>
      <color theme="1"/>
      <name val="Arial"/>
      <family val="2"/>
    </font>
    <font>
      <sz val="16"/>
      <color theme="1"/>
      <name val="Arial"/>
      <family val="2"/>
    </font>
    <font>
      <b/>
      <sz val="16"/>
      <color theme="1"/>
      <name val="Arial"/>
      <family val="2"/>
    </font>
    <font>
      <b/>
      <sz val="18"/>
      <color theme="1"/>
      <name val="Arial"/>
      <family val="2"/>
    </font>
    <font>
      <b/>
      <sz val="16"/>
      <color rgb="FF333333"/>
      <name val="Arial"/>
      <family val="2"/>
    </font>
    <font>
      <sz val="16"/>
      <color theme="1"/>
      <name val="Calibri"/>
      <family val="2"/>
      <scheme val="minor"/>
    </font>
    <font>
      <b/>
      <i/>
      <sz val="17.5"/>
      <color theme="1"/>
      <name val="Arial"/>
      <family val="2"/>
    </font>
    <font>
      <b/>
      <sz val="28"/>
      <color theme="1"/>
      <name val="Arial"/>
      <family val="2"/>
    </font>
    <font>
      <i/>
      <sz val="19"/>
      <color theme="1"/>
      <name val="Arial"/>
      <family val="2"/>
    </font>
    <font>
      <b/>
      <sz val="29"/>
      <color theme="1"/>
      <name val="Arial"/>
      <family val="2"/>
    </font>
    <font>
      <b/>
      <sz val="5"/>
      <color theme="0"/>
      <name val="Arial"/>
      <family val="2"/>
    </font>
    <font>
      <sz val="8"/>
      <color theme="1"/>
      <name val="Calibri"/>
      <family val="2"/>
    </font>
    <font>
      <sz val="9"/>
      <color theme="1"/>
      <name val="Calibri"/>
      <family val="2"/>
    </font>
    <font>
      <sz val="9"/>
      <color theme="1"/>
      <name val="Calibri"/>
      <family val="2"/>
      <scheme val="minor"/>
    </font>
    <font>
      <sz val="14"/>
      <color theme="8" tint="-0.499984740745262"/>
      <name val="Arial"/>
      <family val="2"/>
    </font>
    <font>
      <b/>
      <sz val="14"/>
      <color theme="8" tint="-0.499984740745262"/>
      <name val="Arial"/>
      <family val="2"/>
    </font>
    <font>
      <i/>
      <sz val="14"/>
      <color theme="8" tint="-0.499984740745262"/>
      <name val="Arial"/>
      <family val="2"/>
    </font>
    <font>
      <b/>
      <sz val="16"/>
      <name val="Arial"/>
      <family val="2"/>
    </font>
    <font>
      <i/>
      <sz val="19"/>
      <color theme="8" tint="-0.249977111117893"/>
      <name val="Arial"/>
      <family val="2"/>
    </font>
    <font>
      <sz val="12"/>
      <color theme="4" tint="-0.499984740745262"/>
      <name val="Arial"/>
      <family val="2"/>
    </font>
    <font>
      <b/>
      <sz val="18"/>
      <color rgb="FF002060"/>
      <name val="Arial"/>
      <family val="2"/>
    </font>
    <font>
      <i/>
      <sz val="18"/>
      <color rgb="FF002060"/>
      <name val="Arial"/>
      <family val="2"/>
    </font>
    <font>
      <sz val="16.5"/>
      <color rgb="FF002060"/>
      <name val="Arial"/>
      <family val="2"/>
    </font>
    <font>
      <i/>
      <sz val="13"/>
      <color rgb="FF002060"/>
      <name val="Arial"/>
      <family val="2"/>
    </font>
    <font>
      <sz val="13"/>
      <color rgb="FF002060"/>
      <name val="Arial"/>
      <family val="2"/>
    </font>
    <font>
      <sz val="15"/>
      <color rgb="FF002060"/>
      <name val="Arial"/>
      <family val="2"/>
    </font>
    <font>
      <b/>
      <sz val="18"/>
      <color theme="1"/>
      <name val="Calibri"/>
      <family val="2"/>
    </font>
    <font>
      <sz val="16.5"/>
      <color theme="1"/>
      <name val="Times New Roman"/>
      <family val="1"/>
    </font>
    <font>
      <b/>
      <sz val="18"/>
      <color theme="8" tint="-0.499984740745262"/>
      <name val="Arial"/>
      <family val="2"/>
    </font>
    <font>
      <i/>
      <sz val="18"/>
      <color theme="8" tint="-0.499984740745262"/>
      <name val="Arial"/>
      <family val="2"/>
    </font>
    <font>
      <sz val="15"/>
      <color theme="8" tint="-0.499984740745262"/>
      <name val="Arial"/>
      <family val="2"/>
    </font>
    <font>
      <b/>
      <sz val="15"/>
      <color theme="1"/>
      <name val="Arial"/>
      <family val="2"/>
    </font>
    <font>
      <i/>
      <sz val="13"/>
      <color theme="8" tint="-0.499984740745262"/>
      <name val="Arial"/>
      <family val="2"/>
    </font>
    <font>
      <sz val="13"/>
      <name val="Arial"/>
      <family val="2"/>
    </font>
    <font>
      <sz val="13"/>
      <color theme="1"/>
      <name val="Calibri"/>
      <family val="2"/>
      <scheme val="minor"/>
    </font>
    <font>
      <sz val="10"/>
      <color theme="1"/>
      <name val="Calibri"/>
      <family val="2"/>
      <scheme val="minor"/>
    </font>
    <font>
      <sz val="13"/>
      <color theme="1"/>
      <name val="Times New Roman"/>
      <family val="1"/>
    </font>
    <font>
      <b/>
      <sz val="16"/>
      <color theme="8" tint="-0.499984740745262"/>
      <name val="Arial"/>
      <family val="2"/>
    </font>
    <font>
      <i/>
      <sz val="16"/>
      <color theme="8" tint="-0.499984740745262"/>
      <name val="Arial"/>
      <family val="2"/>
    </font>
    <font>
      <i/>
      <sz val="12"/>
      <color theme="8" tint="-0.499984740745262"/>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i/>
      <sz val="9"/>
      <color theme="1"/>
      <name val="Courier New"/>
      <family val="3"/>
    </font>
    <font>
      <b/>
      <i/>
      <sz val="11"/>
      <color theme="1"/>
      <name val="Aharoni"/>
    </font>
    <font>
      <b/>
      <i/>
      <sz val="11"/>
      <color theme="1"/>
      <name val="Calibri"/>
      <family val="2"/>
    </font>
    <font>
      <b/>
      <i/>
      <sz val="9.9"/>
      <color theme="1"/>
      <name val="Aharoni"/>
    </font>
    <font>
      <sz val="16"/>
      <color theme="8" tint="-0.499984740745262"/>
      <name val="Arial"/>
      <family val="2"/>
    </font>
    <font>
      <sz val="18"/>
      <color theme="1"/>
      <name val="Arial"/>
      <family val="2"/>
    </font>
    <font>
      <sz val="50"/>
      <color theme="1"/>
      <name val="Arial"/>
      <family val="2"/>
    </font>
    <font>
      <sz val="12"/>
      <color theme="8" tint="-0.499984740745262"/>
      <name val="Arial"/>
      <family val="2"/>
    </font>
    <font>
      <sz val="11"/>
      <color theme="8" tint="-0.499984740745262"/>
      <name val="Calibri"/>
      <family val="2"/>
      <scheme val="minor"/>
    </font>
    <font>
      <sz val="14"/>
      <name val="Arial"/>
      <family val="2"/>
    </font>
    <font>
      <b/>
      <sz val="12"/>
      <color theme="4" tint="-0.499984740745262"/>
      <name val="Arial"/>
      <family val="2"/>
    </font>
    <font>
      <sz val="12"/>
      <color theme="1"/>
      <name val="Arial"/>
      <family val="2"/>
    </font>
    <font>
      <b/>
      <sz val="12"/>
      <color theme="1"/>
      <name val="Courier New"/>
      <family val="3"/>
    </font>
    <font>
      <b/>
      <sz val="16"/>
      <color theme="8" tint="-0.249977111117893"/>
      <name val="Arial"/>
      <family val="2"/>
    </font>
    <font>
      <b/>
      <i/>
      <sz val="12"/>
      <color theme="4" tint="-0.499984740745262"/>
      <name val="Arial"/>
      <family val="2"/>
    </font>
    <font>
      <b/>
      <sz val="12"/>
      <color theme="4" tint="-0.499984740745262"/>
      <name val="Calibri"/>
      <family val="2"/>
    </font>
    <font>
      <b/>
      <i/>
      <sz val="14"/>
      <color theme="8" tint="-0.499984740745262"/>
      <name val="Arial"/>
      <family val="2"/>
    </font>
    <font>
      <b/>
      <sz val="12"/>
      <color theme="8" tint="-0.499984740745262"/>
      <name val="Arial"/>
      <family val="2"/>
    </font>
    <font>
      <b/>
      <i/>
      <sz val="12"/>
      <color theme="8" tint="-0.499984740745262"/>
      <name val="Arial"/>
      <family val="2"/>
    </font>
    <font>
      <b/>
      <sz val="12"/>
      <color theme="8" tint="-0.499984740745262"/>
      <name val="Calibri"/>
      <family val="2"/>
      <scheme val="minor"/>
    </font>
    <font>
      <b/>
      <i/>
      <sz val="12"/>
      <color theme="8" tint="-0.499984740745262"/>
      <name val="Calibri"/>
      <family val="2"/>
      <scheme val="minor"/>
    </font>
    <font>
      <b/>
      <sz val="12"/>
      <color rgb="FF333333"/>
      <name val="Courier New"/>
      <family val="3"/>
    </font>
    <font>
      <i/>
      <sz val="9"/>
      <name val="Arial"/>
      <family val="2"/>
    </font>
    <font>
      <b/>
      <sz val="8"/>
      <name val="Arial"/>
      <family val="2"/>
    </font>
  </fonts>
  <fills count="12">
    <fill>
      <patternFill patternType="none"/>
    </fill>
    <fill>
      <patternFill patternType="gray125"/>
    </fill>
    <fill>
      <patternFill patternType="solid">
        <fgColor theme="0"/>
        <bgColor indexed="64"/>
      </patternFill>
    </fill>
    <fill>
      <patternFill patternType="gray0625">
        <fgColor theme="0"/>
        <bgColor rgb="FFD5EAFF"/>
      </patternFill>
    </fill>
    <fill>
      <patternFill patternType="solid">
        <fgColor rgb="FF00B0F0"/>
        <bgColor indexed="64"/>
      </patternFill>
    </fill>
    <fill>
      <patternFill patternType="solid">
        <fgColor rgb="FFFFFF00"/>
        <bgColor indexed="64"/>
      </patternFill>
    </fill>
    <fill>
      <patternFill patternType="solid">
        <fgColor rgb="FF92D050"/>
        <bgColor indexed="64"/>
      </patternFill>
    </fill>
    <fill>
      <patternFill patternType="solid">
        <fgColor indexed="17"/>
        <bgColor indexed="64"/>
      </patternFill>
    </fill>
    <fill>
      <patternFill patternType="solid">
        <fgColor rgb="FFFF0000"/>
        <bgColor indexed="64"/>
      </patternFill>
    </fill>
    <fill>
      <patternFill patternType="solid">
        <fgColor theme="0" tint="-0.249977111117893"/>
        <bgColor indexed="64"/>
      </patternFill>
    </fill>
    <fill>
      <patternFill patternType="solid">
        <fgColor rgb="FFD5EAFF"/>
        <bgColor indexed="64"/>
      </patternFill>
    </fill>
    <fill>
      <patternFill patternType="solid">
        <fgColor theme="3" tint="0.79998168889431442"/>
        <bgColor indexed="64"/>
      </patternFill>
    </fill>
  </fills>
  <borders count="112">
    <border>
      <left/>
      <right/>
      <top/>
      <bottom/>
      <diagonal/>
    </border>
    <border>
      <left style="thin">
        <color indexed="64"/>
      </left>
      <right style="thin">
        <color indexed="64"/>
      </right>
      <top style="thin">
        <color indexed="64"/>
      </top>
      <bottom style="thin">
        <color indexed="64"/>
      </bottom>
      <diagonal/>
    </border>
    <border>
      <left/>
      <right/>
      <top/>
      <bottom style="medium">
        <color auto="1"/>
      </bottom>
      <diagonal/>
    </border>
    <border>
      <left/>
      <right/>
      <top style="thin">
        <color indexed="64"/>
      </top>
      <bottom/>
      <diagonal/>
    </border>
    <border>
      <left/>
      <right/>
      <top style="medium">
        <color auto="1"/>
      </top>
      <bottom/>
      <diagonal/>
    </border>
    <border>
      <left/>
      <right style="thin">
        <color indexed="64"/>
      </right>
      <top/>
      <bottom/>
      <diagonal/>
    </border>
    <border>
      <left style="medium">
        <color indexed="64"/>
      </left>
      <right/>
      <top/>
      <bottom/>
      <diagonal/>
    </border>
    <border>
      <left style="medium">
        <color indexed="64"/>
      </left>
      <right/>
      <top style="medium">
        <color auto="1"/>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style="double">
        <color auto="1"/>
      </left>
      <right style="double">
        <color auto="1"/>
      </right>
      <top/>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style="thin">
        <color indexed="64"/>
      </bottom>
      <diagonal/>
    </border>
    <border>
      <left style="thin">
        <color indexed="64"/>
      </left>
      <right style="medium">
        <color indexed="64"/>
      </right>
      <top style="medium">
        <color indexed="64"/>
      </top>
      <bottom style="medium">
        <color auto="1"/>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auto="1"/>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right style="thin">
        <color indexed="64"/>
      </right>
      <top/>
      <bottom style="medium">
        <color auto="1"/>
      </bottom>
      <diagonal/>
    </border>
    <border>
      <left style="thin">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double">
        <color indexed="64"/>
      </bottom>
      <diagonal/>
    </border>
    <border>
      <left style="thin">
        <color indexed="64"/>
      </left>
      <right style="medium">
        <color indexed="64"/>
      </right>
      <top/>
      <bottom style="medium">
        <color indexed="64"/>
      </bottom>
      <diagonal/>
    </border>
    <border>
      <left/>
      <right/>
      <top/>
      <bottom style="double">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rgb="FF0070C0"/>
      </top>
      <bottom/>
      <diagonal/>
    </border>
    <border>
      <left/>
      <right style="medium">
        <color rgb="FF0070C0"/>
      </right>
      <top style="medium">
        <color rgb="FF0070C0"/>
      </top>
      <bottom/>
      <diagonal/>
    </border>
    <border>
      <left style="medium">
        <color rgb="FF0070C0"/>
      </left>
      <right style="medium">
        <color rgb="FF0070C0"/>
      </right>
      <top style="medium">
        <color rgb="FF0070C0"/>
      </top>
      <bottom style="medium">
        <color rgb="FF0070C0"/>
      </bottom>
      <diagonal/>
    </border>
    <border>
      <left/>
      <right/>
      <top style="thin">
        <color theme="0" tint="-0.499984740745262"/>
      </top>
      <bottom style="double">
        <color rgb="FF0070C0"/>
      </bottom>
      <diagonal/>
    </border>
    <border>
      <left/>
      <right/>
      <top style="double">
        <color rgb="FF0070C0"/>
      </top>
      <bottom/>
      <diagonal/>
    </border>
    <border>
      <left style="medium">
        <color rgb="FF0070C0"/>
      </left>
      <right/>
      <top style="medium">
        <color rgb="FF0070C0"/>
      </top>
      <bottom/>
      <diagonal/>
    </border>
    <border>
      <left style="medium">
        <color rgb="FF0070C0"/>
      </left>
      <right style="medium">
        <color rgb="FF0070C0"/>
      </right>
      <top/>
      <bottom/>
      <diagonal/>
    </border>
    <border>
      <left style="medium">
        <color rgb="FF0070C0"/>
      </left>
      <right/>
      <top/>
      <bottom style="medium">
        <color rgb="FF0070C0"/>
      </bottom>
      <diagonal/>
    </border>
    <border>
      <left/>
      <right style="medium">
        <color rgb="FF0070C0"/>
      </right>
      <top/>
      <bottom style="medium">
        <color rgb="FF0070C0"/>
      </bottom>
      <diagonal/>
    </border>
    <border>
      <left/>
      <right/>
      <top/>
      <bottom style="medium">
        <color rgb="FF0070C0"/>
      </bottom>
      <diagonal/>
    </border>
    <border>
      <left/>
      <right style="thin">
        <color rgb="FF0070C0"/>
      </right>
      <top style="medium">
        <color rgb="FF0070C0"/>
      </top>
      <bottom/>
      <diagonal/>
    </border>
    <border>
      <left/>
      <right style="thin">
        <color rgb="FF0070C0"/>
      </right>
      <top/>
      <bottom style="medium">
        <color rgb="FF0070C0"/>
      </bottom>
      <diagonal/>
    </border>
    <border>
      <left/>
      <right/>
      <top style="medium">
        <color rgb="FF0070C0"/>
      </top>
      <bottom style="double">
        <color rgb="FF0070C0"/>
      </bottom>
      <diagonal/>
    </border>
    <border>
      <left style="thin">
        <color rgb="FF0070C0"/>
      </left>
      <right/>
      <top style="medium">
        <color rgb="FF0070C0"/>
      </top>
      <bottom/>
      <diagonal/>
    </border>
    <border>
      <left style="medium">
        <color rgb="FF0070C0"/>
      </left>
      <right/>
      <top/>
      <bottom style="thin">
        <color rgb="FF0070C0"/>
      </bottom>
      <diagonal/>
    </border>
    <border>
      <left/>
      <right/>
      <top/>
      <bottom style="thin">
        <color rgb="FF0070C0"/>
      </bottom>
      <diagonal/>
    </border>
    <border>
      <left/>
      <right style="thin">
        <color rgb="FF0070C0"/>
      </right>
      <top/>
      <bottom style="thin">
        <color rgb="FF0070C0"/>
      </bottom>
      <diagonal/>
    </border>
    <border>
      <left style="thin">
        <color rgb="FF0070C0"/>
      </left>
      <right/>
      <top/>
      <bottom style="thin">
        <color rgb="FF0070C0"/>
      </bottom>
      <diagonal/>
    </border>
    <border>
      <left/>
      <right style="medium">
        <color rgb="FF0070C0"/>
      </right>
      <top/>
      <bottom/>
      <diagonal/>
    </border>
    <border>
      <left style="medium">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top style="thin">
        <color rgb="FF0070C0"/>
      </top>
      <bottom style="thin">
        <color rgb="FF0070C0"/>
      </bottom>
      <diagonal/>
    </border>
    <border>
      <left/>
      <right style="medium">
        <color rgb="FF0070C0"/>
      </right>
      <top style="thin">
        <color rgb="FF0070C0"/>
      </top>
      <bottom style="thin">
        <color rgb="FF0070C0"/>
      </bottom>
      <diagonal/>
    </border>
    <border>
      <left style="medium">
        <color rgb="FF0070C0"/>
      </left>
      <right/>
      <top style="thin">
        <color rgb="FF0070C0"/>
      </top>
      <bottom style="medium">
        <color rgb="FF0070C0"/>
      </bottom>
      <diagonal/>
    </border>
    <border>
      <left/>
      <right/>
      <top style="thin">
        <color rgb="FF0070C0"/>
      </top>
      <bottom style="medium">
        <color rgb="FF0070C0"/>
      </bottom>
      <diagonal/>
    </border>
    <border>
      <left style="thin">
        <color rgb="FF0070C0"/>
      </left>
      <right/>
      <top style="thin">
        <color rgb="FF0070C0"/>
      </top>
      <bottom style="medium">
        <color rgb="FF0070C0"/>
      </bottom>
      <diagonal/>
    </border>
    <border>
      <left/>
      <right style="medium">
        <color rgb="FF0070C0"/>
      </right>
      <top style="thin">
        <color rgb="FF0070C0"/>
      </top>
      <bottom style="medium">
        <color rgb="FF0070C0"/>
      </bottom>
      <diagonal/>
    </border>
    <border>
      <left style="medium">
        <color rgb="FF0070C0"/>
      </left>
      <right/>
      <top/>
      <bottom/>
      <diagonal/>
    </border>
    <border>
      <left/>
      <right/>
      <top style="medium">
        <color theme="4" tint="-0.249977111117893"/>
      </top>
      <bottom style="medium">
        <color theme="4" tint="-0.249977111117893"/>
      </bottom>
      <diagonal/>
    </border>
    <border>
      <left/>
      <right/>
      <top style="double">
        <color rgb="FF0070C0"/>
      </top>
      <bottom style="thin">
        <color rgb="FF0070C0"/>
      </bottom>
      <diagonal/>
    </border>
    <border>
      <left style="thin">
        <color indexed="64"/>
      </left>
      <right style="medium">
        <color indexed="64"/>
      </right>
      <top style="thin">
        <color indexed="64"/>
      </top>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medium">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medium">
        <color theme="4" tint="-0.499984740745262"/>
      </right>
      <top style="thin">
        <color theme="4" tint="-0.499984740745262"/>
      </top>
      <bottom style="thin">
        <color theme="4" tint="-0.499984740745262"/>
      </bottom>
      <diagonal/>
    </border>
    <border>
      <left style="medium">
        <color theme="4" tint="-0.499984740745262"/>
      </left>
      <right style="thin">
        <color theme="4" tint="-0.499984740745262"/>
      </right>
      <top style="thin">
        <color theme="4" tint="-0.499984740745262"/>
      </top>
      <bottom style="medium">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thin">
        <color theme="4" tint="-0.499984740745262"/>
      </left>
      <right style="medium">
        <color theme="4" tint="-0.499984740745262"/>
      </right>
      <top style="thin">
        <color theme="4" tint="-0.499984740745262"/>
      </top>
      <bottom style="medium">
        <color theme="4" tint="-0.499984740745262"/>
      </bottom>
      <diagonal/>
    </border>
    <border>
      <left style="thick">
        <color indexed="64"/>
      </left>
      <right style="medium">
        <color indexed="64"/>
      </right>
      <top style="thick">
        <color indexed="64"/>
      </top>
      <bottom/>
      <diagonal/>
    </border>
    <border>
      <left style="thick">
        <color indexed="64"/>
      </left>
      <right style="medium">
        <color indexed="64"/>
      </right>
      <top/>
      <bottom style="medium">
        <color indexed="64"/>
      </bottom>
      <diagonal/>
    </border>
    <border>
      <left/>
      <right style="thick">
        <color indexed="64"/>
      </right>
      <top style="thick">
        <color indexed="64"/>
      </top>
      <bottom/>
      <diagonal/>
    </border>
    <border>
      <left/>
      <right style="thick">
        <color indexed="64"/>
      </right>
      <top/>
      <bottom style="medium">
        <color indexed="64"/>
      </bottom>
      <diagonal/>
    </border>
    <border>
      <left style="thick">
        <color indexed="64"/>
      </left>
      <right style="medium">
        <color indexed="64"/>
      </right>
      <top/>
      <bottom style="thick">
        <color indexed="64"/>
      </bottom>
      <diagonal/>
    </border>
    <border>
      <left/>
      <right style="thick">
        <color indexed="64"/>
      </right>
      <top/>
      <bottom style="thick">
        <color indexed="64"/>
      </bottom>
      <diagonal/>
    </border>
    <border>
      <left style="medium">
        <color theme="8" tint="-0.24994659260841701"/>
      </left>
      <right style="thin">
        <color theme="8" tint="-0.24994659260841701"/>
      </right>
      <top style="medium">
        <color theme="8" tint="-0.24994659260841701"/>
      </top>
      <bottom style="thin">
        <color theme="8" tint="-0.24994659260841701"/>
      </bottom>
      <diagonal/>
    </border>
    <border>
      <left style="thin">
        <color theme="8" tint="-0.24994659260841701"/>
      </left>
      <right style="medium">
        <color theme="8" tint="-0.24994659260841701"/>
      </right>
      <top style="medium">
        <color theme="8" tint="-0.24994659260841701"/>
      </top>
      <bottom style="thin">
        <color theme="8" tint="-0.24994659260841701"/>
      </bottom>
      <diagonal/>
    </border>
    <border>
      <left style="medium">
        <color theme="8" tint="-0.24994659260841701"/>
      </left>
      <right style="thin">
        <color theme="8" tint="-0.24994659260841701"/>
      </right>
      <top style="thin">
        <color theme="8" tint="-0.24994659260841701"/>
      </top>
      <bottom style="thin">
        <color theme="8" tint="-0.24994659260841701"/>
      </bottom>
      <diagonal/>
    </border>
    <border>
      <left style="thin">
        <color theme="8" tint="-0.24994659260841701"/>
      </left>
      <right style="medium">
        <color theme="8" tint="-0.24994659260841701"/>
      </right>
      <top style="thin">
        <color theme="8" tint="-0.24994659260841701"/>
      </top>
      <bottom style="thin">
        <color theme="8" tint="-0.24994659260841701"/>
      </bottom>
      <diagonal/>
    </border>
    <border>
      <left style="medium">
        <color theme="8" tint="-0.24994659260841701"/>
      </left>
      <right style="thin">
        <color theme="8" tint="-0.24994659260841701"/>
      </right>
      <top style="thin">
        <color theme="8" tint="-0.24994659260841701"/>
      </top>
      <bottom style="medium">
        <color theme="8" tint="-0.24994659260841701"/>
      </bottom>
      <diagonal/>
    </border>
    <border>
      <left style="thin">
        <color theme="8" tint="-0.24994659260841701"/>
      </left>
      <right style="medium">
        <color theme="8" tint="-0.24994659260841701"/>
      </right>
      <top style="thin">
        <color theme="8" tint="-0.24994659260841701"/>
      </top>
      <bottom style="medium">
        <color theme="8" tint="-0.24994659260841701"/>
      </bottom>
      <diagonal/>
    </border>
    <border>
      <left style="thin">
        <color theme="8" tint="-0.24994659260841701"/>
      </left>
      <right style="thin">
        <color theme="8" tint="-0.24994659260841701"/>
      </right>
      <top style="medium">
        <color theme="8" tint="-0.24994659260841701"/>
      </top>
      <bottom style="thin">
        <color theme="8" tint="-0.24994659260841701"/>
      </bottom>
      <diagonal/>
    </border>
    <border>
      <left style="thin">
        <color theme="8" tint="-0.24994659260841701"/>
      </left>
      <right style="thin">
        <color theme="8" tint="-0.24994659260841701"/>
      </right>
      <top style="thin">
        <color theme="8" tint="-0.24994659260841701"/>
      </top>
      <bottom style="thin">
        <color theme="8" tint="-0.24994659260841701"/>
      </bottom>
      <diagonal/>
    </border>
    <border>
      <left style="thin">
        <color theme="8" tint="-0.24994659260841701"/>
      </left>
      <right style="thin">
        <color theme="8" tint="-0.24994659260841701"/>
      </right>
      <top style="thin">
        <color theme="8" tint="-0.24994659260841701"/>
      </top>
      <bottom style="medium">
        <color theme="8" tint="-0.24994659260841701"/>
      </bottom>
      <diagonal/>
    </border>
    <border>
      <left/>
      <right/>
      <top/>
      <bottom style="medium">
        <color theme="8" tint="-0.24994659260841701"/>
      </bottom>
      <diagonal/>
    </border>
    <border>
      <left style="medium">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medium">
        <color theme="4" tint="-0.499984740745262"/>
      </right>
      <top style="medium">
        <color theme="4" tint="-0.499984740745262"/>
      </top>
      <bottom style="thin">
        <color theme="4" tint="-0.499984740745262"/>
      </bottom>
      <diagonal/>
    </border>
    <border>
      <left style="thin">
        <color theme="4" tint="-0.499984740745262"/>
      </left>
      <right style="thin">
        <color theme="8" tint="-0.24994659260841701"/>
      </right>
      <top style="thin">
        <color theme="8" tint="-0.24994659260841701"/>
      </top>
      <bottom style="thin">
        <color theme="8" tint="-0.24994659260841701"/>
      </bottom>
      <diagonal/>
    </border>
    <border>
      <left style="thin">
        <color theme="4" tint="-0.499984740745262"/>
      </left>
      <right style="thin">
        <color theme="8" tint="-0.24994659260841701"/>
      </right>
      <top style="thin">
        <color theme="8" tint="-0.24994659260841701"/>
      </top>
      <bottom style="medium">
        <color theme="8" tint="-0.24994659260841701"/>
      </bottom>
      <diagonal/>
    </border>
    <border>
      <left/>
      <right/>
      <top/>
      <bottom style="medium">
        <color theme="4" tint="-0.499984740745262"/>
      </bottom>
      <diagonal/>
    </border>
    <border>
      <left/>
      <right style="medium">
        <color indexed="64"/>
      </right>
      <top/>
      <bottom style="thin">
        <color indexed="64"/>
      </bottom>
      <diagonal/>
    </border>
  </borders>
  <cellStyleXfs count="2">
    <xf numFmtId="0" fontId="0" fillId="0" borderId="0"/>
    <xf numFmtId="0" fontId="21" fillId="0" borderId="0"/>
  </cellStyleXfs>
  <cellXfs count="535">
    <xf numFmtId="0" fontId="0" fillId="0" borderId="0" xfId="0"/>
    <xf numFmtId="0" fontId="0" fillId="0" borderId="0" xfId="0" applyProtection="1">
      <protection locked="0"/>
    </xf>
    <xf numFmtId="2" fontId="22" fillId="0" borderId="1" xfId="1" applyNumberFormat="1" applyFont="1" applyBorder="1" applyAlignment="1">
      <alignment horizontal="center" vertical="center"/>
    </xf>
    <xf numFmtId="0" fontId="33" fillId="0" borderId="0" xfId="0" applyFont="1" applyProtection="1">
      <protection locked="0"/>
    </xf>
    <xf numFmtId="0" fontId="33" fillId="0" borderId="0" xfId="0" applyFont="1" applyAlignment="1" applyProtection="1">
      <alignment horizontal="center" vertical="center"/>
      <protection locked="0"/>
    </xf>
    <xf numFmtId="0" fontId="42" fillId="0" borderId="0" xfId="0" applyFont="1" applyProtection="1">
      <protection locked="0"/>
    </xf>
    <xf numFmtId="0" fontId="10" fillId="0" borderId="0" xfId="0" applyFont="1" applyAlignment="1">
      <alignment vertical="center"/>
    </xf>
    <xf numFmtId="2" fontId="22" fillId="0" borderId="0" xfId="1" applyNumberFormat="1" applyFont="1" applyAlignment="1">
      <alignment vertical="center"/>
    </xf>
    <xf numFmtId="2" fontId="22" fillId="0" borderId="0" xfId="1" applyNumberFormat="1" applyFont="1" applyAlignment="1">
      <alignment horizontal="center" vertical="center"/>
    </xf>
    <xf numFmtId="2" fontId="26" fillId="0" borderId="0" xfId="1" applyNumberFormat="1" applyFont="1" applyAlignment="1">
      <alignment vertical="center"/>
    </xf>
    <xf numFmtId="2" fontId="22" fillId="0" borderId="0" xfId="1" applyNumberFormat="1" applyFont="1" applyAlignment="1">
      <alignment horizontal="justify" vertical="center"/>
    </xf>
    <xf numFmtId="2" fontId="26" fillId="0" borderId="0" xfId="1" applyNumberFormat="1" applyFont="1" applyAlignment="1">
      <alignment horizontal="justify" vertical="center"/>
    </xf>
    <xf numFmtId="2" fontId="22" fillId="0" borderId="1" xfId="1" applyNumberFormat="1" applyFont="1" applyBorder="1" applyAlignment="1">
      <alignment horizontal="right" vertical="center"/>
    </xf>
    <xf numFmtId="167" fontId="22" fillId="0" borderId="1" xfId="1" applyNumberFormat="1" applyFont="1" applyBorder="1" applyAlignment="1">
      <alignment horizontal="center" vertical="center"/>
    </xf>
    <xf numFmtId="0" fontId="27" fillId="0" borderId="8" xfId="1" applyFont="1" applyBorder="1" applyAlignment="1">
      <alignment horizontal="center"/>
    </xf>
    <xf numFmtId="2" fontId="21" fillId="7" borderId="1" xfId="1" applyNumberFormat="1" applyFill="1" applyBorder="1" applyAlignment="1">
      <alignment horizontal="center"/>
    </xf>
    <xf numFmtId="166" fontId="22" fillId="0" borderId="0" xfId="1" applyNumberFormat="1" applyFont="1" applyAlignment="1">
      <alignment vertical="center"/>
    </xf>
    <xf numFmtId="170" fontId="22" fillId="0" borderId="0" xfId="1" applyNumberFormat="1" applyFont="1" applyAlignment="1">
      <alignment vertical="center"/>
    </xf>
    <xf numFmtId="168" fontId="22" fillId="0" borderId="0" xfId="1" applyNumberFormat="1" applyFont="1" applyAlignment="1">
      <alignment vertical="center"/>
    </xf>
    <xf numFmtId="167" fontId="21" fillId="0" borderId="0" xfId="1" applyNumberFormat="1" applyAlignment="1">
      <alignment horizontal="center"/>
    </xf>
    <xf numFmtId="168" fontId="21" fillId="0" borderId="0" xfId="1" applyNumberFormat="1" applyAlignment="1">
      <alignment horizontal="center"/>
    </xf>
    <xf numFmtId="2" fontId="22" fillId="5" borderId="1" xfId="1" applyNumberFormat="1" applyFont="1" applyFill="1" applyBorder="1" applyAlignment="1">
      <alignment horizontal="right" vertical="center"/>
    </xf>
    <xf numFmtId="166" fontId="22" fillId="5" borderId="1" xfId="1" applyNumberFormat="1" applyFont="1" applyFill="1" applyBorder="1" applyAlignment="1">
      <alignment horizontal="center" vertical="center"/>
    </xf>
    <xf numFmtId="0" fontId="21" fillId="5" borderId="28" xfId="1" applyFill="1" applyBorder="1"/>
    <xf numFmtId="49" fontId="21" fillId="0" borderId="0" xfId="1" applyNumberFormat="1" applyAlignment="1">
      <alignment horizontal="center"/>
    </xf>
    <xf numFmtId="2" fontId="22" fillId="6" borderId="0" xfId="1" applyNumberFormat="1" applyFont="1" applyFill="1" applyAlignment="1">
      <alignment vertical="center"/>
    </xf>
    <xf numFmtId="2" fontId="22" fillId="6" borderId="0" xfId="1" applyNumberFormat="1" applyFont="1" applyFill="1" applyAlignment="1">
      <alignment horizontal="center" vertical="center"/>
    </xf>
    <xf numFmtId="2" fontId="22" fillId="6" borderId="0" xfId="1" applyNumberFormat="1" applyFont="1" applyFill="1" applyAlignment="1">
      <alignment horizontal="right" vertical="center"/>
    </xf>
    <xf numFmtId="2" fontId="22" fillId="6" borderId="1" xfId="1" applyNumberFormat="1" applyFont="1" applyFill="1" applyBorder="1" applyAlignment="1">
      <alignment horizontal="center" vertical="center"/>
    </xf>
    <xf numFmtId="2" fontId="22" fillId="8" borderId="1" xfId="1" applyNumberFormat="1" applyFont="1" applyFill="1" applyBorder="1" applyAlignment="1">
      <alignment horizontal="center" vertical="center"/>
    </xf>
    <xf numFmtId="2" fontId="22" fillId="0" borderId="0" xfId="1" applyNumberFormat="1" applyFont="1" applyAlignment="1">
      <alignment horizontal="right" vertical="center"/>
    </xf>
    <xf numFmtId="167" fontId="22" fillId="0" borderId="0" xfId="1" applyNumberFormat="1" applyFont="1" applyAlignment="1">
      <alignment horizontal="center" vertical="center"/>
    </xf>
    <xf numFmtId="2" fontId="22" fillId="5" borderId="34" xfId="1" applyNumberFormat="1" applyFont="1" applyFill="1" applyBorder="1" applyAlignment="1">
      <alignment horizontal="right" vertical="center"/>
    </xf>
    <xf numFmtId="2" fontId="22" fillId="5" borderId="0" xfId="1" applyNumberFormat="1" applyFont="1" applyFill="1" applyAlignment="1">
      <alignment vertical="center"/>
    </xf>
    <xf numFmtId="0" fontId="21" fillId="0" borderId="0" xfId="1"/>
    <xf numFmtId="2" fontId="22" fillId="0" borderId="1" xfId="1" applyNumberFormat="1" applyFont="1" applyBorder="1" applyAlignment="1">
      <alignment vertical="center"/>
    </xf>
    <xf numFmtId="169" fontId="22" fillId="0" borderId="0" xfId="1" applyNumberFormat="1" applyFont="1" applyAlignment="1">
      <alignment vertical="center"/>
    </xf>
    <xf numFmtId="2" fontId="22" fillId="0" borderId="34" xfId="1" applyNumberFormat="1" applyFont="1" applyBorder="1" applyAlignment="1">
      <alignment vertical="center"/>
    </xf>
    <xf numFmtId="2" fontId="22" fillId="0" borderId="27" xfId="1" applyNumberFormat="1" applyFont="1" applyBorder="1" applyAlignment="1">
      <alignment horizontal="center" vertical="center"/>
    </xf>
    <xf numFmtId="2" fontId="22" fillId="0" borderId="33" xfId="1" applyNumberFormat="1" applyFont="1" applyBorder="1" applyAlignment="1">
      <alignment vertical="center"/>
    </xf>
    <xf numFmtId="167" fontId="22" fillId="0" borderId="29" xfId="1" applyNumberFormat="1" applyFont="1" applyBorder="1" applyAlignment="1">
      <alignment horizontal="center" vertical="center"/>
    </xf>
    <xf numFmtId="168" fontId="22" fillId="0" borderId="1" xfId="1" applyNumberFormat="1" applyFont="1" applyBorder="1" applyAlignment="1">
      <alignment horizontal="center" vertical="center"/>
    </xf>
    <xf numFmtId="2" fontId="22" fillId="5" borderId="32" xfId="1" applyNumberFormat="1" applyFont="1" applyFill="1" applyBorder="1" applyAlignment="1">
      <alignment vertical="center"/>
    </xf>
    <xf numFmtId="2" fontId="22" fillId="5" borderId="28" xfId="1" applyNumberFormat="1" applyFont="1" applyFill="1" applyBorder="1" applyAlignment="1">
      <alignment horizontal="center" vertical="center"/>
    </xf>
    <xf numFmtId="2" fontId="22" fillId="0" borderId="32" xfId="1" applyNumberFormat="1" applyFont="1" applyBorder="1" applyAlignment="1">
      <alignment horizontal="right" vertical="center"/>
    </xf>
    <xf numFmtId="167" fontId="22" fillId="0" borderId="28" xfId="1" applyNumberFormat="1" applyFont="1" applyBorder="1" applyAlignment="1">
      <alignment horizontal="center" vertical="center"/>
    </xf>
    <xf numFmtId="2" fontId="22" fillId="5" borderId="32" xfId="1" applyNumberFormat="1" applyFont="1" applyFill="1" applyBorder="1" applyAlignment="1">
      <alignment horizontal="right" vertical="center"/>
    </xf>
    <xf numFmtId="0" fontId="21" fillId="6" borderId="0" xfId="1" applyFill="1"/>
    <xf numFmtId="0" fontId="27" fillId="0" borderId="0" xfId="1" applyFont="1"/>
    <xf numFmtId="2" fontId="21" fillId="0" borderId="0" xfId="1" applyNumberFormat="1" applyAlignment="1">
      <alignment horizontal="center"/>
    </xf>
    <xf numFmtId="167" fontId="22" fillId="6" borderId="0" xfId="1" applyNumberFormat="1" applyFont="1" applyFill="1" applyAlignment="1">
      <alignment vertical="center"/>
    </xf>
    <xf numFmtId="11" fontId="27" fillId="0" borderId="0" xfId="1" applyNumberFormat="1" applyFont="1"/>
    <xf numFmtId="0" fontId="21" fillId="0" borderId="0" xfId="1" applyAlignment="1">
      <alignment horizontal="center"/>
    </xf>
    <xf numFmtId="0" fontId="21" fillId="0" borderId="32" xfId="1" applyBorder="1" applyAlignment="1">
      <alignment horizontal="right"/>
    </xf>
    <xf numFmtId="0" fontId="21" fillId="0" borderId="31" xfId="1" applyBorder="1"/>
    <xf numFmtId="0" fontId="21" fillId="0" borderId="28" xfId="1" applyBorder="1"/>
    <xf numFmtId="2" fontId="22" fillId="5" borderId="1" xfId="1" applyNumberFormat="1" applyFont="1" applyFill="1" applyBorder="1" applyAlignment="1">
      <alignment vertical="center"/>
    </xf>
    <xf numFmtId="2" fontId="22" fillId="5" borderId="1" xfId="1" applyNumberFormat="1" applyFont="1" applyFill="1" applyBorder="1" applyAlignment="1">
      <alignment horizontal="center" vertical="center"/>
    </xf>
    <xf numFmtId="2" fontId="22" fillId="5" borderId="30" xfId="1" applyNumberFormat="1" applyFont="1" applyFill="1" applyBorder="1" applyAlignment="1">
      <alignment vertical="center"/>
    </xf>
    <xf numFmtId="164" fontId="22" fillId="5" borderId="28" xfId="1" applyNumberFormat="1" applyFont="1" applyFill="1" applyBorder="1" applyAlignment="1">
      <alignment horizontal="center" vertical="center"/>
    </xf>
    <xf numFmtId="0" fontId="22" fillId="0" borderId="0" xfId="1" applyFont="1" applyAlignment="1">
      <alignment vertical="center"/>
    </xf>
    <xf numFmtId="0" fontId="22" fillId="0" borderId="0" xfId="1" applyFont="1" applyAlignment="1">
      <alignment horizontal="center" vertical="center"/>
    </xf>
    <xf numFmtId="0" fontId="22" fillId="6" borderId="0" xfId="1" applyFont="1" applyFill="1" applyAlignment="1">
      <alignment vertical="center"/>
    </xf>
    <xf numFmtId="0" fontId="22" fillId="6" borderId="0" xfId="1" applyFont="1" applyFill="1" applyAlignment="1">
      <alignment horizontal="center" vertical="center"/>
    </xf>
    <xf numFmtId="0" fontId="22" fillId="6" borderId="0" xfId="1" applyFont="1" applyFill="1" applyAlignment="1">
      <alignment horizontal="right" vertical="center"/>
    </xf>
    <xf numFmtId="0" fontId="26" fillId="6" borderId="0" xfId="1" applyFont="1" applyFill="1" applyAlignment="1">
      <alignment horizontal="right" vertical="center"/>
    </xf>
    <xf numFmtId="0" fontId="22" fillId="5" borderId="0" xfId="1" applyFont="1" applyFill="1" applyAlignment="1">
      <alignment vertical="center"/>
    </xf>
    <xf numFmtId="0" fontId="22" fillId="5" borderId="0" xfId="1" applyFont="1" applyFill="1" applyAlignment="1">
      <alignment horizontal="center" vertical="center"/>
    </xf>
    <xf numFmtId="0" fontId="22" fillId="5" borderId="0" xfId="1" applyFont="1" applyFill="1" applyAlignment="1">
      <alignment horizontal="left" vertical="center"/>
    </xf>
    <xf numFmtId="2" fontId="22" fillId="5" borderId="0" xfId="1" applyNumberFormat="1" applyFont="1" applyFill="1" applyAlignment="1">
      <alignment horizontal="right" vertical="center"/>
    </xf>
    <xf numFmtId="166" fontId="22" fillId="5" borderId="0" xfId="1" applyNumberFormat="1" applyFont="1" applyFill="1" applyAlignment="1">
      <alignment horizontal="right" vertical="center"/>
    </xf>
    <xf numFmtId="0" fontId="20" fillId="5" borderId="0" xfId="1" applyFont="1" applyFill="1" applyAlignment="1">
      <alignment horizontal="left" vertical="center"/>
    </xf>
    <xf numFmtId="167" fontId="22" fillId="5" borderId="0" xfId="1" applyNumberFormat="1" applyFont="1" applyFill="1" applyAlignment="1">
      <alignment horizontal="right" vertical="center"/>
    </xf>
    <xf numFmtId="167" fontId="22" fillId="5" borderId="0" xfId="1" applyNumberFormat="1" applyFont="1" applyFill="1" applyAlignment="1">
      <alignment horizontal="center" vertical="center"/>
    </xf>
    <xf numFmtId="164" fontId="25" fillId="5" borderId="0" xfId="1" applyNumberFormat="1" applyFont="1" applyFill="1" applyAlignment="1">
      <alignment vertical="center"/>
    </xf>
    <xf numFmtId="0" fontId="25" fillId="5" borderId="0" xfId="1" applyFont="1" applyFill="1" applyAlignment="1">
      <alignment horizontal="center" vertical="center"/>
    </xf>
    <xf numFmtId="164" fontId="22" fillId="5" borderId="0" xfId="1" applyNumberFormat="1" applyFont="1" applyFill="1" applyAlignment="1">
      <alignment horizontal="center" vertical="center"/>
    </xf>
    <xf numFmtId="0" fontId="22" fillId="4" borderId="0" xfId="1" applyFont="1" applyFill="1" applyAlignment="1">
      <alignment vertical="center"/>
    </xf>
    <xf numFmtId="0" fontId="25" fillId="5" borderId="0" xfId="1" applyFont="1" applyFill="1" applyAlignment="1">
      <alignment vertical="center"/>
    </xf>
    <xf numFmtId="0" fontId="24" fillId="5" borderId="0" xfId="1" applyFont="1" applyFill="1" applyAlignment="1">
      <alignment vertical="center"/>
    </xf>
    <xf numFmtId="0" fontId="24" fillId="5" borderId="0" xfId="1" applyFont="1" applyFill="1" applyAlignment="1">
      <alignment horizontal="center" vertical="center"/>
    </xf>
    <xf numFmtId="2" fontId="24" fillId="5" borderId="0" xfId="1" applyNumberFormat="1" applyFont="1" applyFill="1" applyAlignment="1">
      <alignment horizontal="right" vertical="center"/>
    </xf>
    <xf numFmtId="0" fontId="23" fillId="5" borderId="0" xfId="1" applyFont="1" applyFill="1" applyAlignment="1">
      <alignment vertical="center"/>
    </xf>
    <xf numFmtId="0" fontId="23" fillId="5" borderId="0" xfId="1" applyFont="1" applyFill="1" applyAlignment="1">
      <alignment horizontal="center" vertical="center"/>
    </xf>
    <xf numFmtId="0" fontId="27" fillId="0" borderId="0" xfId="1" applyFont="1" applyAlignment="1">
      <alignment horizontal="center"/>
    </xf>
    <xf numFmtId="0" fontId="13" fillId="0" borderId="0" xfId="0" applyFont="1" applyAlignment="1">
      <alignment horizontal="center" vertical="center"/>
    </xf>
    <xf numFmtId="0" fontId="0" fillId="0" borderId="0" xfId="0" applyAlignment="1">
      <alignment horizontal="center" vertical="center"/>
    </xf>
    <xf numFmtId="0" fontId="0" fillId="0" borderId="0" xfId="0"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14" fillId="0" borderId="9" xfId="0" applyFont="1" applyBorder="1" applyAlignment="1">
      <alignment horizontal="center" vertical="center"/>
    </xf>
    <xf numFmtId="0" fontId="0" fillId="0" borderId="3"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14" fillId="0" borderId="0" xfId="0" applyFont="1" applyAlignment="1">
      <alignment horizontal="center" vertical="center"/>
    </xf>
    <xf numFmtId="0" fontId="0" fillId="0" borderId="5"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14" fillId="0" borderId="12" xfId="0" applyFont="1" applyBorder="1" applyAlignment="1">
      <alignment horizontal="center" vertical="center"/>
    </xf>
    <xf numFmtId="0" fontId="0" fillId="0" borderId="13" xfId="0" applyBorder="1" applyAlignment="1" applyProtection="1">
      <alignment horizontal="center" vertical="center"/>
      <protection locked="0"/>
    </xf>
    <xf numFmtId="0" fontId="15" fillId="0" borderId="15"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4" fillId="0" borderId="1" xfId="0" applyFont="1" applyBorder="1" applyAlignment="1">
      <alignment horizontal="center" vertical="center"/>
    </xf>
    <xf numFmtId="0" fontId="0" fillId="0" borderId="1" xfId="0" applyBorder="1" applyAlignment="1" applyProtection="1">
      <alignment horizontal="center" vertical="center"/>
      <protection locked="0"/>
    </xf>
    <xf numFmtId="0" fontId="0" fillId="0" borderId="1" xfId="0" applyBorder="1" applyAlignment="1">
      <alignment horizontal="center" vertical="center"/>
    </xf>
    <xf numFmtId="2" fontId="16" fillId="0" borderId="1" xfId="0" applyNumberFormat="1" applyFont="1" applyBorder="1" applyAlignment="1" applyProtection="1">
      <alignment horizontal="center" vertical="center"/>
      <protection locked="0"/>
    </xf>
    <xf numFmtId="0" fontId="28" fillId="0" borderId="0" xfId="0" applyFont="1" applyAlignment="1" applyProtection="1">
      <alignment horizontal="center" vertical="center"/>
      <protection locked="0"/>
    </xf>
    <xf numFmtId="0" fontId="35" fillId="2" borderId="0" xfId="0" applyFont="1" applyFill="1" applyAlignment="1" applyProtection="1">
      <alignment horizontal="center" vertical="center"/>
      <protection locked="0"/>
    </xf>
    <xf numFmtId="0" fontId="19"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23" xfId="0" applyBorder="1" applyAlignment="1" applyProtection="1">
      <alignment horizontal="center" vertical="center"/>
      <protection locked="0"/>
    </xf>
    <xf numFmtId="0" fontId="19" fillId="0" borderId="0" xfId="0" applyFont="1" applyAlignment="1" applyProtection="1">
      <alignment horizontal="center" vertical="center"/>
      <protection locked="0"/>
    </xf>
    <xf numFmtId="2" fontId="0" fillId="0" borderId="0" xfId="0" applyNumberFormat="1" applyAlignment="1" applyProtection="1">
      <alignment horizontal="center" vertical="center"/>
      <protection locked="0"/>
    </xf>
    <xf numFmtId="0" fontId="14" fillId="0" borderId="1" xfId="0" applyFont="1" applyBorder="1" applyAlignment="1">
      <alignment horizontal="center" vertical="center" wrapText="1"/>
    </xf>
    <xf numFmtId="0" fontId="16" fillId="0" borderId="1" xfId="0" applyFont="1" applyBorder="1" applyAlignment="1" applyProtection="1">
      <alignment horizontal="center" vertical="center"/>
      <protection locked="0"/>
    </xf>
    <xf numFmtId="0" fontId="27" fillId="0" borderId="33" xfId="1" applyFont="1" applyBorder="1" applyAlignment="1">
      <alignment horizontal="center"/>
    </xf>
    <xf numFmtId="0" fontId="27" fillId="0" borderId="36" xfId="1" applyFont="1" applyBorder="1" applyAlignment="1">
      <alignment horizontal="center"/>
    </xf>
    <xf numFmtId="0" fontId="27" fillId="0" borderId="29" xfId="1" applyFont="1" applyBorder="1" applyAlignment="1">
      <alignment horizontal="center"/>
    </xf>
    <xf numFmtId="0" fontId="27" fillId="0" borderId="37" xfId="1" applyFont="1" applyBorder="1" applyAlignment="1">
      <alignment horizontal="center"/>
    </xf>
    <xf numFmtId="0" fontId="27" fillId="0" borderId="38" xfId="1" applyFont="1" applyBorder="1" applyAlignment="1">
      <alignment horizontal="center"/>
    </xf>
    <xf numFmtId="0" fontId="21" fillId="0" borderId="39" xfId="1" applyBorder="1" applyAlignment="1">
      <alignment horizontal="center"/>
    </xf>
    <xf numFmtId="2" fontId="21" fillId="7" borderId="19" xfId="1" applyNumberFormat="1" applyFill="1" applyBorder="1" applyAlignment="1">
      <alignment horizontal="center"/>
    </xf>
    <xf numFmtId="0" fontId="21" fillId="0" borderId="20" xfId="1" applyBorder="1" applyAlignment="1">
      <alignment horizontal="center"/>
    </xf>
    <xf numFmtId="2" fontId="21" fillId="7" borderId="21" xfId="1" applyNumberFormat="1" applyFill="1" applyBorder="1" applyAlignment="1">
      <alignment horizontal="center"/>
    </xf>
    <xf numFmtId="2" fontId="21" fillId="7" borderId="24" xfId="1" applyNumberFormat="1" applyFill="1" applyBorder="1" applyAlignment="1">
      <alignment horizontal="center"/>
    </xf>
    <xf numFmtId="0" fontId="21" fillId="0" borderId="40" xfId="1" applyBorder="1" applyAlignment="1">
      <alignment horizontal="center"/>
    </xf>
    <xf numFmtId="0" fontId="14" fillId="0" borderId="1" xfId="0" applyFont="1" applyBorder="1" applyAlignment="1" applyProtection="1">
      <alignment horizontal="center" vertical="center"/>
      <protection locked="0"/>
    </xf>
    <xf numFmtId="0" fontId="0" fillId="9" borderId="3" xfId="0" applyFill="1" applyBorder="1" applyAlignment="1">
      <alignment horizontal="center" vertical="center"/>
    </xf>
    <xf numFmtId="0" fontId="0" fillId="9" borderId="10" xfId="0" applyFill="1" applyBorder="1" applyAlignment="1">
      <alignment horizontal="center" vertical="center"/>
    </xf>
    <xf numFmtId="0" fontId="16" fillId="9" borderId="0" xfId="0" applyFont="1" applyFill="1" applyAlignment="1" applyProtection="1">
      <alignment horizontal="center" vertical="center"/>
      <protection locked="0"/>
    </xf>
    <xf numFmtId="0" fontId="16" fillId="9" borderId="5" xfId="0" applyFont="1" applyFill="1" applyBorder="1" applyAlignment="1" applyProtection="1">
      <alignment horizontal="center" vertical="center"/>
      <protection locked="0"/>
    </xf>
    <xf numFmtId="0" fontId="0" fillId="9" borderId="3" xfId="0" applyFill="1" applyBorder="1" applyAlignment="1" applyProtection="1">
      <alignment horizontal="center" vertical="center"/>
      <protection locked="0"/>
    </xf>
    <xf numFmtId="0" fontId="0" fillId="9" borderId="10" xfId="0" applyFill="1" applyBorder="1" applyAlignment="1" applyProtection="1">
      <alignment horizontal="center" vertical="center"/>
      <protection locked="0"/>
    </xf>
    <xf numFmtId="49" fontId="0" fillId="0" borderId="0" xfId="0" applyNumberFormat="1" applyAlignment="1" applyProtection="1">
      <alignment horizontal="center"/>
      <protection locked="0"/>
    </xf>
    <xf numFmtId="0" fontId="0" fillId="0" borderId="0" xfId="0" applyNumberFormat="1" applyAlignment="1" applyProtection="1">
      <alignment horizontal="center"/>
      <protection locked="0"/>
    </xf>
    <xf numFmtId="0" fontId="33" fillId="0" borderId="0" xfId="0" applyFont="1" applyBorder="1" applyProtection="1">
      <protection locked="0"/>
    </xf>
    <xf numFmtId="0" fontId="0" fillId="6" borderId="30" xfId="0" applyFill="1" applyBorder="1" applyAlignment="1" applyProtection="1">
      <alignment horizontal="center"/>
      <protection locked="0"/>
    </xf>
    <xf numFmtId="14" fontId="0" fillId="5" borderId="0" xfId="0" applyNumberFormat="1" applyFill="1" applyAlignment="1" applyProtection="1">
      <alignment horizontal="center"/>
      <protection locked="0"/>
    </xf>
    <xf numFmtId="49" fontId="0" fillId="5" borderId="0" xfId="0" applyNumberFormat="1" applyFill="1" applyAlignment="1" applyProtection="1">
      <alignment horizontal="center"/>
      <protection locked="0"/>
    </xf>
    <xf numFmtId="49" fontId="0" fillId="0" borderId="0" xfId="0" applyNumberFormat="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0" xfId="0" applyAlignment="1" applyProtection="1">
      <alignment horizontal="center"/>
      <protection locked="0"/>
    </xf>
    <xf numFmtId="14" fontId="0" fillId="0" borderId="0" xfId="0" applyNumberFormat="1" applyAlignment="1" applyProtection="1">
      <alignment horizontal="center"/>
      <protection locked="0"/>
    </xf>
    <xf numFmtId="49" fontId="0" fillId="0" borderId="12" xfId="0" applyNumberFormat="1" applyBorder="1" applyAlignment="1" applyProtection="1">
      <alignment horizontal="center" vertical="center"/>
      <protection locked="0"/>
    </xf>
    <xf numFmtId="0" fontId="0" fillId="5" borderId="0" xfId="0" applyFill="1" applyAlignment="1" applyProtection="1">
      <alignment horizontal="center" vertical="center"/>
      <protection locked="0"/>
    </xf>
    <xf numFmtId="0" fontId="33" fillId="0" borderId="0" xfId="0" applyFont="1" applyProtection="1"/>
    <xf numFmtId="0" fontId="0" fillId="0" borderId="1" xfId="0" applyBorder="1" applyAlignment="1" applyProtection="1">
      <alignment horizontal="center" vertical="center"/>
      <protection locked="0"/>
    </xf>
    <xf numFmtId="0" fontId="30" fillId="0" borderId="0" xfId="0" applyFont="1" applyBorder="1" applyAlignment="1" applyProtection="1">
      <alignment vertical="center" wrapText="1"/>
    </xf>
    <xf numFmtId="0" fontId="0" fillId="0" borderId="0" xfId="0" applyProtection="1"/>
    <xf numFmtId="0" fontId="4" fillId="0" borderId="0" xfId="0" applyFont="1" applyBorder="1" applyAlignment="1" applyProtection="1">
      <alignment vertical="center" wrapText="1"/>
    </xf>
    <xf numFmtId="0" fontId="4" fillId="0" borderId="0" xfId="0" applyFont="1" applyBorder="1" applyAlignment="1" applyProtection="1">
      <alignment horizontal="center" vertical="center" wrapText="1"/>
    </xf>
    <xf numFmtId="0" fontId="5" fillId="0" borderId="0" xfId="0" applyFont="1" applyBorder="1" applyAlignment="1" applyProtection="1">
      <alignment horizontal="center" vertical="center" wrapText="1"/>
    </xf>
    <xf numFmtId="0" fontId="0" fillId="0" borderId="42" xfId="0" applyBorder="1" applyProtection="1"/>
    <xf numFmtId="0" fontId="2" fillId="0" borderId="42" xfId="0" applyFont="1" applyBorder="1" applyAlignment="1" applyProtection="1">
      <alignment vertical="center" wrapText="1"/>
    </xf>
    <xf numFmtId="0" fontId="6" fillId="0" borderId="42" xfId="0" applyFont="1" applyBorder="1" applyAlignment="1" applyProtection="1">
      <alignment horizontal="center" vertical="center" wrapText="1"/>
    </xf>
    <xf numFmtId="0" fontId="7" fillId="0" borderId="42" xfId="0" applyFont="1" applyBorder="1" applyAlignment="1" applyProtection="1">
      <alignment horizontal="center" vertical="center" wrapText="1"/>
    </xf>
    <xf numFmtId="0" fontId="0" fillId="2" borderId="0" xfId="0" applyFill="1" applyProtection="1">
      <protection locked="0"/>
    </xf>
    <xf numFmtId="0" fontId="11" fillId="0" borderId="48" xfId="0" applyFont="1" applyBorder="1" applyAlignment="1" applyProtection="1">
      <alignment vertical="center"/>
    </xf>
    <xf numFmtId="0" fontId="0" fillId="0" borderId="48" xfId="0" applyBorder="1" applyProtection="1"/>
    <xf numFmtId="0" fontId="64" fillId="0" borderId="42" xfId="0" applyFont="1" applyBorder="1" applyAlignment="1" applyProtection="1">
      <alignment vertical="center"/>
    </xf>
    <xf numFmtId="0" fontId="7" fillId="0" borderId="57" xfId="0" applyFont="1" applyBorder="1" applyAlignment="1" applyProtection="1">
      <alignment vertical="center" wrapText="1"/>
    </xf>
    <xf numFmtId="0" fontId="3" fillId="0" borderId="57" xfId="0" applyFont="1" applyBorder="1" applyAlignment="1" applyProtection="1">
      <alignment vertical="center" wrapText="1"/>
    </xf>
    <xf numFmtId="0" fontId="0" fillId="0" borderId="57" xfId="0" applyBorder="1" applyProtection="1"/>
    <xf numFmtId="0" fontId="71" fillId="0" borderId="0" xfId="0" applyFont="1" applyProtection="1">
      <protection locked="0"/>
    </xf>
    <xf numFmtId="0" fontId="31" fillId="0" borderId="0" xfId="0" applyFont="1" applyBorder="1" applyAlignment="1" applyProtection="1">
      <alignment vertical="center" wrapText="1"/>
      <protection locked="0"/>
    </xf>
    <xf numFmtId="0" fontId="71" fillId="0" borderId="0" xfId="0" applyFont="1" applyBorder="1" applyProtection="1">
      <protection locked="0"/>
    </xf>
    <xf numFmtId="173" fontId="30" fillId="0" borderId="50" xfId="0" applyNumberFormat="1" applyFont="1" applyBorder="1" applyAlignment="1" applyProtection="1">
      <alignment horizontal="left" vertical="center" wrapText="1"/>
    </xf>
    <xf numFmtId="0" fontId="30" fillId="0" borderId="45" xfId="0" applyFont="1" applyBorder="1" applyAlignment="1" applyProtection="1">
      <alignment horizontal="center" wrapText="1"/>
    </xf>
    <xf numFmtId="0" fontId="72" fillId="0" borderId="45" xfId="0" applyFont="1" applyBorder="1" applyProtection="1">
      <protection locked="0"/>
    </xf>
    <xf numFmtId="0" fontId="30" fillId="0" borderId="45" xfId="0" applyFont="1" applyBorder="1" applyAlignment="1" applyProtection="1">
      <alignment vertical="center" wrapText="1"/>
    </xf>
    <xf numFmtId="0" fontId="72" fillId="0" borderId="46" xfId="0" applyFont="1" applyBorder="1" applyProtection="1">
      <protection locked="0"/>
    </xf>
    <xf numFmtId="0" fontId="72" fillId="0" borderId="0" xfId="0" applyFont="1" applyProtection="1">
      <protection locked="0"/>
    </xf>
    <xf numFmtId="173" fontId="30" fillId="0" borderId="73" xfId="0" applyNumberFormat="1" applyFont="1" applyBorder="1" applyAlignment="1" applyProtection="1">
      <alignment horizontal="left" vertical="center" wrapText="1"/>
    </xf>
    <xf numFmtId="0" fontId="72" fillId="0" borderId="0" xfId="0" applyFont="1" applyBorder="1" applyProtection="1">
      <protection locked="0"/>
    </xf>
    <xf numFmtId="0" fontId="30" fillId="0" borderId="0" xfId="0" applyFont="1" applyBorder="1" applyAlignment="1" applyProtection="1">
      <alignment vertical="center" wrapText="1"/>
      <protection locked="0"/>
    </xf>
    <xf numFmtId="0" fontId="33" fillId="0" borderId="63" xfId="0" applyFont="1" applyBorder="1" applyProtection="1">
      <protection locked="0"/>
    </xf>
    <xf numFmtId="173" fontId="30" fillId="0" borderId="52" xfId="0" applyNumberFormat="1" applyFont="1" applyBorder="1" applyAlignment="1" applyProtection="1">
      <alignment horizontal="left" vertical="center" wrapText="1"/>
    </xf>
    <xf numFmtId="0" fontId="72" fillId="0" borderId="54" xfId="0" applyFont="1" applyBorder="1" applyProtection="1">
      <protection locked="0"/>
    </xf>
    <xf numFmtId="0" fontId="72" fillId="0" borderId="53" xfId="0" applyFont="1" applyBorder="1" applyProtection="1">
      <protection locked="0"/>
    </xf>
    <xf numFmtId="0" fontId="0" fillId="0" borderId="0" xfId="0" applyBorder="1" applyProtection="1"/>
    <xf numFmtId="0" fontId="30" fillId="0" borderId="0" xfId="0" applyFont="1" applyBorder="1" applyAlignment="1" applyProtection="1">
      <alignment horizontal="left" vertical="center" wrapText="1"/>
    </xf>
    <xf numFmtId="0" fontId="46" fillId="0" borderId="0" xfId="0" applyFont="1" applyBorder="1" applyAlignment="1" applyProtection="1">
      <alignment horizontal="center" wrapText="1"/>
    </xf>
    <xf numFmtId="0" fontId="40" fillId="0" borderId="0" xfId="0" applyFont="1" applyBorder="1" applyAlignment="1" applyProtection="1">
      <alignment horizontal="center" vertical="top" wrapText="1"/>
    </xf>
    <xf numFmtId="0" fontId="3" fillId="0" borderId="0" xfId="0" applyFont="1" applyAlignment="1" applyProtection="1">
      <alignment horizontal="left" vertical="center" wrapText="1" indent="5"/>
    </xf>
    <xf numFmtId="0" fontId="2" fillId="0" borderId="0" xfId="0" applyFont="1" applyAlignment="1" applyProtection="1">
      <alignment vertical="center" wrapText="1"/>
    </xf>
    <xf numFmtId="0" fontId="8" fillId="0" borderId="0" xfId="0" applyFont="1" applyBorder="1" applyAlignment="1" applyProtection="1">
      <alignment horizontal="center" vertical="center" wrapText="1"/>
    </xf>
    <xf numFmtId="0" fontId="7" fillId="0" borderId="0" xfId="0" applyFont="1" applyBorder="1" applyAlignment="1" applyProtection="1">
      <alignment horizontal="center" vertical="center" wrapText="1"/>
    </xf>
    <xf numFmtId="0" fontId="10" fillId="0" borderId="42" xfId="0" applyFont="1" applyBorder="1" applyAlignment="1" applyProtection="1">
      <alignment vertical="center"/>
    </xf>
    <xf numFmtId="0" fontId="12" fillId="0" borderId="0" xfId="0" applyFont="1" applyBorder="1" applyAlignment="1" applyProtection="1">
      <alignment horizontal="center" vertical="center"/>
      <protection locked="0"/>
    </xf>
    <xf numFmtId="0" fontId="78" fillId="10" borderId="25" xfId="0" applyFont="1" applyFill="1" applyBorder="1" applyAlignment="1" applyProtection="1">
      <alignment horizontal="center" vertical="center"/>
      <protection locked="0"/>
    </xf>
    <xf numFmtId="0" fontId="78" fillId="10" borderId="4" xfId="0" applyFont="1" applyFill="1" applyBorder="1" applyAlignment="1" applyProtection="1">
      <alignment horizontal="center" vertical="center"/>
      <protection locked="0"/>
    </xf>
    <xf numFmtId="164" fontId="78" fillId="10" borderId="4" xfId="0" applyNumberFormat="1" applyFont="1" applyFill="1" applyBorder="1" applyAlignment="1" applyProtection="1">
      <alignment horizontal="center" vertical="center"/>
      <protection locked="0"/>
    </xf>
    <xf numFmtId="0" fontId="13" fillId="0" borderId="6" xfId="0" applyFont="1" applyBorder="1" applyAlignment="1" applyProtection="1">
      <alignment vertical="center"/>
      <protection locked="0"/>
    </xf>
    <xf numFmtId="166" fontId="79" fillId="10" borderId="8" xfId="0" applyNumberFormat="1" applyFont="1" applyFill="1" applyBorder="1" applyAlignment="1" applyProtection="1">
      <alignment horizontal="center" vertical="center"/>
      <protection locked="0"/>
    </xf>
    <xf numFmtId="166" fontId="79" fillId="10" borderId="13" xfId="0" applyNumberFormat="1" applyFont="1" applyFill="1" applyBorder="1" applyAlignment="1" applyProtection="1">
      <alignment horizontal="center" vertical="center"/>
      <protection locked="0"/>
    </xf>
    <xf numFmtId="166" fontId="79" fillId="10" borderId="12" xfId="0" applyNumberFormat="1" applyFont="1" applyFill="1" applyBorder="1" applyAlignment="1" applyProtection="1">
      <alignment horizontal="center" vertical="center"/>
      <protection locked="0"/>
    </xf>
    <xf numFmtId="166" fontId="79" fillId="10" borderId="38" xfId="0" applyNumberFormat="1" applyFont="1" applyFill="1" applyBorder="1" applyAlignment="1" applyProtection="1">
      <alignment horizontal="center" vertical="center"/>
      <protection locked="0"/>
    </xf>
    <xf numFmtId="0" fontId="13" fillId="0" borderId="0" xfId="0" applyFont="1" applyBorder="1" applyAlignment="1" applyProtection="1">
      <alignment horizontal="center"/>
      <protection locked="0"/>
    </xf>
    <xf numFmtId="0" fontId="12" fillId="2" borderId="0" xfId="0" applyFont="1" applyFill="1" applyBorder="1" applyAlignment="1" applyProtection="1">
      <alignment horizontal="center" vertical="center" wrapText="1"/>
      <protection locked="0"/>
    </xf>
    <xf numFmtId="166" fontId="80" fillId="0" borderId="10" xfId="0" applyNumberFormat="1" applyFont="1" applyFill="1" applyBorder="1" applyAlignment="1" applyProtection="1">
      <alignment horizontal="center" vertical="center"/>
      <protection locked="0"/>
    </xf>
    <xf numFmtId="166" fontId="80" fillId="0" borderId="3" xfId="0" applyNumberFormat="1" applyFont="1" applyFill="1" applyBorder="1" applyAlignment="1" applyProtection="1">
      <alignment horizontal="center" vertical="center"/>
      <protection locked="0"/>
    </xf>
    <xf numFmtId="166" fontId="80" fillId="0" borderId="76" xfId="0" applyNumberFormat="1" applyFont="1" applyFill="1" applyBorder="1" applyAlignment="1" applyProtection="1">
      <alignment horizontal="center" vertical="center"/>
      <protection locked="0"/>
    </xf>
    <xf numFmtId="0" fontId="81" fillId="2" borderId="0" xfId="0" applyFont="1" applyFill="1" applyBorder="1" applyAlignment="1" applyProtection="1">
      <alignment horizontal="center" vertical="center"/>
      <protection locked="0"/>
    </xf>
    <xf numFmtId="0" fontId="28" fillId="2" borderId="0" xfId="0" applyFont="1" applyFill="1" applyBorder="1" applyAlignment="1" applyProtection="1">
      <alignment horizontal="center" vertical="center"/>
      <protection locked="0"/>
    </xf>
    <xf numFmtId="0" fontId="0" fillId="2" borderId="0" xfId="0" applyFill="1" applyBorder="1" applyProtection="1">
      <protection locked="0"/>
    </xf>
    <xf numFmtId="166" fontId="82" fillId="0" borderId="35" xfId="0" applyNumberFormat="1" applyFont="1" applyFill="1" applyBorder="1" applyAlignment="1" applyProtection="1">
      <alignment horizontal="center" vertical="center"/>
      <protection locked="0"/>
    </xf>
    <xf numFmtId="166" fontId="82" fillId="0" borderId="2" xfId="0" applyNumberFormat="1"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0" fontId="13" fillId="2" borderId="0" xfId="0" applyFont="1" applyFill="1" applyBorder="1" applyAlignment="1" applyProtection="1">
      <alignment horizontal="center" vertical="center"/>
      <protection locked="0"/>
    </xf>
    <xf numFmtId="164" fontId="78" fillId="10" borderId="29" xfId="0" applyNumberFormat="1" applyFont="1" applyFill="1" applyBorder="1" applyAlignment="1" applyProtection="1">
      <alignment horizontal="center" vertical="center"/>
      <protection locked="0"/>
    </xf>
    <xf numFmtId="164" fontId="78" fillId="10" borderId="0" xfId="0" applyNumberFormat="1" applyFont="1" applyFill="1" applyBorder="1" applyAlignment="1" applyProtection="1">
      <alignment horizontal="center" vertical="center"/>
      <protection locked="0"/>
    </xf>
    <xf numFmtId="166" fontId="79" fillId="10" borderId="0" xfId="0" applyNumberFormat="1" applyFont="1" applyFill="1" applyBorder="1" applyAlignment="1" applyProtection="1">
      <alignment horizontal="center" vertical="center"/>
      <protection locked="0"/>
    </xf>
    <xf numFmtId="166" fontId="80" fillId="0" borderId="0" xfId="0" applyNumberFormat="1" applyFont="1" applyFill="1" applyBorder="1" applyAlignment="1" applyProtection="1">
      <alignment horizontal="center" vertical="center"/>
      <protection locked="0"/>
    </xf>
    <xf numFmtId="166" fontId="82" fillId="0" borderId="41" xfId="0" applyNumberFormat="1" applyFont="1" applyFill="1" applyBorder="1" applyAlignment="1" applyProtection="1">
      <alignment horizontal="center" vertical="center"/>
      <protection locked="0"/>
    </xf>
    <xf numFmtId="166" fontId="82" fillId="0" borderId="0" xfId="0" applyNumberFormat="1" applyFont="1" applyFill="1" applyBorder="1" applyAlignment="1" applyProtection="1">
      <alignment horizontal="center" vertical="center"/>
      <protection locked="0"/>
    </xf>
    <xf numFmtId="0" fontId="16" fillId="0" borderId="0" xfId="0" applyFont="1" applyBorder="1" applyProtection="1">
      <protection locked="0"/>
    </xf>
    <xf numFmtId="0" fontId="83" fillId="0" borderId="0" xfId="0" applyFont="1" applyBorder="1" applyProtection="1">
      <protection locked="0"/>
    </xf>
    <xf numFmtId="0" fontId="77" fillId="0" borderId="78" xfId="0" applyFont="1" applyBorder="1" applyAlignment="1" applyProtection="1">
      <alignment horizontal="center" vertical="center"/>
      <protection locked="0"/>
    </xf>
    <xf numFmtId="0" fontId="77" fillId="0" borderId="79" xfId="0" applyFont="1" applyBorder="1" applyAlignment="1" applyProtection="1">
      <alignment horizontal="center" vertical="center"/>
      <protection locked="0"/>
    </xf>
    <xf numFmtId="167" fontId="81" fillId="0" borderId="80" xfId="0" applyNumberFormat="1" applyFont="1" applyBorder="1" applyAlignment="1" applyProtection="1">
      <alignment horizontal="center" vertical="center"/>
      <protection locked="0"/>
    </xf>
    <xf numFmtId="0" fontId="0" fillId="0" borderId="0" xfId="0" applyBorder="1" applyProtection="1">
      <protection locked="0"/>
    </xf>
    <xf numFmtId="0" fontId="0" fillId="0" borderId="80" xfId="0" applyBorder="1" applyAlignment="1" applyProtection="1">
      <alignment horizontal="center"/>
      <protection locked="0"/>
    </xf>
    <xf numFmtId="0" fontId="41" fillId="0" borderId="0" xfId="0" applyFont="1" applyBorder="1" applyAlignment="1" applyProtection="1">
      <alignment vertical="center" wrapText="1"/>
    </xf>
    <xf numFmtId="0" fontId="41" fillId="0" borderId="0" xfId="0" applyFont="1" applyBorder="1" applyAlignment="1" applyProtection="1">
      <alignment horizontal="center" vertical="center" wrapText="1"/>
    </xf>
    <xf numFmtId="0" fontId="30" fillId="0" borderId="42" xfId="0" applyFont="1" applyBorder="1" applyAlignment="1" applyProtection="1">
      <alignment horizontal="justify" vertical="center"/>
      <protection locked="0"/>
    </xf>
    <xf numFmtId="0" fontId="33" fillId="0" borderId="42" xfId="0" applyFont="1" applyBorder="1" applyProtection="1">
      <protection locked="0"/>
    </xf>
    <xf numFmtId="0" fontId="39" fillId="0" borderId="0" xfId="0" applyFont="1" applyAlignment="1" applyProtection="1">
      <alignment horizontal="left" vertical="center" wrapText="1"/>
      <protection locked="0"/>
    </xf>
    <xf numFmtId="0" fontId="38" fillId="0" borderId="0" xfId="0" applyFont="1" applyAlignment="1" applyProtection="1">
      <alignment horizontal="left" vertical="center" wrapText="1"/>
      <protection locked="0"/>
    </xf>
    <xf numFmtId="0" fontId="39" fillId="0" borderId="0" xfId="0" applyFont="1" applyAlignment="1" applyProtection="1">
      <alignment horizontal="right" vertical="center" wrapText="1"/>
      <protection locked="0"/>
    </xf>
    <xf numFmtId="0" fontId="38" fillId="0" borderId="0" xfId="0" applyFont="1" applyAlignment="1" applyProtection="1">
      <alignment horizontal="left" vertical="center"/>
      <protection locked="0"/>
    </xf>
    <xf numFmtId="0" fontId="3" fillId="0" borderId="42" xfId="0" applyFont="1" applyBorder="1" applyAlignment="1" applyProtection="1">
      <alignment vertical="center"/>
    </xf>
    <xf numFmtId="0" fontId="9" fillId="0" borderId="0" xfId="0" applyFont="1" applyAlignment="1" applyProtection="1">
      <alignment vertical="center"/>
    </xf>
    <xf numFmtId="0" fontId="88" fillId="0" borderId="0" xfId="0" applyFont="1" applyAlignment="1" applyProtection="1">
      <alignment horizontal="right" vertical="center" wrapText="1"/>
    </xf>
    <xf numFmtId="171" fontId="51" fillId="0" borderId="0" xfId="0" applyNumberFormat="1" applyFont="1" applyAlignment="1" applyProtection="1">
      <alignment vertical="center" wrapText="1"/>
    </xf>
    <xf numFmtId="0" fontId="90" fillId="0" borderId="0" xfId="0" applyFont="1" applyAlignment="1">
      <alignment vertical="center"/>
    </xf>
    <xf numFmtId="0" fontId="51" fillId="0" borderId="0" xfId="0" applyFont="1" applyAlignment="1" applyProtection="1">
      <alignment horizontal="left" vertical="center" wrapText="1"/>
    </xf>
    <xf numFmtId="0" fontId="51" fillId="0" borderId="0" xfId="0" applyFont="1" applyAlignment="1" applyProtection="1">
      <alignment horizontal="left" vertical="center" wrapText="1"/>
      <protection locked="0"/>
    </xf>
    <xf numFmtId="0" fontId="51" fillId="0" borderId="0" xfId="0" applyFont="1" applyAlignment="1" applyProtection="1">
      <alignment vertical="center" wrapText="1"/>
    </xf>
    <xf numFmtId="0" fontId="30" fillId="0" borderId="60" xfId="0" applyFont="1" applyBorder="1" applyAlignment="1" applyProtection="1">
      <alignment horizontal="right" vertical="center" wrapText="1"/>
      <protection locked="0"/>
    </xf>
    <xf numFmtId="0" fontId="33" fillId="0" borderId="60" xfId="0" applyFont="1" applyBorder="1" applyProtection="1">
      <protection locked="0"/>
    </xf>
    <xf numFmtId="0" fontId="30" fillId="0" borderId="60" xfId="0" applyFont="1" applyBorder="1" applyAlignment="1" applyProtection="1">
      <alignment horizontal="left" vertical="center" wrapText="1" indent="5"/>
    </xf>
    <xf numFmtId="0" fontId="91" fillId="0" borderId="60" xfId="0" applyFont="1" applyBorder="1" applyAlignment="1" applyProtection="1">
      <alignment horizontal="left" vertical="center" wrapText="1"/>
      <protection locked="0"/>
    </xf>
    <xf numFmtId="0" fontId="0" fillId="0" borderId="60" xfId="0" applyBorder="1" applyProtection="1">
      <protection locked="0"/>
    </xf>
    <xf numFmtId="0" fontId="30" fillId="0" borderId="0" xfId="0" applyFont="1" applyAlignment="1" applyProtection="1">
      <alignment vertical="center" wrapText="1"/>
    </xf>
    <xf numFmtId="0" fontId="4" fillId="0" borderId="0" xfId="0" applyFont="1" applyAlignment="1" applyProtection="1">
      <alignment vertical="center" wrapText="1"/>
    </xf>
    <xf numFmtId="0" fontId="36" fillId="0" borderId="0" xfId="0" applyFont="1" applyAlignment="1" applyProtection="1">
      <alignment vertical="center" wrapText="1"/>
    </xf>
    <xf numFmtId="0" fontId="14" fillId="0" borderId="22" xfId="0" applyFont="1" applyBorder="1" applyAlignment="1">
      <alignment horizontal="left" vertical="center"/>
    </xf>
    <xf numFmtId="0" fontId="14" fillId="0" borderId="11" xfId="0" applyFont="1" applyBorder="1" applyAlignment="1">
      <alignment horizontal="left" vertical="center"/>
    </xf>
    <xf numFmtId="49" fontId="48" fillId="0" borderId="0" xfId="0" applyNumberFormat="1" applyFont="1" applyFill="1" applyBorder="1" applyAlignment="1">
      <alignment horizontal="center" vertical="center" wrapText="1"/>
    </xf>
    <xf numFmtId="49" fontId="49" fillId="0" borderId="0" xfId="0" applyNumberFormat="1" applyFont="1" applyFill="1" applyBorder="1" applyAlignment="1">
      <alignment horizontal="center" vertical="center" wrapText="1"/>
    </xf>
    <xf numFmtId="0" fontId="0" fillId="0" borderId="0" xfId="0" applyFill="1" applyBorder="1" applyAlignment="1" applyProtection="1">
      <alignment horizontal="center" vertical="center"/>
      <protection locked="0"/>
    </xf>
    <xf numFmtId="0" fontId="50" fillId="0" borderId="0" xfId="0" applyFont="1" applyFill="1" applyBorder="1" applyAlignment="1" applyProtection="1">
      <alignment horizontal="center"/>
      <protection locked="0"/>
    </xf>
    <xf numFmtId="49" fontId="50" fillId="0" borderId="0" xfId="0" applyNumberFormat="1" applyFont="1" applyFill="1" applyBorder="1" applyAlignment="1" applyProtection="1">
      <alignment horizontal="center"/>
      <protection locked="0"/>
    </xf>
    <xf numFmtId="14" fontId="50" fillId="0" borderId="0" xfId="0" applyNumberFormat="1" applyFont="1" applyFill="1" applyBorder="1" applyAlignment="1" applyProtection="1">
      <alignment horizontal="center"/>
      <protection locked="0"/>
    </xf>
    <xf numFmtId="0" fontId="0" fillId="0" borderId="0" xfId="0" applyBorder="1" applyAlignment="1" applyProtection="1">
      <alignment horizontal="center" vertical="center"/>
      <protection locked="0"/>
    </xf>
    <xf numFmtId="0" fontId="0" fillId="0" borderId="0" xfId="0" applyFill="1" applyBorder="1" applyAlignment="1" applyProtection="1">
      <alignment horizontal="center"/>
      <protection locked="0"/>
    </xf>
    <xf numFmtId="0" fontId="0" fillId="6" borderId="0" xfId="0" applyFill="1" applyAlignment="1" applyProtection="1">
      <alignment horizontal="center" vertical="center"/>
      <protection locked="0"/>
    </xf>
    <xf numFmtId="0" fontId="7" fillId="0" borderId="0" xfId="0" applyFont="1" applyAlignment="1">
      <alignment vertical="center"/>
    </xf>
    <xf numFmtId="0" fontId="7" fillId="0" borderId="89" xfId="0" applyFont="1" applyBorder="1" applyAlignment="1">
      <alignment horizontal="center" vertical="center" wrapText="1"/>
    </xf>
    <xf numFmtId="0" fontId="7" fillId="0" borderId="90" xfId="0" applyFont="1" applyBorder="1" applyAlignment="1">
      <alignment horizontal="center" vertical="center" wrapText="1"/>
    </xf>
    <xf numFmtId="0" fontId="7" fillId="0" borderId="91" xfId="0" applyFont="1" applyBorder="1" applyAlignment="1">
      <alignment horizontal="center" vertical="center" wrapText="1"/>
    </xf>
    <xf numFmtId="0" fontId="7" fillId="0" borderId="92" xfId="0" applyFont="1" applyBorder="1" applyAlignment="1">
      <alignment horizontal="center" vertical="center" wrapText="1"/>
    </xf>
    <xf numFmtId="0" fontId="7" fillId="0" borderId="93" xfId="0" applyFont="1" applyBorder="1" applyAlignment="1">
      <alignment vertical="center" wrapText="1"/>
    </xf>
    <xf numFmtId="0" fontId="7" fillId="0" borderId="94" xfId="0" applyFont="1" applyBorder="1" applyAlignment="1">
      <alignment vertical="center" wrapText="1"/>
    </xf>
    <xf numFmtId="0" fontId="0" fillId="0" borderId="15" xfId="0" applyBorder="1" applyAlignment="1">
      <alignment horizontal="center" vertical="center"/>
    </xf>
    <xf numFmtId="2" fontId="16" fillId="0" borderId="15" xfId="0" applyNumberFormat="1" applyFont="1" applyBorder="1" applyAlignment="1" applyProtection="1">
      <alignment horizontal="center" vertical="center"/>
      <protection locked="0"/>
    </xf>
    <xf numFmtId="0" fontId="0" fillId="0" borderId="0" xfId="0" applyBorder="1" applyAlignment="1">
      <alignment horizontal="center" vertical="center"/>
    </xf>
    <xf numFmtId="0" fontId="14" fillId="0" borderId="1" xfId="0" applyFont="1" applyBorder="1" applyAlignment="1">
      <alignment horizontal="left" vertical="top"/>
    </xf>
    <xf numFmtId="0" fontId="14" fillId="0" borderId="15" xfId="0" applyFont="1" applyBorder="1" applyAlignment="1">
      <alignment horizontal="left" vertical="top"/>
    </xf>
    <xf numFmtId="0" fontId="14" fillId="0" borderId="17" xfId="0" applyFont="1" applyBorder="1" applyAlignment="1">
      <alignment horizontal="left" vertical="top"/>
    </xf>
    <xf numFmtId="2" fontId="34" fillId="2" borderId="0" xfId="0" applyNumberFormat="1" applyFont="1" applyFill="1" applyBorder="1" applyAlignment="1" applyProtection="1">
      <alignment horizontal="center" vertical="center"/>
    </xf>
    <xf numFmtId="0" fontId="41" fillId="0" borderId="0" xfId="0" applyFont="1" applyFill="1" applyBorder="1" applyAlignment="1" applyProtection="1">
      <alignment vertical="center" wrapText="1"/>
    </xf>
    <xf numFmtId="0" fontId="30" fillId="0" borderId="0" xfId="0" applyFont="1" applyFill="1" applyBorder="1" applyAlignment="1" applyProtection="1">
      <alignment horizontal="center" vertical="center" wrapText="1"/>
    </xf>
    <xf numFmtId="0" fontId="0" fillId="0" borderId="0" xfId="0" applyFill="1" applyProtection="1">
      <protection locked="0"/>
    </xf>
    <xf numFmtId="2" fontId="34" fillId="0" borderId="0" xfId="0" applyNumberFormat="1" applyFont="1" applyFill="1" applyBorder="1" applyAlignment="1" applyProtection="1">
      <alignment horizontal="center" vertical="center"/>
    </xf>
    <xf numFmtId="0" fontId="95" fillId="0" borderId="0" xfId="0" applyFont="1" applyAlignment="1" applyProtection="1">
      <alignment horizontal="center" vertical="center" wrapText="1"/>
    </xf>
    <xf numFmtId="0" fontId="32" fillId="0" borderId="0" xfId="0" applyFont="1" applyBorder="1" applyAlignment="1" applyProtection="1">
      <alignment vertical="center" wrapText="1"/>
    </xf>
    <xf numFmtId="0" fontId="1" fillId="0" borderId="0" xfId="0" applyFont="1" applyProtection="1"/>
    <xf numFmtId="0" fontId="1" fillId="0" borderId="0" xfId="0" applyFont="1" applyProtection="1">
      <protection locked="0"/>
    </xf>
    <xf numFmtId="0" fontId="29" fillId="0" borderId="0" xfId="0" applyFont="1" applyBorder="1" applyAlignment="1" applyProtection="1">
      <alignment horizontal="center" vertical="center"/>
    </xf>
    <xf numFmtId="0" fontId="32" fillId="0" borderId="0" xfId="0" applyFont="1" applyBorder="1" applyAlignment="1" applyProtection="1">
      <alignment horizontal="center" vertical="center" wrapText="1"/>
    </xf>
    <xf numFmtId="0" fontId="32" fillId="0" borderId="0" xfId="0" applyFont="1" applyFill="1" applyBorder="1" applyAlignment="1" applyProtection="1">
      <alignment vertical="center" wrapText="1"/>
    </xf>
    <xf numFmtId="0" fontId="101" fillId="0" borderId="0" xfId="0" applyFont="1" applyFill="1" applyBorder="1" applyAlignment="1" applyProtection="1">
      <alignment horizontal="center" vertical="center"/>
    </xf>
    <xf numFmtId="0" fontId="29" fillId="0" borderId="0" xfId="0" applyFont="1" applyFill="1" applyBorder="1" applyAlignment="1" applyProtection="1">
      <alignment horizontal="center" vertical="center"/>
    </xf>
    <xf numFmtId="0" fontId="32" fillId="0" borderId="0" xfId="0" applyFont="1" applyFill="1" applyBorder="1" applyAlignment="1" applyProtection="1">
      <alignment horizontal="center" vertical="center" wrapText="1"/>
    </xf>
    <xf numFmtId="0" fontId="1" fillId="0" borderId="0" xfId="0" applyFont="1" applyFill="1" applyProtection="1">
      <protection locked="0"/>
    </xf>
    <xf numFmtId="0" fontId="1" fillId="0" borderId="0" xfId="0" applyFont="1" applyBorder="1" applyProtection="1"/>
    <xf numFmtId="0" fontId="101" fillId="3" borderId="105" xfId="0" applyFont="1" applyFill="1" applyBorder="1" applyAlignment="1" applyProtection="1">
      <alignment horizontal="center" vertical="center"/>
    </xf>
    <xf numFmtId="0" fontId="101" fillId="3" borderId="86" xfId="0" applyFont="1" applyFill="1" applyBorder="1" applyAlignment="1" applyProtection="1">
      <alignment horizontal="center" vertical="center"/>
    </xf>
    <xf numFmtId="0" fontId="52" fillId="0" borderId="104" xfId="0" applyFont="1" applyBorder="1" applyAlignment="1" applyProtection="1">
      <alignment horizontal="left" vertical="center"/>
    </xf>
    <xf numFmtId="0" fontId="0" fillId="0" borderId="0" xfId="0" applyBorder="1" applyAlignment="1" applyProtection="1">
      <alignment horizontal="center" vertical="center"/>
      <protection locked="0"/>
    </xf>
    <xf numFmtId="0" fontId="14" fillId="0" borderId="15" xfId="0" applyFont="1" applyBorder="1" applyAlignment="1" applyProtection="1">
      <alignment horizontal="center" vertical="center"/>
      <protection locked="0"/>
    </xf>
    <xf numFmtId="0" fontId="14" fillId="0" borderId="16" xfId="0" applyFont="1" applyBorder="1" applyAlignment="1" applyProtection="1">
      <alignment horizontal="center" vertical="center"/>
      <protection locked="0"/>
    </xf>
    <xf numFmtId="0" fontId="14" fillId="0" borderId="17" xfId="0" applyFont="1" applyBorder="1" applyAlignment="1" applyProtection="1">
      <alignment horizontal="center" vertical="center"/>
      <protection locked="0"/>
    </xf>
    <xf numFmtId="0" fontId="0" fillId="0" borderId="0" xfId="0" applyAlignment="1">
      <alignment horizontal="center" vertical="center"/>
    </xf>
    <xf numFmtId="0" fontId="14" fillId="0" borderId="3" xfId="0" applyFont="1" applyBorder="1" applyAlignment="1">
      <alignment horizontal="center" vertical="center"/>
    </xf>
    <xf numFmtId="0" fontId="18" fillId="0" borderId="15" xfId="0" applyFont="1" applyBorder="1" applyAlignment="1">
      <alignment horizontal="center"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0" fillId="0" borderId="15" xfId="0"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 xfId="0" applyBorder="1" applyAlignment="1">
      <alignment horizontal="center" vertical="center"/>
    </xf>
    <xf numFmtId="0" fontId="0" fillId="0" borderId="15" xfId="0" applyBorder="1" applyAlignment="1">
      <alignment horizontal="center" vertical="center"/>
    </xf>
    <xf numFmtId="0" fontId="14" fillId="0" borderId="1" xfId="0" applyFont="1" applyBorder="1" applyAlignment="1">
      <alignment horizontal="left" vertical="top"/>
    </xf>
    <xf numFmtId="0" fontId="14" fillId="0" borderId="1" xfId="0" applyFont="1" applyBorder="1" applyAlignment="1">
      <alignment horizontal="center" vertical="center"/>
    </xf>
    <xf numFmtId="0" fontId="28" fillId="0" borderId="0" xfId="0" applyFont="1" applyAlignment="1" applyProtection="1">
      <alignment horizontal="center" vertical="center"/>
      <protection locked="0"/>
    </xf>
    <xf numFmtId="0" fontId="14" fillId="0" borderId="15" xfId="0" applyFont="1" applyBorder="1" applyAlignment="1">
      <alignment horizontal="left" vertical="top"/>
    </xf>
    <xf numFmtId="0" fontId="14" fillId="0" borderId="16" xfId="0" applyFont="1" applyBorder="1" applyAlignment="1">
      <alignment horizontal="left" vertical="top"/>
    </xf>
    <xf numFmtId="0" fontId="14" fillId="0" borderId="17" xfId="0" applyFont="1" applyBorder="1" applyAlignment="1">
      <alignment horizontal="left" vertical="top"/>
    </xf>
    <xf numFmtId="0" fontId="30" fillId="0" borderId="0" xfId="0" applyFont="1" applyFill="1" applyBorder="1" applyAlignment="1" applyProtection="1">
      <alignment horizontal="center" vertical="center" wrapText="1"/>
      <protection locked="0"/>
    </xf>
    <xf numFmtId="165" fontId="30" fillId="0" borderId="0" xfId="0" applyNumberFormat="1" applyFont="1" applyFill="1" applyBorder="1" applyAlignment="1" applyProtection="1">
      <alignment horizontal="center" vertical="center" wrapText="1"/>
      <protection locked="0"/>
    </xf>
    <xf numFmtId="0" fontId="52" fillId="0" borderId="104" xfId="0" applyFont="1" applyBorder="1" applyAlignment="1" applyProtection="1">
      <alignment horizontal="left" vertical="center"/>
    </xf>
    <xf numFmtId="0" fontId="52" fillId="0" borderId="0" xfId="0" applyFont="1" applyAlignment="1" applyProtection="1">
      <alignment horizontal="left" vertical="center" wrapText="1"/>
      <protection locked="0"/>
    </xf>
    <xf numFmtId="0" fontId="52" fillId="0" borderId="0" xfId="0" applyFont="1" applyAlignment="1" applyProtection="1">
      <alignment horizontal="left" vertical="center"/>
      <protection locked="0"/>
    </xf>
    <xf numFmtId="0" fontId="52" fillId="0" borderId="0" xfId="0" applyFont="1" applyBorder="1" applyAlignment="1" applyProtection="1">
      <alignment horizontal="left" vertical="center"/>
      <protection locked="0"/>
    </xf>
    <xf numFmtId="0" fontId="51" fillId="0" borderId="0" xfId="0" applyFont="1" applyAlignment="1" applyProtection="1">
      <alignment horizontal="left" vertical="center" wrapText="1"/>
    </xf>
    <xf numFmtId="164" fontId="93" fillId="0" borderId="86" xfId="0" applyNumberFormat="1" applyFont="1" applyFill="1" applyBorder="1" applyAlignment="1" applyProtection="1">
      <alignment horizontal="center" vertical="center" wrapText="1"/>
    </xf>
    <xf numFmtId="164" fontId="93" fillId="0" borderId="87" xfId="0" applyNumberFormat="1" applyFont="1" applyFill="1" applyBorder="1" applyAlignment="1" applyProtection="1">
      <alignment horizontal="center" vertical="center" wrapText="1"/>
    </xf>
    <xf numFmtId="2" fontId="94" fillId="0" borderId="87" xfId="0" applyNumberFormat="1" applyFont="1" applyFill="1" applyBorder="1" applyAlignment="1" applyProtection="1">
      <alignment horizontal="center" vertical="center"/>
    </xf>
    <xf numFmtId="2" fontId="94" fillId="0" borderId="88" xfId="0" applyNumberFormat="1" applyFont="1" applyFill="1" applyBorder="1" applyAlignment="1" applyProtection="1">
      <alignment horizontal="center" vertical="center"/>
    </xf>
    <xf numFmtId="0" fontId="99" fillId="3" borderId="105" xfId="0" applyFont="1" applyFill="1" applyBorder="1" applyAlignment="1" applyProtection="1">
      <alignment horizontal="center" vertical="center" wrapText="1"/>
    </xf>
    <xf numFmtId="0" fontId="99" fillId="3" borderId="106" xfId="0" applyFont="1" applyFill="1" applyBorder="1" applyAlignment="1" applyProtection="1">
      <alignment horizontal="center" vertical="center"/>
    </xf>
    <xf numFmtId="0" fontId="99" fillId="3" borderId="106" xfId="0" applyFont="1" applyFill="1" applyBorder="1" applyAlignment="1" applyProtection="1">
      <alignment horizontal="center" vertical="center" wrapText="1"/>
    </xf>
    <xf numFmtId="0" fontId="99" fillId="3" borderId="107" xfId="0" applyFont="1" applyFill="1" applyBorder="1" applyAlignment="1" applyProtection="1">
      <alignment horizontal="center" vertical="center"/>
    </xf>
    <xf numFmtId="0" fontId="103" fillId="0" borderId="103" xfId="0" applyFont="1" applyBorder="1" applyAlignment="1" applyProtection="1">
      <alignment horizontal="center" vertical="center" wrapText="1"/>
    </xf>
    <xf numFmtId="0" fontId="103" fillId="0" borderId="100" xfId="0" applyFont="1" applyBorder="1" applyAlignment="1" applyProtection="1">
      <alignment horizontal="center" vertical="center" wrapText="1"/>
    </xf>
    <xf numFmtId="0" fontId="99" fillId="3" borderId="95" xfId="0" applyFont="1" applyFill="1" applyBorder="1" applyAlignment="1" applyProtection="1">
      <alignment horizontal="center" vertical="center" wrapText="1"/>
    </xf>
    <xf numFmtId="0" fontId="99" fillId="3" borderId="101" xfId="0" applyFont="1" applyFill="1" applyBorder="1" applyAlignment="1" applyProtection="1">
      <alignment horizontal="center" vertical="center"/>
    </xf>
    <xf numFmtId="0" fontId="99" fillId="3" borderId="97" xfId="0" applyFont="1" applyFill="1" applyBorder="1" applyAlignment="1" applyProtection="1">
      <alignment horizontal="center" vertical="center"/>
    </xf>
    <xf numFmtId="0" fontId="99" fillId="3" borderId="102" xfId="0" applyFont="1" applyFill="1" applyBorder="1" applyAlignment="1" applyProtection="1">
      <alignment horizontal="center" vertical="center"/>
    </xf>
    <xf numFmtId="0" fontId="29" fillId="0" borderId="108" xfId="0" applyFont="1" applyBorder="1" applyAlignment="1" applyProtection="1">
      <alignment horizontal="center" vertical="center"/>
    </xf>
    <xf numFmtId="0" fontId="29" fillId="0" borderId="102" xfId="0" applyFont="1" applyBorder="1" applyAlignment="1" applyProtection="1">
      <alignment horizontal="center" vertical="center"/>
    </xf>
    <xf numFmtId="0" fontId="29" fillId="0" borderId="109" xfId="0" applyFont="1" applyBorder="1" applyAlignment="1" applyProtection="1">
      <alignment horizontal="center" vertical="center"/>
    </xf>
    <xf numFmtId="0" fontId="29" fillId="0" borderId="103" xfId="0" applyFont="1" applyBorder="1" applyAlignment="1" applyProtection="1">
      <alignment horizontal="center" vertical="center"/>
    </xf>
    <xf numFmtId="0" fontId="99" fillId="3" borderId="101" xfId="0" applyFont="1" applyFill="1" applyBorder="1" applyAlignment="1" applyProtection="1">
      <alignment horizontal="center" wrapText="1"/>
    </xf>
    <xf numFmtId="0" fontId="99" fillId="3" borderId="96" xfId="0" applyFont="1" applyFill="1" applyBorder="1" applyAlignment="1" applyProtection="1">
      <alignment horizontal="center" wrapText="1"/>
    </xf>
    <xf numFmtId="0" fontId="99" fillId="3" borderId="102" xfId="0" applyFont="1" applyFill="1" applyBorder="1" applyAlignment="1" applyProtection="1">
      <alignment horizontal="center" vertical="center" wrapText="1"/>
    </xf>
    <xf numFmtId="0" fontId="99" fillId="3" borderId="98" xfId="0" applyFont="1" applyFill="1" applyBorder="1" applyAlignment="1" applyProtection="1">
      <alignment horizontal="center" vertical="center" wrapText="1"/>
    </xf>
    <xf numFmtId="0" fontId="94" fillId="0" borderId="102" xfId="0" applyFont="1" applyBorder="1" applyAlignment="1" applyProtection="1">
      <alignment horizontal="center" vertical="center"/>
    </xf>
    <xf numFmtId="0" fontId="94" fillId="0" borderId="103" xfId="0" applyFont="1" applyBorder="1" applyAlignment="1" applyProtection="1">
      <alignment horizontal="center" vertical="center"/>
    </xf>
    <xf numFmtId="0" fontId="103" fillId="0" borderId="102" xfId="0" applyFont="1" applyBorder="1" applyAlignment="1" applyProtection="1">
      <alignment horizontal="center" vertical="center" wrapText="1"/>
    </xf>
    <xf numFmtId="0" fontId="103" fillId="0" borderId="98" xfId="0" applyFont="1" applyBorder="1" applyAlignment="1" applyProtection="1">
      <alignment horizontal="center" vertical="center" wrapText="1"/>
    </xf>
    <xf numFmtId="0" fontId="92" fillId="0" borderId="102" xfId="0" applyFont="1" applyBorder="1" applyAlignment="1" applyProtection="1">
      <alignment horizontal="center" vertical="center" wrapText="1"/>
    </xf>
    <xf numFmtId="0" fontId="92" fillId="0" borderId="98" xfId="0" applyFont="1" applyBorder="1" applyAlignment="1" applyProtection="1">
      <alignment horizontal="center" vertical="center" wrapText="1"/>
    </xf>
    <xf numFmtId="0" fontId="92" fillId="0" borderId="103" xfId="0" applyFont="1" applyBorder="1" applyAlignment="1" applyProtection="1">
      <alignment horizontal="center" vertical="center" wrapText="1"/>
    </xf>
    <xf numFmtId="0" fontId="92" fillId="0" borderId="100" xfId="0" applyFont="1" applyBorder="1" applyAlignment="1" applyProtection="1">
      <alignment horizontal="center" vertical="center" wrapText="1"/>
    </xf>
    <xf numFmtId="0" fontId="99" fillId="3" borderId="101" xfId="0" applyFont="1" applyFill="1" applyBorder="1" applyAlignment="1" applyProtection="1">
      <alignment horizontal="center" vertical="center" wrapText="1"/>
    </xf>
    <xf numFmtId="0" fontId="99" fillId="3" borderId="96" xfId="0" applyFont="1" applyFill="1" applyBorder="1" applyAlignment="1" applyProtection="1">
      <alignment horizontal="center" vertical="center" wrapText="1"/>
    </xf>
    <xf numFmtId="2" fontId="94" fillId="0" borderId="99" xfId="0" applyNumberFormat="1" applyFont="1" applyFill="1" applyBorder="1" applyAlignment="1" applyProtection="1">
      <alignment horizontal="center" vertical="center"/>
    </xf>
    <xf numFmtId="2" fontId="94" fillId="0" borderId="103" xfId="0" applyNumberFormat="1" applyFont="1" applyFill="1" applyBorder="1" applyAlignment="1" applyProtection="1">
      <alignment horizontal="center" vertical="center"/>
    </xf>
    <xf numFmtId="2" fontId="94" fillId="0" borderId="97" xfId="0" applyNumberFormat="1" applyFont="1" applyFill="1" applyBorder="1" applyAlignment="1" applyProtection="1">
      <alignment horizontal="center" vertical="center"/>
    </xf>
    <xf numFmtId="2" fontId="94" fillId="0" borderId="102" xfId="0" applyNumberFormat="1" applyFont="1" applyFill="1" applyBorder="1" applyAlignment="1" applyProtection="1">
      <alignment horizontal="center" vertical="center"/>
    </xf>
    <xf numFmtId="164" fontId="93" fillId="0" borderId="97" xfId="0" applyNumberFormat="1" applyFont="1" applyFill="1" applyBorder="1" applyAlignment="1" applyProtection="1">
      <alignment horizontal="center" vertical="center" wrapText="1"/>
    </xf>
    <xf numFmtId="164" fontId="93" fillId="0" borderId="102" xfId="0" applyNumberFormat="1" applyFont="1" applyFill="1" applyBorder="1" applyAlignment="1" applyProtection="1">
      <alignment horizontal="center" vertical="center" wrapText="1"/>
    </xf>
    <xf numFmtId="0" fontId="52" fillId="0" borderId="104" xfId="0" applyFont="1" applyBorder="1" applyAlignment="1" applyProtection="1">
      <alignment horizontal="center" vertical="center" wrapText="1"/>
    </xf>
    <xf numFmtId="0" fontId="52" fillId="0" borderId="104" xfId="0" applyFont="1" applyBorder="1" applyAlignment="1" applyProtection="1">
      <alignment horizontal="center" vertical="center"/>
    </xf>
    <xf numFmtId="0" fontId="74" fillId="0" borderId="75" xfId="0" applyFont="1" applyBorder="1" applyAlignment="1" applyProtection="1">
      <alignment horizontal="center" vertical="center" wrapText="1"/>
    </xf>
    <xf numFmtId="0" fontId="51" fillId="0" borderId="0" xfId="0" applyNumberFormat="1" applyFont="1" applyAlignment="1" applyProtection="1">
      <alignment horizontal="justify" vertical="center" wrapText="1"/>
    </xf>
    <xf numFmtId="0" fontId="51" fillId="0" borderId="0" xfId="0" applyFont="1" applyAlignment="1" applyProtection="1">
      <alignment horizontal="justify" vertical="center" wrapText="1"/>
    </xf>
    <xf numFmtId="173" fontId="52" fillId="0" borderId="0" xfId="0" applyNumberFormat="1" applyFont="1" applyAlignment="1" applyProtection="1">
      <alignment horizontal="left" vertical="center" wrapText="1"/>
    </xf>
    <xf numFmtId="0" fontId="86" fillId="0" borderId="0" xfId="0" applyFont="1" applyAlignment="1" applyProtection="1">
      <alignment horizontal="left" vertical="top" wrapText="1"/>
    </xf>
    <xf numFmtId="0" fontId="86" fillId="0" borderId="0" xfId="0" applyFont="1" applyAlignment="1" applyProtection="1">
      <alignment horizontal="right" vertical="top" wrapText="1"/>
    </xf>
    <xf numFmtId="2" fontId="87" fillId="0" borderId="0" xfId="0" applyNumberFormat="1" applyFont="1" applyAlignment="1" applyProtection="1">
      <alignment horizontal="center" vertical="center" wrapText="1"/>
      <protection locked="0"/>
    </xf>
    <xf numFmtId="2" fontId="95" fillId="0" borderId="0" xfId="0" applyNumberFormat="1" applyFont="1" applyAlignment="1" applyProtection="1">
      <alignment horizontal="center" vertical="center"/>
      <protection locked="0"/>
    </xf>
    <xf numFmtId="0" fontId="41" fillId="0" borderId="86" xfId="0" applyFont="1" applyBorder="1" applyAlignment="1" applyProtection="1">
      <alignment horizontal="center" vertical="center" wrapText="1"/>
    </xf>
    <xf numFmtId="0" fontId="41" fillId="0" borderId="87" xfId="0" applyFont="1" applyBorder="1" applyAlignment="1" applyProtection="1">
      <alignment horizontal="center" vertical="center" wrapText="1"/>
    </xf>
    <xf numFmtId="0" fontId="0" fillId="0" borderId="87" xfId="0" applyBorder="1" applyAlignment="1">
      <alignment horizontal="center"/>
    </xf>
    <xf numFmtId="0" fontId="41" fillId="0" borderId="88" xfId="0" applyFont="1" applyBorder="1" applyAlignment="1" applyProtection="1">
      <alignment horizontal="center" vertical="center" wrapText="1"/>
    </xf>
    <xf numFmtId="0" fontId="41" fillId="0" borderId="0" xfId="0" applyFont="1" applyBorder="1" applyAlignment="1" applyProtection="1">
      <alignment horizontal="center" vertical="center" wrapText="1"/>
    </xf>
    <xf numFmtId="0" fontId="0" fillId="0" borderId="0" xfId="0" applyAlignment="1">
      <alignment horizontal="center"/>
    </xf>
    <xf numFmtId="0" fontId="41" fillId="0" borderId="83" xfId="0" applyFont="1" applyBorder="1" applyAlignment="1" applyProtection="1">
      <alignment horizontal="center" vertical="center" wrapText="1"/>
    </xf>
    <xf numFmtId="0" fontId="41" fillId="0" borderId="84" xfId="0" applyFont="1" applyBorder="1" applyAlignment="1" applyProtection="1">
      <alignment horizontal="center" vertical="center" wrapText="1"/>
    </xf>
    <xf numFmtId="0" fontId="0" fillId="0" borderId="84" xfId="0" applyBorder="1" applyAlignment="1">
      <alignment horizontal="center"/>
    </xf>
    <xf numFmtId="0" fontId="41" fillId="0" borderId="85" xfId="0" applyFont="1" applyBorder="1" applyAlignment="1" applyProtection="1">
      <alignment horizontal="center" vertical="center" wrapText="1"/>
    </xf>
    <xf numFmtId="0" fontId="77" fillId="0" borderId="0" xfId="0" applyFont="1" applyBorder="1" applyAlignment="1" applyProtection="1">
      <alignment horizontal="center" vertical="center"/>
      <protection locked="0"/>
    </xf>
    <xf numFmtId="0" fontId="77" fillId="10" borderId="77" xfId="0" applyFont="1" applyFill="1" applyBorder="1" applyAlignment="1" applyProtection="1">
      <alignment horizontal="center" vertical="center"/>
      <protection locked="0"/>
    </xf>
    <xf numFmtId="0" fontId="81" fillId="10" borderId="81" xfId="0" applyFont="1" applyFill="1" applyBorder="1" applyAlignment="1" applyProtection="1">
      <alignment horizontal="center"/>
      <protection locked="0"/>
    </xf>
    <xf numFmtId="0" fontId="81" fillId="10" borderId="79" xfId="0" applyFont="1" applyFill="1" applyBorder="1" applyAlignment="1" applyProtection="1">
      <alignment horizontal="center"/>
      <protection locked="0"/>
    </xf>
    <xf numFmtId="0" fontId="81" fillId="10" borderId="82" xfId="0" applyFont="1" applyFill="1" applyBorder="1" applyAlignment="1" applyProtection="1">
      <alignment horizontal="center"/>
      <protection locked="0"/>
    </xf>
    <xf numFmtId="0" fontId="12" fillId="0" borderId="42" xfId="0" applyFont="1" applyBorder="1" applyAlignment="1" applyProtection="1">
      <alignment horizontal="center" vertical="center"/>
    </xf>
    <xf numFmtId="0" fontId="12" fillId="10" borderId="33" xfId="0" applyFont="1" applyFill="1" applyBorder="1" applyAlignment="1" applyProtection="1">
      <alignment horizontal="center" vertical="center" wrapText="1"/>
      <protection locked="0"/>
    </xf>
    <xf numFmtId="0" fontId="12" fillId="10" borderId="37" xfId="0" applyFont="1" applyFill="1" applyBorder="1" applyAlignment="1" applyProtection="1">
      <alignment horizontal="center" vertical="center" wrapText="1"/>
      <protection locked="0"/>
    </xf>
    <xf numFmtId="0" fontId="12" fillId="2" borderId="0" xfId="0" applyFont="1" applyFill="1" applyBorder="1" applyAlignment="1" applyProtection="1">
      <alignment horizontal="center" vertical="center" wrapText="1"/>
      <protection locked="0"/>
    </xf>
    <xf numFmtId="0" fontId="12" fillId="0" borderId="39" xfId="0" applyFont="1" applyFill="1" applyBorder="1" applyAlignment="1" applyProtection="1">
      <alignment horizontal="center" vertical="center" wrapText="1"/>
      <protection locked="0"/>
    </xf>
    <xf numFmtId="0" fontId="12" fillId="0" borderId="20" xfId="0" applyFont="1" applyFill="1" applyBorder="1" applyAlignment="1" applyProtection="1">
      <alignment horizontal="center" vertical="center" wrapText="1"/>
      <protection locked="0"/>
    </xf>
    <xf numFmtId="0" fontId="12" fillId="10" borderId="18" xfId="0" applyFont="1" applyFill="1" applyBorder="1" applyAlignment="1" applyProtection="1">
      <alignment horizontal="center" vertical="center" wrapText="1"/>
      <protection locked="0"/>
    </xf>
    <xf numFmtId="0" fontId="12" fillId="10" borderId="39" xfId="0" applyFont="1" applyFill="1" applyBorder="1" applyAlignment="1" applyProtection="1">
      <alignment horizontal="center" vertical="center" wrapText="1"/>
      <protection locked="0"/>
    </xf>
    <xf numFmtId="0" fontId="39" fillId="0" borderId="43" xfId="0" applyFont="1" applyBorder="1" applyAlignment="1" applyProtection="1">
      <alignment horizontal="center" vertical="center" wrapText="1"/>
      <protection locked="0"/>
    </xf>
    <xf numFmtId="0" fontId="39" fillId="0" borderId="44" xfId="0" applyFont="1" applyBorder="1" applyAlignment="1" applyProtection="1">
      <alignment horizontal="center" vertical="center" wrapText="1"/>
      <protection locked="0"/>
    </xf>
    <xf numFmtId="0" fontId="45" fillId="0" borderId="0" xfId="0" applyFont="1" applyBorder="1" applyAlignment="1" applyProtection="1">
      <alignment horizontal="center" vertical="top" wrapText="1"/>
    </xf>
    <xf numFmtId="0" fontId="40" fillId="0" borderId="0" xfId="0" applyFont="1" applyBorder="1" applyAlignment="1" applyProtection="1">
      <alignment horizontal="center" vertical="top" wrapText="1"/>
    </xf>
    <xf numFmtId="0" fontId="37" fillId="0" borderId="43" xfId="0" applyFont="1" applyBorder="1" applyAlignment="1" applyProtection="1">
      <alignment horizontal="center" vertical="center" wrapText="1"/>
    </xf>
    <xf numFmtId="0" fontId="37" fillId="0" borderId="44" xfId="0" applyFont="1" applyBorder="1" applyAlignment="1" applyProtection="1">
      <alignment horizontal="center" vertical="center" wrapText="1"/>
    </xf>
    <xf numFmtId="0" fontId="76" fillId="0" borderId="0" xfId="0" applyFont="1" applyBorder="1" applyAlignment="1" applyProtection="1">
      <alignment horizontal="center" vertical="center"/>
      <protection locked="0"/>
    </xf>
    <xf numFmtId="0" fontId="76" fillId="0" borderId="0" xfId="0" applyFont="1" applyBorder="1" applyAlignment="1" applyProtection="1">
      <alignment horizontal="center" vertical="center" wrapText="1"/>
      <protection locked="0"/>
    </xf>
    <xf numFmtId="173" fontId="30" fillId="0" borderId="47" xfId="0" applyNumberFormat="1" applyFont="1" applyBorder="1" applyAlignment="1" applyProtection="1">
      <alignment horizontal="left" vertical="center" wrapText="1"/>
    </xf>
    <xf numFmtId="0" fontId="69" fillId="0" borderId="52" xfId="0" applyFont="1" applyBorder="1" applyAlignment="1" applyProtection="1">
      <alignment horizontal="center" vertical="top" wrapText="1"/>
    </xf>
    <xf numFmtId="0" fontId="69" fillId="0" borderId="54" xfId="0" applyFont="1" applyBorder="1" applyAlignment="1" applyProtection="1">
      <alignment horizontal="center" vertical="top" wrapText="1"/>
    </xf>
    <xf numFmtId="0" fontId="69" fillId="0" borderId="53" xfId="0" applyFont="1" applyBorder="1" applyAlignment="1" applyProtection="1">
      <alignment horizontal="center" vertical="top" wrapText="1"/>
    </xf>
    <xf numFmtId="0" fontId="73" fillId="0" borderId="0" xfId="0" applyFont="1" applyBorder="1" applyAlignment="1" applyProtection="1">
      <alignment horizontal="justify" vertical="center"/>
    </xf>
    <xf numFmtId="0" fontId="51" fillId="0" borderId="0" xfId="0" applyFont="1" applyBorder="1" applyAlignment="1" applyProtection="1">
      <alignment horizontal="center" vertical="center" wrapText="1"/>
    </xf>
    <xf numFmtId="0" fontId="51" fillId="0" borderId="2" xfId="0" applyFont="1" applyBorder="1" applyAlignment="1" applyProtection="1">
      <alignment horizontal="center" vertical="center" wrapText="1"/>
    </xf>
    <xf numFmtId="0" fontId="46" fillId="0" borderId="4" xfId="0" applyFont="1" applyBorder="1" applyAlignment="1" applyProtection="1">
      <alignment horizontal="center" wrapText="1"/>
    </xf>
    <xf numFmtId="0" fontId="46" fillId="0" borderId="0" xfId="0" applyFont="1" applyBorder="1" applyAlignment="1" applyProtection="1">
      <alignment horizontal="center" wrapText="1"/>
    </xf>
    <xf numFmtId="0" fontId="52" fillId="0" borderId="43" xfId="0" applyFont="1" applyBorder="1" applyAlignment="1" applyProtection="1">
      <alignment horizontal="center" vertical="center" wrapText="1"/>
    </xf>
    <xf numFmtId="0" fontId="52" fillId="0" borderId="74" xfId="0" applyFont="1" applyBorder="1" applyAlignment="1" applyProtection="1">
      <alignment horizontal="center" vertical="center" wrapText="1"/>
    </xf>
    <xf numFmtId="0" fontId="51" fillId="0" borderId="0" xfId="0" applyFont="1" applyBorder="1" applyAlignment="1" applyProtection="1">
      <alignment horizontal="center" wrapText="1"/>
    </xf>
    <xf numFmtId="0" fontId="51" fillId="0" borderId="63" xfId="0" applyFont="1" applyBorder="1" applyAlignment="1" applyProtection="1">
      <alignment horizontal="center" wrapText="1"/>
    </xf>
    <xf numFmtId="0" fontId="53" fillId="0" borderId="50" xfId="0" applyFont="1" applyBorder="1" applyAlignment="1" applyProtection="1">
      <alignment horizontal="center" wrapText="1"/>
    </xf>
    <xf numFmtId="0" fontId="53" fillId="0" borderId="45" xfId="0" applyFont="1" applyBorder="1" applyAlignment="1" applyProtection="1">
      <alignment horizontal="center" wrapText="1"/>
    </xf>
    <xf numFmtId="0" fontId="53" fillId="0" borderId="46" xfId="0" applyFont="1" applyBorder="1" applyAlignment="1" applyProtection="1">
      <alignment horizontal="center" wrapText="1"/>
    </xf>
    <xf numFmtId="171" fontId="4" fillId="0" borderId="0" xfId="0" applyNumberFormat="1" applyFont="1" applyBorder="1" applyAlignment="1" applyProtection="1">
      <alignment horizontal="center" vertical="center" wrapText="1"/>
    </xf>
    <xf numFmtId="171" fontId="4" fillId="0" borderId="54" xfId="0" applyNumberFormat="1" applyFont="1" applyBorder="1" applyAlignment="1" applyProtection="1">
      <alignment horizontal="center" vertical="center" wrapText="1"/>
    </xf>
    <xf numFmtId="0" fontId="69" fillId="0" borderId="0" xfId="0" applyFont="1" applyBorder="1" applyAlignment="1" applyProtection="1">
      <alignment horizontal="center" vertical="top" wrapText="1"/>
    </xf>
    <xf numFmtId="0" fontId="69" fillId="0" borderId="63" xfId="0" applyFont="1" applyBorder="1" applyAlignment="1" applyProtection="1">
      <alignment horizontal="center" vertical="top" wrapText="1"/>
    </xf>
    <xf numFmtId="0" fontId="4" fillId="0" borderId="0" xfId="0" applyFont="1" applyBorder="1" applyAlignment="1" applyProtection="1">
      <alignment horizontal="center" vertical="center" wrapText="1"/>
      <protection locked="0"/>
    </xf>
    <xf numFmtId="0" fontId="4" fillId="0" borderId="63" xfId="0" applyFont="1" applyBorder="1" applyAlignment="1" applyProtection="1">
      <alignment horizontal="center" vertical="center" wrapText="1"/>
      <protection locked="0"/>
    </xf>
    <xf numFmtId="0" fontId="51" fillId="0" borderId="50" xfId="0" applyFont="1" applyBorder="1" applyAlignment="1" applyProtection="1">
      <alignment horizontal="center" wrapText="1"/>
    </xf>
    <xf numFmtId="0" fontId="51" fillId="0" borderId="45" xfId="0" applyFont="1" applyBorder="1" applyAlignment="1" applyProtection="1">
      <alignment horizontal="center" wrapText="1"/>
    </xf>
    <xf numFmtId="0" fontId="51" fillId="0" borderId="46" xfId="0" applyFont="1" applyBorder="1" applyAlignment="1" applyProtection="1">
      <alignment horizontal="center" wrapText="1"/>
    </xf>
    <xf numFmtId="0" fontId="30" fillId="0" borderId="0" xfId="0" applyFont="1" applyBorder="1" applyAlignment="1" applyProtection="1">
      <alignment horizontal="center" vertical="center" wrapText="1"/>
      <protection locked="0"/>
    </xf>
    <xf numFmtId="165" fontId="30" fillId="0" borderId="0" xfId="0" applyNumberFormat="1" applyFont="1" applyBorder="1" applyAlignment="1" applyProtection="1">
      <alignment horizontal="center" vertical="center" wrapText="1"/>
      <protection locked="0"/>
    </xf>
    <xf numFmtId="0" fontId="31" fillId="0" borderId="0" xfId="0" applyFont="1" applyBorder="1" applyAlignment="1" applyProtection="1">
      <alignment vertical="center" wrapText="1"/>
      <protection locked="0"/>
    </xf>
    <xf numFmtId="0" fontId="70" fillId="0" borderId="64" xfId="0" applyFont="1" applyBorder="1" applyAlignment="1" applyProtection="1">
      <alignment horizontal="center" vertical="center" wrapText="1"/>
    </xf>
    <xf numFmtId="0" fontId="70" fillId="0" borderId="65" xfId="0" applyFont="1" applyBorder="1" applyAlignment="1" applyProtection="1">
      <alignment horizontal="center" vertical="center" wrapText="1"/>
    </xf>
    <xf numFmtId="0" fontId="70" fillId="0" borderId="66" xfId="0" applyFont="1" applyBorder="1" applyAlignment="1" applyProtection="1">
      <alignment horizontal="center" vertical="center" wrapText="1"/>
    </xf>
    <xf numFmtId="0" fontId="70" fillId="0" borderId="67" xfId="0" applyFont="1" applyBorder="1" applyAlignment="1" applyProtection="1">
      <alignment horizontal="center" vertical="center" wrapText="1"/>
    </xf>
    <xf numFmtId="0" fontId="70" fillId="0" borderId="68" xfId="0" applyFont="1" applyBorder="1" applyAlignment="1" applyProtection="1">
      <alignment horizontal="center" vertical="center" wrapText="1"/>
    </xf>
    <xf numFmtId="0" fontId="70" fillId="0" borderId="69" xfId="0" applyFont="1" applyBorder="1" applyAlignment="1" applyProtection="1">
      <alignment horizontal="center" vertical="center" wrapText="1"/>
    </xf>
    <xf numFmtId="0" fontId="70" fillId="0" borderId="70" xfId="0" applyFont="1" applyBorder="1" applyAlignment="1" applyProtection="1">
      <alignment horizontal="center" vertical="center" wrapText="1"/>
    </xf>
    <xf numFmtId="0" fontId="70" fillId="0" borderId="71" xfId="0" applyFont="1" applyBorder="1" applyAlignment="1" applyProtection="1">
      <alignment horizontal="center" vertical="center" wrapText="1"/>
    </xf>
    <xf numFmtId="0" fontId="70" fillId="0" borderId="72" xfId="0" applyFont="1" applyBorder="1" applyAlignment="1" applyProtection="1">
      <alignment horizontal="center" vertical="center" wrapText="1"/>
    </xf>
    <xf numFmtId="0" fontId="69" fillId="0" borderId="59" xfId="0" applyFont="1" applyBorder="1" applyAlignment="1" applyProtection="1">
      <alignment horizontal="center" vertical="top" wrapText="1"/>
    </xf>
    <xf numFmtId="0" fontId="69" fillId="0" borderId="60" xfId="0" applyFont="1" applyBorder="1" applyAlignment="1" applyProtection="1">
      <alignment horizontal="center" vertical="top" wrapText="1"/>
    </xf>
    <xf numFmtId="0" fontId="69" fillId="0" borderId="61" xfId="0" applyFont="1" applyBorder="1" applyAlignment="1" applyProtection="1">
      <alignment horizontal="center" vertical="top" wrapText="1"/>
    </xf>
    <xf numFmtId="0" fontId="69" fillId="0" borderId="62" xfId="0" applyFont="1" applyBorder="1" applyAlignment="1" applyProtection="1">
      <alignment horizontal="center" vertical="top" wrapText="1"/>
    </xf>
    <xf numFmtId="0" fontId="7" fillId="0" borderId="57" xfId="0" applyFont="1" applyBorder="1" applyAlignment="1" applyProtection="1">
      <alignment vertical="center" wrapText="1"/>
    </xf>
    <xf numFmtId="0" fontId="3" fillId="0" borderId="57" xfId="0" applyFont="1" applyBorder="1" applyAlignment="1" applyProtection="1">
      <alignment vertical="center" wrapText="1"/>
    </xf>
    <xf numFmtId="0" fontId="65" fillId="0" borderId="0" xfId="0" applyFont="1" applyBorder="1" applyAlignment="1" applyProtection="1">
      <alignment horizontal="center" vertical="center" wrapText="1"/>
    </xf>
    <xf numFmtId="0" fontId="67" fillId="0" borderId="50" xfId="0" applyFont="1" applyBorder="1" applyAlignment="1" applyProtection="1">
      <alignment horizontal="center" wrapText="1"/>
    </xf>
    <xf numFmtId="0" fontId="67" fillId="0" borderId="45" xfId="0" applyFont="1" applyBorder="1" applyAlignment="1" applyProtection="1">
      <alignment horizontal="center" wrapText="1"/>
    </xf>
    <xf numFmtId="0" fontId="67" fillId="0" borderId="55" xfId="0" applyFont="1" applyBorder="1" applyAlignment="1" applyProtection="1">
      <alignment horizontal="center" wrapText="1"/>
    </xf>
    <xf numFmtId="0" fontId="67" fillId="0" borderId="58" xfId="0" applyFont="1" applyBorder="1" applyAlignment="1" applyProtection="1">
      <alignment horizontal="center" wrapText="1"/>
    </xf>
    <xf numFmtId="0" fontId="67" fillId="0" borderId="46" xfId="0" applyFont="1" applyBorder="1" applyAlignment="1" applyProtection="1">
      <alignment horizontal="center" wrapText="1"/>
    </xf>
    <xf numFmtId="0" fontId="65" fillId="0" borderId="54" xfId="0" applyFont="1" applyBorder="1" applyAlignment="1" applyProtection="1">
      <alignment horizontal="center" vertical="center" wrapText="1"/>
    </xf>
    <xf numFmtId="0" fontId="67" fillId="0" borderId="50" xfId="0" applyFont="1" applyBorder="1" applyAlignment="1" applyProtection="1">
      <alignment horizontal="right" wrapText="1"/>
    </xf>
    <xf numFmtId="0" fontId="67" fillId="0" borderId="45" xfId="0" applyFont="1" applyBorder="1" applyAlignment="1" applyProtection="1">
      <alignment horizontal="right" wrapText="1"/>
    </xf>
    <xf numFmtId="0" fontId="40" fillId="0" borderId="45" xfId="0" quotePrefix="1" applyFont="1" applyBorder="1" applyAlignment="1" applyProtection="1">
      <alignment horizontal="left" vertical="center"/>
      <protection locked="0"/>
    </xf>
    <xf numFmtId="0" fontId="40" fillId="0" borderId="55" xfId="0" quotePrefix="1" applyFont="1" applyBorder="1" applyAlignment="1" applyProtection="1">
      <alignment horizontal="left" vertical="center"/>
      <protection locked="0"/>
    </xf>
    <xf numFmtId="0" fontId="40" fillId="0" borderId="54" xfId="0" quotePrefix="1" applyFont="1" applyBorder="1" applyAlignment="1" applyProtection="1">
      <alignment horizontal="left" vertical="center"/>
      <protection locked="0"/>
    </xf>
    <xf numFmtId="0" fontId="40" fillId="0" borderId="56" xfId="0" quotePrefix="1" applyFont="1" applyBorder="1" applyAlignment="1" applyProtection="1">
      <alignment horizontal="left" vertical="center"/>
      <protection locked="0"/>
    </xf>
    <xf numFmtId="0" fontId="68" fillId="0" borderId="45" xfId="0" applyFont="1" applyBorder="1" applyAlignment="1" applyProtection="1">
      <alignment horizontal="center" vertical="center" wrapText="1"/>
    </xf>
    <xf numFmtId="0" fontId="68" fillId="0" borderId="55" xfId="0" applyFont="1" applyBorder="1" applyAlignment="1" applyProtection="1">
      <alignment horizontal="center" vertical="center" wrapText="1"/>
    </xf>
    <xf numFmtId="0" fontId="68" fillId="0" borderId="54" xfId="0" applyFont="1" applyBorder="1" applyAlignment="1" applyProtection="1">
      <alignment horizontal="center" vertical="center" wrapText="1"/>
    </xf>
    <xf numFmtId="0" fontId="68" fillId="0" borderId="56" xfId="0" applyFont="1" applyBorder="1" applyAlignment="1" applyProtection="1">
      <alignment horizontal="center" vertical="center" wrapText="1"/>
    </xf>
    <xf numFmtId="0" fontId="67" fillId="0" borderId="45" xfId="0" applyFont="1" applyBorder="1" applyAlignment="1" applyProtection="1">
      <alignment horizontal="right" wrapText="1"/>
      <protection locked="0"/>
    </xf>
    <xf numFmtId="0" fontId="4" fillId="0" borderId="46" xfId="0" applyFont="1" applyBorder="1" applyAlignment="1" applyProtection="1">
      <alignment horizontal="left" vertical="center" wrapText="1"/>
      <protection locked="0"/>
    </xf>
    <xf numFmtId="0" fontId="4" fillId="0" borderId="53" xfId="0" applyFont="1" applyBorder="1" applyAlignment="1" applyProtection="1">
      <alignment horizontal="left" vertical="center" wrapText="1"/>
      <protection locked="0"/>
    </xf>
    <xf numFmtId="0" fontId="69" fillId="0" borderId="52" xfId="0" applyFont="1" applyBorder="1" applyAlignment="1" applyProtection="1">
      <alignment horizontal="right" vertical="top" wrapText="1"/>
    </xf>
    <xf numFmtId="0" fontId="69" fillId="0" borderId="54" xfId="0" applyFont="1" applyBorder="1" applyAlignment="1" applyProtection="1">
      <alignment horizontal="right" vertical="top" wrapText="1"/>
    </xf>
    <xf numFmtId="0" fontId="69" fillId="0" borderId="54" xfId="0" applyFont="1" applyBorder="1" applyAlignment="1" applyProtection="1">
      <alignment horizontal="right" vertical="top" wrapText="1"/>
      <protection locked="0"/>
    </xf>
    <xf numFmtId="0" fontId="62" fillId="0" borderId="50" xfId="0" applyFont="1" applyBorder="1" applyAlignment="1" applyProtection="1">
      <alignment horizontal="center" wrapText="1"/>
    </xf>
    <xf numFmtId="0" fontId="62" fillId="0" borderId="46" xfId="0" applyFont="1" applyBorder="1" applyAlignment="1" applyProtection="1">
      <alignment horizontal="center" wrapText="1"/>
    </xf>
    <xf numFmtId="0" fontId="39" fillId="0" borderId="47" xfId="0" applyFont="1" applyBorder="1" applyAlignment="1" applyProtection="1">
      <alignment horizontal="center" vertical="center" wrapText="1"/>
      <protection locked="0"/>
    </xf>
    <xf numFmtId="0" fontId="62" fillId="0" borderId="45" xfId="0" applyFont="1" applyBorder="1" applyAlignment="1" applyProtection="1">
      <alignment horizontal="center" wrapText="1"/>
    </xf>
    <xf numFmtId="167" fontId="39" fillId="0" borderId="50" xfId="0" applyNumberFormat="1" applyFont="1" applyBorder="1" applyAlignment="1" applyProtection="1">
      <alignment horizontal="center" vertical="center" wrapText="1"/>
      <protection locked="0"/>
    </xf>
    <xf numFmtId="167" fontId="39" fillId="0" borderId="45" xfId="0" applyNumberFormat="1" applyFont="1" applyBorder="1" applyAlignment="1" applyProtection="1">
      <alignment horizontal="center" vertical="center" wrapText="1"/>
      <protection locked="0"/>
    </xf>
    <xf numFmtId="167" fontId="39" fillId="0" borderId="46" xfId="0" applyNumberFormat="1" applyFont="1" applyBorder="1" applyAlignment="1" applyProtection="1">
      <alignment horizontal="center" vertical="center" wrapText="1"/>
      <protection locked="0"/>
    </xf>
    <xf numFmtId="167" fontId="39" fillId="0" borderId="52" xfId="0" applyNumberFormat="1" applyFont="1" applyBorder="1" applyAlignment="1" applyProtection="1">
      <alignment horizontal="center" vertical="center" wrapText="1"/>
      <protection locked="0"/>
    </xf>
    <xf numFmtId="167" fontId="39" fillId="0" borderId="54" xfId="0" applyNumberFormat="1" applyFont="1" applyBorder="1" applyAlignment="1" applyProtection="1">
      <alignment horizontal="center" vertical="center" wrapText="1"/>
      <protection locked="0"/>
    </xf>
    <xf numFmtId="167" fontId="39" fillId="0" borderId="53" xfId="0" applyNumberFormat="1" applyFont="1" applyBorder="1" applyAlignment="1" applyProtection="1">
      <alignment horizontal="center" vertical="center" wrapText="1"/>
      <protection locked="0"/>
    </xf>
    <xf numFmtId="0" fontId="60" fillId="0" borderId="52" xfId="0" applyFont="1" applyBorder="1" applyAlignment="1" applyProtection="1">
      <alignment horizontal="center" vertical="top" wrapText="1"/>
    </xf>
    <xf numFmtId="0" fontId="60" fillId="0" borderId="53" xfId="0" applyFont="1" applyBorder="1" applyAlignment="1" applyProtection="1">
      <alignment horizontal="center" vertical="top" wrapText="1"/>
    </xf>
    <xf numFmtId="0" fontId="60" fillId="0" borderId="54" xfId="0" applyFont="1" applyBorder="1" applyAlignment="1" applyProtection="1">
      <alignment horizontal="center" vertical="top" wrapText="1"/>
    </xf>
    <xf numFmtId="172" fontId="63" fillId="0" borderId="50" xfId="0" applyNumberFormat="1" applyFont="1" applyBorder="1" applyAlignment="1">
      <alignment horizontal="center" vertical="center" wrapText="1"/>
    </xf>
    <xf numFmtId="172" fontId="40" fillId="0" borderId="45" xfId="0" applyNumberFormat="1" applyFont="1" applyBorder="1" applyAlignment="1">
      <alignment horizontal="center" vertical="center" wrapText="1"/>
    </xf>
    <xf numFmtId="172" fontId="40" fillId="0" borderId="46" xfId="0" applyNumberFormat="1" applyFont="1" applyBorder="1" applyAlignment="1">
      <alignment horizontal="center" vertical="center" wrapText="1"/>
    </xf>
    <xf numFmtId="172" fontId="40" fillId="0" borderId="52" xfId="0" applyNumberFormat="1" applyFont="1" applyBorder="1" applyAlignment="1">
      <alignment horizontal="center" vertical="center" wrapText="1"/>
    </xf>
    <xf numFmtId="172" fontId="40" fillId="0" borderId="54" xfId="0" applyNumberFormat="1" applyFont="1" applyBorder="1" applyAlignment="1">
      <alignment horizontal="center" vertical="center" wrapText="1"/>
    </xf>
    <xf numFmtId="172" fontId="40" fillId="0" borderId="53" xfId="0" applyNumberFormat="1" applyFont="1" applyBorder="1" applyAlignment="1">
      <alignment horizontal="center" vertical="center" wrapText="1"/>
    </xf>
    <xf numFmtId="0" fontId="39" fillId="0" borderId="51" xfId="0" applyFont="1" applyBorder="1" applyAlignment="1" applyProtection="1">
      <alignment horizontal="center" vertical="center" wrapText="1"/>
      <protection locked="0"/>
    </xf>
    <xf numFmtId="0" fontId="63" fillId="0" borderId="50" xfId="0" applyFont="1" applyBorder="1" applyAlignment="1" applyProtection="1">
      <alignment horizontal="center" vertical="center" wrapText="1"/>
      <protection locked="0"/>
    </xf>
    <xf numFmtId="0" fontId="40" fillId="0" borderId="45" xfId="0" applyFont="1" applyBorder="1" applyAlignment="1" applyProtection="1">
      <alignment horizontal="center" vertical="center" wrapText="1"/>
      <protection locked="0"/>
    </xf>
    <xf numFmtId="0" fontId="40" fillId="0" borderId="46" xfId="0" applyFont="1" applyBorder="1" applyAlignment="1" applyProtection="1">
      <alignment horizontal="center" vertical="center" wrapText="1"/>
      <protection locked="0"/>
    </xf>
    <xf numFmtId="0" fontId="40" fillId="0" borderId="52" xfId="0" applyFont="1" applyBorder="1" applyAlignment="1" applyProtection="1">
      <alignment horizontal="center" vertical="center" wrapText="1"/>
      <protection locked="0"/>
    </xf>
    <xf numFmtId="0" fontId="40" fillId="0" borderId="54" xfId="0" applyFont="1" applyBorder="1" applyAlignment="1" applyProtection="1">
      <alignment horizontal="center" vertical="center" wrapText="1"/>
      <protection locked="0"/>
    </xf>
    <xf numFmtId="0" fontId="40" fillId="0" borderId="53" xfId="0" applyFont="1" applyBorder="1" applyAlignment="1" applyProtection="1">
      <alignment horizontal="center" vertical="center" wrapText="1"/>
      <protection locked="0"/>
    </xf>
    <xf numFmtId="0" fontId="57" fillId="0" borderId="0" xfId="0" applyFont="1" applyBorder="1" applyAlignment="1" applyProtection="1">
      <alignment horizontal="center" vertical="center" wrapText="1"/>
    </xf>
    <xf numFmtId="0" fontId="59" fillId="2" borderId="47" xfId="0" applyFont="1" applyFill="1" applyBorder="1" applyAlignment="1" applyProtection="1">
      <alignment horizontal="center" vertical="center" wrapText="1"/>
    </xf>
    <xf numFmtId="0" fontId="40" fillId="2" borderId="47" xfId="0" applyFont="1" applyFill="1" applyBorder="1" applyAlignment="1" applyProtection="1">
      <alignment horizontal="center" vertical="center" wrapText="1"/>
      <protection locked="0"/>
    </xf>
    <xf numFmtId="0" fontId="59" fillId="0" borderId="47" xfId="0" applyFont="1" applyBorder="1" applyAlignment="1" applyProtection="1">
      <alignment horizontal="center" vertical="center" wrapText="1"/>
    </xf>
    <xf numFmtId="0" fontId="57" fillId="0" borderId="49" xfId="0" applyFont="1" applyBorder="1" applyAlignment="1" applyProtection="1">
      <alignment horizontal="center" vertical="center" wrapText="1"/>
    </xf>
    <xf numFmtId="0" fontId="51" fillId="0" borderId="42" xfId="0" applyFont="1" applyBorder="1" applyAlignment="1" applyProtection="1">
      <alignment horizontal="center" vertical="center" wrapText="1"/>
    </xf>
    <xf numFmtId="0" fontId="52" fillId="0" borderId="44" xfId="0" applyFont="1" applyBorder="1" applyAlignment="1" applyProtection="1">
      <alignment horizontal="center" vertical="center" wrapText="1"/>
    </xf>
    <xf numFmtId="0" fontId="54" fillId="0" borderId="45" xfId="0" applyFont="1" applyBorder="1" applyAlignment="1" applyProtection="1">
      <alignment horizontal="center" vertical="center" wrapText="1"/>
      <protection locked="0"/>
    </xf>
    <xf numFmtId="0" fontId="54" fillId="0" borderId="46" xfId="0" applyFont="1" applyBorder="1" applyAlignment="1" applyProtection="1">
      <alignment horizontal="center" vertical="center" wrapText="1"/>
      <protection locked="0"/>
    </xf>
    <xf numFmtId="0" fontId="55" fillId="0" borderId="0" xfId="0" applyFont="1" applyBorder="1" applyAlignment="1" applyProtection="1">
      <alignment horizontal="center" vertical="top" wrapText="1"/>
    </xf>
    <xf numFmtId="0" fontId="56" fillId="0" borderId="43" xfId="0" applyFont="1" applyBorder="1" applyAlignment="1" applyProtection="1">
      <alignment horizontal="center" vertical="center" wrapText="1"/>
    </xf>
    <xf numFmtId="0" fontId="56" fillId="0" borderId="44" xfId="0" applyFont="1" applyBorder="1" applyAlignment="1" applyProtection="1">
      <alignment horizontal="center" vertical="center" wrapText="1"/>
    </xf>
    <xf numFmtId="2" fontId="22" fillId="0" borderId="0" xfId="1" applyNumberFormat="1" applyFont="1" applyAlignment="1">
      <alignment horizontal="center" vertical="center" wrapText="1"/>
    </xf>
    <xf numFmtId="2" fontId="22" fillId="0" borderId="0" xfId="1" applyNumberFormat="1" applyFont="1" applyAlignment="1">
      <alignment horizontal="center" vertical="center"/>
    </xf>
    <xf numFmtId="0" fontId="7" fillId="0" borderId="39" xfId="0" applyFont="1" applyBorder="1" applyAlignment="1">
      <alignment horizontal="center" vertical="center"/>
    </xf>
    <xf numFmtId="0" fontId="7" fillId="0" borderId="1" xfId="0" applyFont="1" applyBorder="1" applyAlignment="1">
      <alignment horizontal="center" vertical="center"/>
    </xf>
    <xf numFmtId="0" fontId="7" fillId="0" borderId="19" xfId="0" applyFont="1" applyBorder="1" applyAlignment="1">
      <alignment horizontal="center" vertical="center"/>
    </xf>
    <xf numFmtId="0" fontId="7" fillId="0" borderId="21" xfId="0" applyFont="1" applyBorder="1" applyAlignment="1">
      <alignment horizontal="center" vertical="center"/>
    </xf>
    <xf numFmtId="0" fontId="7" fillId="0" borderId="24" xfId="0" applyFont="1" applyBorder="1" applyAlignment="1">
      <alignment horizontal="center" vertical="center"/>
    </xf>
    <xf numFmtId="0" fontId="7" fillId="0" borderId="20" xfId="0" applyFont="1" applyBorder="1" applyAlignment="1">
      <alignment horizontal="center" vertical="center"/>
    </xf>
    <xf numFmtId="2" fontId="26" fillId="0" borderId="0" xfId="1" applyNumberFormat="1" applyFont="1" applyAlignment="1">
      <alignment horizontal="left" vertical="center"/>
    </xf>
    <xf numFmtId="0" fontId="27" fillId="0" borderId="0" xfId="1" applyFont="1" applyAlignment="1">
      <alignment horizontal="center"/>
    </xf>
    <xf numFmtId="2" fontId="22" fillId="0" borderId="0" xfId="1" applyNumberFormat="1" applyFont="1" applyAlignment="1">
      <alignment horizontal="right" vertical="center" wrapText="1"/>
    </xf>
    <xf numFmtId="2" fontId="26" fillId="6" borderId="0" xfId="1" applyNumberFormat="1" applyFont="1" applyFill="1" applyAlignment="1">
      <alignment horizontal="center" vertical="center"/>
    </xf>
    <xf numFmtId="2" fontId="26" fillId="0" borderId="0" xfId="1" applyNumberFormat="1" applyFont="1" applyAlignment="1">
      <alignment vertical="center"/>
    </xf>
    <xf numFmtId="0" fontId="105" fillId="11" borderId="7" xfId="0" applyFont="1" applyFill="1" applyBorder="1" applyAlignment="1">
      <alignment horizontal="center" vertical="center"/>
    </xf>
    <xf numFmtId="0" fontId="105" fillId="11" borderId="4" xfId="0" applyFont="1" applyFill="1" applyBorder="1" applyAlignment="1">
      <alignment horizontal="center" vertical="center"/>
    </xf>
    <xf numFmtId="0" fontId="105" fillId="11" borderId="14" xfId="0" applyFont="1" applyFill="1" applyBorder="1" applyAlignment="1">
      <alignment horizontal="center" vertical="center"/>
    </xf>
    <xf numFmtId="0" fontId="105" fillId="11" borderId="26" xfId="0" applyFont="1" applyFill="1" applyBorder="1" applyAlignment="1">
      <alignment horizontal="center" vertical="center"/>
    </xf>
    <xf numFmtId="0" fontId="105" fillId="11" borderId="12" xfId="0" applyFont="1" applyFill="1" applyBorder="1" applyAlignment="1">
      <alignment horizontal="center" vertical="center"/>
    </xf>
    <xf numFmtId="0" fontId="105" fillId="11" borderId="111" xfId="0" applyFont="1" applyFill="1" applyBorder="1" applyAlignment="1">
      <alignment horizontal="center" vertical="center"/>
    </xf>
    <xf numFmtId="0" fontId="22" fillId="11" borderId="39" xfId="0" applyFont="1" applyFill="1" applyBorder="1" applyAlignment="1">
      <alignment horizontal="center" vertical="center" wrapText="1"/>
    </xf>
    <xf numFmtId="0" fontId="22" fillId="11" borderId="1" xfId="0" applyFont="1" applyFill="1" applyBorder="1" applyAlignment="1">
      <alignment horizontal="center" vertical="center" wrapText="1"/>
    </xf>
    <xf numFmtId="0" fontId="22" fillId="11" borderId="19" xfId="0" applyFont="1" applyFill="1" applyBorder="1" applyAlignment="1">
      <alignment horizontal="center" vertical="center" wrapText="1"/>
    </xf>
    <xf numFmtId="0" fontId="22" fillId="11" borderId="1" xfId="0" applyFont="1" applyFill="1" applyBorder="1" applyAlignment="1">
      <alignment horizontal="center" vertical="center"/>
    </xf>
    <xf numFmtId="0" fontId="22" fillId="11" borderId="19" xfId="0" applyFont="1" applyFill="1" applyBorder="1" applyAlignment="1">
      <alignment horizontal="center" vertical="center"/>
    </xf>
    <xf numFmtId="0" fontId="0" fillId="0" borderId="0" xfId="0" applyBorder="1" applyAlignment="1">
      <alignment horizontal="center"/>
    </xf>
    <xf numFmtId="0" fontId="52" fillId="0" borderId="110" xfId="0" applyFont="1" applyBorder="1" applyAlignment="1" applyProtection="1">
      <alignment vertical="center"/>
      <protection locked="0"/>
    </xf>
    <xf numFmtId="0" fontId="89" fillId="3" borderId="105" xfId="0" applyFont="1" applyFill="1" applyBorder="1" applyAlignment="1" applyProtection="1">
      <alignment horizontal="left" vertical="center" wrapText="1"/>
      <protection locked="0"/>
    </xf>
    <xf numFmtId="0" fontId="89" fillId="3" borderId="106" xfId="0" applyFont="1" applyFill="1" applyBorder="1" applyAlignment="1" applyProtection="1">
      <alignment horizontal="left" vertical="center" wrapText="1"/>
      <protection locked="0"/>
    </xf>
    <xf numFmtId="0" fontId="34" fillId="0" borderId="107" xfId="0" applyFont="1" applyBorder="1" applyAlignment="1" applyProtection="1">
      <alignment horizontal="center" vertical="center" wrapText="1"/>
      <protection locked="0"/>
    </xf>
    <xf numFmtId="0" fontId="89" fillId="3" borderId="83" xfId="0" applyFont="1" applyFill="1" applyBorder="1" applyAlignment="1" applyProtection="1">
      <alignment horizontal="left" vertical="center" wrapText="1"/>
      <protection locked="0"/>
    </xf>
    <xf numFmtId="0" fontId="89" fillId="3" borderId="84" xfId="0" applyFont="1" applyFill="1" applyBorder="1" applyAlignment="1" applyProtection="1">
      <alignment horizontal="left" vertical="center" wrapText="1"/>
      <protection locked="0"/>
    </xf>
    <xf numFmtId="0" fontId="34" fillId="0" borderId="85" xfId="0" applyFont="1" applyBorder="1" applyAlignment="1" applyProtection="1">
      <alignment horizontal="center" vertical="center" wrapText="1"/>
      <protection locked="0"/>
    </xf>
    <xf numFmtId="0" fontId="89" fillId="3" borderId="86" xfId="0" applyFont="1" applyFill="1" applyBorder="1" applyAlignment="1" applyProtection="1">
      <alignment horizontal="left" vertical="center" wrapText="1"/>
      <protection locked="0"/>
    </xf>
    <xf numFmtId="0" fontId="89" fillId="3" borderId="87" xfId="0" applyFont="1" applyFill="1" applyBorder="1" applyAlignment="1" applyProtection="1">
      <alignment horizontal="left" vertical="center" wrapText="1"/>
      <protection locked="0"/>
    </xf>
    <xf numFmtId="0" fontId="34" fillId="0" borderId="88" xfId="0" applyFont="1" applyBorder="1" applyAlignment="1" applyProtection="1">
      <alignment horizontal="center" vertical="center" wrapText="1"/>
      <protection locked="0"/>
    </xf>
  </cellXfs>
  <cellStyles count="2">
    <cellStyle name="Normal" xfId="0" builtinId="0"/>
    <cellStyle name="Normal 2" xfId="1"/>
  </cellStyles>
  <dxfs count="2">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D5EAFF"/>
      <color rgb="FFABD5FF"/>
      <color rgb="FF81C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Radio" firstButton="1" fmlaLink="$A$96"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Radio" firstButton="1" lockText="1" noThreeD="1"/>
</file>

<file path=xl/ctrlProps/ctrlProp25.xml><?xml version="1.0" encoding="utf-8"?>
<formControlPr xmlns="http://schemas.microsoft.com/office/spreadsheetml/2009/9/main" objectType="Radio" checked="Checked" lockText="1" noThreeD="1"/>
</file>

<file path=xl/ctrlProps/ctrlProp26.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0</xdr:col>
      <xdr:colOff>19050</xdr:colOff>
      <xdr:row>74</xdr:row>
      <xdr:rowOff>2</xdr:rowOff>
    </xdr:from>
    <xdr:to>
      <xdr:col>12</xdr:col>
      <xdr:colOff>0</xdr:colOff>
      <xdr:row>74</xdr:row>
      <xdr:rowOff>9525</xdr:rowOff>
    </xdr:to>
    <xdr:cxnSp macro="">
      <xdr:nvCxnSpPr>
        <xdr:cNvPr id="4" name="Conector recto 3">
          <a:extLst>
            <a:ext uri="{FF2B5EF4-FFF2-40B4-BE49-F238E27FC236}">
              <a16:creationId xmlns="" xmlns:a16="http://schemas.microsoft.com/office/drawing/2014/main" id="{00000000-0008-0000-0000-000004000000}"/>
            </a:ext>
          </a:extLst>
        </xdr:cNvPr>
        <xdr:cNvCxnSpPr/>
      </xdr:nvCxnSpPr>
      <xdr:spPr>
        <a:xfrm>
          <a:off x="19050" y="10553702"/>
          <a:ext cx="9124950" cy="9523"/>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381000</xdr:colOff>
      <xdr:row>0</xdr:row>
      <xdr:rowOff>9525</xdr:rowOff>
    </xdr:from>
    <xdr:to>
      <xdr:col>7</xdr:col>
      <xdr:colOff>104775</xdr:colOff>
      <xdr:row>1</xdr:row>
      <xdr:rowOff>95250</xdr:rowOff>
    </xdr:to>
    <xdr:pic>
      <xdr:nvPicPr>
        <xdr:cNvPr id="39" name="Imagen 38" descr="Kalibrix CAL transparent">
          <a:extLst>
            <a:ext uri="{FF2B5EF4-FFF2-40B4-BE49-F238E27FC236}">
              <a16:creationId xmlns="" xmlns:a16="http://schemas.microsoft.com/office/drawing/2014/main" id="{00000000-0008-0000-0000-00002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10696"/>
        <a:stretch>
          <a:fillRect/>
        </a:stretch>
      </xdr:blipFill>
      <xdr:spPr bwMode="auto">
        <a:xfrm>
          <a:off x="3429000" y="9525"/>
          <a:ext cx="20097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257175</xdr:colOff>
          <xdr:row>3</xdr:row>
          <xdr:rowOff>123825</xdr:rowOff>
        </xdr:from>
        <xdr:to>
          <xdr:col>3</xdr:col>
          <xdr:colOff>38100</xdr:colOff>
          <xdr:row>5</xdr:row>
          <xdr:rowOff>9525</xdr:rowOff>
        </xdr:to>
        <xdr:sp macro="" textlink="">
          <xdr:nvSpPr>
            <xdr:cNvPr id="2049" name="Option Button 1" hidden="1">
              <a:extLst>
                <a:ext uri="{63B3BB69-23CF-44E3-9099-C40C66FF867C}">
                  <a14:compatExt spid="_x0000_s2049"/>
                </a:ext>
                <a:ext uri="{FF2B5EF4-FFF2-40B4-BE49-F238E27FC236}">
                  <a16:creationId xmlns=""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pulgadas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219075</xdr:colOff>
          <xdr:row>4</xdr:row>
          <xdr:rowOff>0</xdr:rowOff>
        </xdr:from>
        <xdr:to>
          <xdr:col>2</xdr:col>
          <xdr:colOff>495300</xdr:colOff>
          <xdr:row>5</xdr:row>
          <xdr:rowOff>9525</xdr:rowOff>
        </xdr:to>
        <xdr:sp macro="" textlink="">
          <xdr:nvSpPr>
            <xdr:cNvPr id="2051" name="Option Button 3" hidden="1">
              <a:extLst>
                <a:ext uri="{63B3BB69-23CF-44E3-9099-C40C66FF867C}">
                  <a14:compatExt spid="_x0000_s2051"/>
                </a:ext>
                <a:ext uri="{FF2B5EF4-FFF2-40B4-BE49-F238E27FC236}">
                  <a16:creationId xmlns=""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mm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9</xdr:row>
          <xdr:rowOff>114300</xdr:rowOff>
        </xdr:from>
        <xdr:to>
          <xdr:col>5</xdr:col>
          <xdr:colOff>152400</xdr:colOff>
          <xdr:row>11</xdr:row>
          <xdr:rowOff>9525</xdr:rowOff>
        </xdr:to>
        <xdr:sp macro="" textlink="">
          <xdr:nvSpPr>
            <xdr:cNvPr id="2053" name="Check Box 5" hidden="1">
              <a:extLst>
                <a:ext uri="{63B3BB69-23CF-44E3-9099-C40C66FF867C}">
                  <a14:compatExt spid="_x0000_s2053"/>
                </a:ext>
                <a:ext uri="{FF2B5EF4-FFF2-40B4-BE49-F238E27FC236}">
                  <a16:creationId xmlns=""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390525</xdr:colOff>
          <xdr:row>9</xdr:row>
          <xdr:rowOff>123825</xdr:rowOff>
        </xdr:from>
        <xdr:to>
          <xdr:col>5</xdr:col>
          <xdr:colOff>190500</xdr:colOff>
          <xdr:row>11</xdr:row>
          <xdr:rowOff>9525</xdr:rowOff>
        </xdr:to>
        <xdr:sp macro="" textlink="">
          <xdr:nvSpPr>
            <xdr:cNvPr id="2054" name="Check Box 6" hidden="1">
              <a:extLst>
                <a:ext uri="{63B3BB69-23CF-44E3-9099-C40C66FF867C}">
                  <a14:compatExt spid="_x0000_s2054"/>
                </a:ext>
                <a:ext uri="{FF2B5EF4-FFF2-40B4-BE49-F238E27FC236}">
                  <a16:creationId xmlns=""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 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390525</xdr:colOff>
          <xdr:row>10</xdr:row>
          <xdr:rowOff>123825</xdr:rowOff>
        </xdr:from>
        <xdr:to>
          <xdr:col>5</xdr:col>
          <xdr:colOff>190500</xdr:colOff>
          <xdr:row>12</xdr:row>
          <xdr:rowOff>9525</xdr:rowOff>
        </xdr:to>
        <xdr:sp macro="" textlink="">
          <xdr:nvSpPr>
            <xdr:cNvPr id="2055" name="Check Box 7" hidden="1">
              <a:extLst>
                <a:ext uri="{63B3BB69-23CF-44E3-9099-C40C66FF867C}">
                  <a14:compatExt spid="_x0000_s2055"/>
                </a:ext>
                <a:ext uri="{FF2B5EF4-FFF2-40B4-BE49-F238E27FC236}">
                  <a16:creationId xmlns=""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 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11</xdr:row>
          <xdr:rowOff>114300</xdr:rowOff>
        </xdr:from>
        <xdr:to>
          <xdr:col>5</xdr:col>
          <xdr:colOff>200025</xdr:colOff>
          <xdr:row>13</xdr:row>
          <xdr:rowOff>9525</xdr:rowOff>
        </xdr:to>
        <xdr:sp macro="" textlink="">
          <xdr:nvSpPr>
            <xdr:cNvPr id="2056" name="Check Box 8" hidden="1">
              <a:extLst>
                <a:ext uri="{63B3BB69-23CF-44E3-9099-C40C66FF867C}">
                  <a14:compatExt spid="_x0000_s2056"/>
                </a:ext>
                <a:ext uri="{FF2B5EF4-FFF2-40B4-BE49-F238E27FC236}">
                  <a16:creationId xmlns=""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 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12</xdr:row>
          <xdr:rowOff>114300</xdr:rowOff>
        </xdr:from>
        <xdr:to>
          <xdr:col>5</xdr:col>
          <xdr:colOff>200025</xdr:colOff>
          <xdr:row>13</xdr:row>
          <xdr:rowOff>133350</xdr:rowOff>
        </xdr:to>
        <xdr:sp macro="" textlink="">
          <xdr:nvSpPr>
            <xdr:cNvPr id="2057" name="Check Box 9" hidden="1">
              <a:extLst>
                <a:ext uri="{63B3BB69-23CF-44E3-9099-C40C66FF867C}">
                  <a14:compatExt spid="_x0000_s2057"/>
                </a:ext>
                <a:ext uri="{FF2B5EF4-FFF2-40B4-BE49-F238E27FC236}">
                  <a16:creationId xmlns=""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 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13</xdr:row>
          <xdr:rowOff>123825</xdr:rowOff>
        </xdr:from>
        <xdr:to>
          <xdr:col>5</xdr:col>
          <xdr:colOff>200025</xdr:colOff>
          <xdr:row>14</xdr:row>
          <xdr:rowOff>171450</xdr:rowOff>
        </xdr:to>
        <xdr:sp macro="" textlink="">
          <xdr:nvSpPr>
            <xdr:cNvPr id="2058" name="Check Box 10" hidden="1">
              <a:extLst>
                <a:ext uri="{63B3BB69-23CF-44E3-9099-C40C66FF867C}">
                  <a14:compatExt spid="_x0000_s2058"/>
                </a:ext>
                <a:ext uri="{FF2B5EF4-FFF2-40B4-BE49-F238E27FC236}">
                  <a16:creationId xmlns=""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 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14</xdr:row>
          <xdr:rowOff>114300</xdr:rowOff>
        </xdr:from>
        <xdr:to>
          <xdr:col>5</xdr:col>
          <xdr:colOff>200025</xdr:colOff>
          <xdr:row>16</xdr:row>
          <xdr:rowOff>9525</xdr:rowOff>
        </xdr:to>
        <xdr:sp macro="" textlink="">
          <xdr:nvSpPr>
            <xdr:cNvPr id="2059" name="Check Box 11" hidden="1">
              <a:extLst>
                <a:ext uri="{63B3BB69-23CF-44E3-9099-C40C66FF867C}">
                  <a14:compatExt spid="_x0000_s2059"/>
                </a:ext>
                <a:ext uri="{FF2B5EF4-FFF2-40B4-BE49-F238E27FC236}">
                  <a16:creationId xmlns=""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 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15</xdr:row>
          <xdr:rowOff>114300</xdr:rowOff>
        </xdr:from>
        <xdr:to>
          <xdr:col>5</xdr:col>
          <xdr:colOff>200025</xdr:colOff>
          <xdr:row>17</xdr:row>
          <xdr:rowOff>9525</xdr:rowOff>
        </xdr:to>
        <xdr:sp macro="" textlink="">
          <xdr:nvSpPr>
            <xdr:cNvPr id="2060" name="Check Box 12" hidden="1">
              <a:extLst>
                <a:ext uri="{63B3BB69-23CF-44E3-9099-C40C66FF867C}">
                  <a14:compatExt spid="_x0000_s2060"/>
                </a:ext>
                <a:ext uri="{FF2B5EF4-FFF2-40B4-BE49-F238E27FC236}">
                  <a16:creationId xmlns=""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 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16</xdr:row>
          <xdr:rowOff>114300</xdr:rowOff>
        </xdr:from>
        <xdr:to>
          <xdr:col>5</xdr:col>
          <xdr:colOff>200025</xdr:colOff>
          <xdr:row>18</xdr:row>
          <xdr:rowOff>0</xdr:rowOff>
        </xdr:to>
        <xdr:sp macro="" textlink="">
          <xdr:nvSpPr>
            <xdr:cNvPr id="2061" name="Check Box 13" hidden="1">
              <a:extLst>
                <a:ext uri="{63B3BB69-23CF-44E3-9099-C40C66FF867C}">
                  <a14:compatExt spid="_x0000_s2061"/>
                </a:ext>
                <a:ext uri="{FF2B5EF4-FFF2-40B4-BE49-F238E27FC236}">
                  <a16:creationId xmlns=""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 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17</xdr:row>
          <xdr:rowOff>114300</xdr:rowOff>
        </xdr:from>
        <xdr:to>
          <xdr:col>5</xdr:col>
          <xdr:colOff>200025</xdr:colOff>
          <xdr:row>18</xdr:row>
          <xdr:rowOff>123825</xdr:rowOff>
        </xdr:to>
        <xdr:sp macro="" textlink="">
          <xdr:nvSpPr>
            <xdr:cNvPr id="2062" name="Check Box 14" hidden="1">
              <a:extLst>
                <a:ext uri="{63B3BB69-23CF-44E3-9099-C40C66FF867C}">
                  <a14:compatExt spid="_x0000_s2062"/>
                </a:ext>
                <a:ext uri="{FF2B5EF4-FFF2-40B4-BE49-F238E27FC236}">
                  <a16:creationId xmlns="" xmlns:a16="http://schemas.microsoft.com/office/drawing/2014/main" id="{00000000-0008-0000-00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 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18</xdr:row>
          <xdr:rowOff>104775</xdr:rowOff>
        </xdr:from>
        <xdr:to>
          <xdr:col>5</xdr:col>
          <xdr:colOff>200025</xdr:colOff>
          <xdr:row>19</xdr:row>
          <xdr:rowOff>95250</xdr:rowOff>
        </xdr:to>
        <xdr:sp macro="" textlink="">
          <xdr:nvSpPr>
            <xdr:cNvPr id="2063" name="Check Box 15" hidden="1">
              <a:extLst>
                <a:ext uri="{63B3BB69-23CF-44E3-9099-C40C66FF867C}">
                  <a14:compatExt spid="_x0000_s2063"/>
                </a:ext>
                <a:ext uri="{FF2B5EF4-FFF2-40B4-BE49-F238E27FC236}">
                  <a16:creationId xmlns="" xmlns:a16="http://schemas.microsoft.com/office/drawing/2014/main" id="{00000000-0008-0000-00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 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10</xdr:row>
          <xdr:rowOff>114300</xdr:rowOff>
        </xdr:from>
        <xdr:to>
          <xdr:col>4</xdr:col>
          <xdr:colOff>295275</xdr:colOff>
          <xdr:row>12</xdr:row>
          <xdr:rowOff>9525</xdr:rowOff>
        </xdr:to>
        <xdr:sp macro="" textlink="">
          <xdr:nvSpPr>
            <xdr:cNvPr id="2065" name="Check Box 17" hidden="1">
              <a:extLst>
                <a:ext uri="{63B3BB69-23CF-44E3-9099-C40C66FF867C}">
                  <a14:compatExt spid="_x0000_s2065"/>
                </a:ext>
                <a:ext uri="{FF2B5EF4-FFF2-40B4-BE49-F238E27FC236}">
                  <a16:creationId xmlns="" xmlns:a16="http://schemas.microsoft.com/office/drawing/2014/main" id="{00000000-0008-0000-00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11</xdr:row>
          <xdr:rowOff>114300</xdr:rowOff>
        </xdr:from>
        <xdr:to>
          <xdr:col>4</xdr:col>
          <xdr:colOff>295275</xdr:colOff>
          <xdr:row>13</xdr:row>
          <xdr:rowOff>9525</xdr:rowOff>
        </xdr:to>
        <xdr:sp macro="" textlink="">
          <xdr:nvSpPr>
            <xdr:cNvPr id="2066" name="Check Box 18" hidden="1">
              <a:extLst>
                <a:ext uri="{63B3BB69-23CF-44E3-9099-C40C66FF867C}">
                  <a14:compatExt spid="_x0000_s2066"/>
                </a:ext>
                <a:ext uri="{FF2B5EF4-FFF2-40B4-BE49-F238E27FC236}">
                  <a16:creationId xmlns="" xmlns:a16="http://schemas.microsoft.com/office/drawing/2014/main" id="{00000000-0008-0000-00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12</xdr:row>
          <xdr:rowOff>114300</xdr:rowOff>
        </xdr:from>
        <xdr:to>
          <xdr:col>4</xdr:col>
          <xdr:colOff>295275</xdr:colOff>
          <xdr:row>13</xdr:row>
          <xdr:rowOff>133350</xdr:rowOff>
        </xdr:to>
        <xdr:sp macro="" textlink="">
          <xdr:nvSpPr>
            <xdr:cNvPr id="2067" name="Check Box 19" hidden="1">
              <a:extLst>
                <a:ext uri="{63B3BB69-23CF-44E3-9099-C40C66FF867C}">
                  <a14:compatExt spid="_x0000_s2067"/>
                </a:ext>
                <a:ext uri="{FF2B5EF4-FFF2-40B4-BE49-F238E27FC236}">
                  <a16:creationId xmlns=""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13</xdr:row>
          <xdr:rowOff>123825</xdr:rowOff>
        </xdr:from>
        <xdr:to>
          <xdr:col>4</xdr:col>
          <xdr:colOff>295275</xdr:colOff>
          <xdr:row>14</xdr:row>
          <xdr:rowOff>171450</xdr:rowOff>
        </xdr:to>
        <xdr:sp macro="" textlink="">
          <xdr:nvSpPr>
            <xdr:cNvPr id="2068" name="Check Box 20" hidden="1">
              <a:extLst>
                <a:ext uri="{63B3BB69-23CF-44E3-9099-C40C66FF867C}">
                  <a14:compatExt spid="_x0000_s2068"/>
                </a:ext>
                <a:ext uri="{FF2B5EF4-FFF2-40B4-BE49-F238E27FC236}">
                  <a16:creationId xmlns="" xmlns:a16="http://schemas.microsoft.com/office/drawing/2014/main" id="{00000000-0008-0000-00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14</xdr:row>
          <xdr:rowOff>123825</xdr:rowOff>
        </xdr:from>
        <xdr:to>
          <xdr:col>4</xdr:col>
          <xdr:colOff>295275</xdr:colOff>
          <xdr:row>16</xdr:row>
          <xdr:rowOff>9525</xdr:rowOff>
        </xdr:to>
        <xdr:sp macro="" textlink="">
          <xdr:nvSpPr>
            <xdr:cNvPr id="2069" name="Check Box 21" hidden="1">
              <a:extLst>
                <a:ext uri="{63B3BB69-23CF-44E3-9099-C40C66FF867C}">
                  <a14:compatExt spid="_x0000_s2069"/>
                </a:ext>
                <a:ext uri="{FF2B5EF4-FFF2-40B4-BE49-F238E27FC236}">
                  <a16:creationId xmlns=""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114300</xdr:rowOff>
        </xdr:from>
        <xdr:to>
          <xdr:col>4</xdr:col>
          <xdr:colOff>304800</xdr:colOff>
          <xdr:row>17</xdr:row>
          <xdr:rowOff>9525</xdr:rowOff>
        </xdr:to>
        <xdr:sp macro="" textlink="">
          <xdr:nvSpPr>
            <xdr:cNvPr id="2070" name="Check Box 22" hidden="1">
              <a:extLst>
                <a:ext uri="{63B3BB69-23CF-44E3-9099-C40C66FF867C}">
                  <a14:compatExt spid="_x0000_s2070"/>
                </a:ext>
                <a:ext uri="{FF2B5EF4-FFF2-40B4-BE49-F238E27FC236}">
                  <a16:creationId xmlns="" xmlns:a16="http://schemas.microsoft.com/office/drawing/2014/main" id="{00000000-0008-0000-00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16</xdr:row>
          <xdr:rowOff>114300</xdr:rowOff>
        </xdr:from>
        <xdr:to>
          <xdr:col>4</xdr:col>
          <xdr:colOff>314325</xdr:colOff>
          <xdr:row>18</xdr:row>
          <xdr:rowOff>0</xdr:rowOff>
        </xdr:to>
        <xdr:sp macro="" textlink="">
          <xdr:nvSpPr>
            <xdr:cNvPr id="2071" name="Check Box 23" hidden="1">
              <a:extLst>
                <a:ext uri="{63B3BB69-23CF-44E3-9099-C40C66FF867C}">
                  <a14:compatExt spid="_x0000_s2071"/>
                </a:ext>
                <a:ext uri="{FF2B5EF4-FFF2-40B4-BE49-F238E27FC236}">
                  <a16:creationId xmlns="" xmlns:a16="http://schemas.microsoft.com/office/drawing/2014/main" id="{00000000-0008-0000-00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17</xdr:row>
          <xdr:rowOff>114300</xdr:rowOff>
        </xdr:from>
        <xdr:to>
          <xdr:col>4</xdr:col>
          <xdr:colOff>314325</xdr:colOff>
          <xdr:row>18</xdr:row>
          <xdr:rowOff>123825</xdr:rowOff>
        </xdr:to>
        <xdr:sp macro="" textlink="">
          <xdr:nvSpPr>
            <xdr:cNvPr id="2072" name="Check Box 24" hidden="1">
              <a:extLst>
                <a:ext uri="{63B3BB69-23CF-44E3-9099-C40C66FF867C}">
                  <a14:compatExt spid="_x0000_s2072"/>
                </a:ext>
                <a:ext uri="{FF2B5EF4-FFF2-40B4-BE49-F238E27FC236}">
                  <a16:creationId xmlns="" xmlns:a16="http://schemas.microsoft.com/office/drawing/2014/main" id="{00000000-0008-0000-00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18</xdr:row>
          <xdr:rowOff>114300</xdr:rowOff>
        </xdr:from>
        <xdr:to>
          <xdr:col>4</xdr:col>
          <xdr:colOff>314325</xdr:colOff>
          <xdr:row>19</xdr:row>
          <xdr:rowOff>104775</xdr:rowOff>
        </xdr:to>
        <xdr:sp macro="" textlink="">
          <xdr:nvSpPr>
            <xdr:cNvPr id="2073" name="Check Box 25" hidden="1">
              <a:extLst>
                <a:ext uri="{63B3BB69-23CF-44E3-9099-C40C66FF867C}">
                  <a14:compatExt spid="_x0000_s2073"/>
                </a:ext>
                <a:ext uri="{FF2B5EF4-FFF2-40B4-BE49-F238E27FC236}">
                  <a16:creationId xmlns="" xmlns:a16="http://schemas.microsoft.com/office/drawing/2014/main" id="{00000000-0008-0000-0000-00001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409575</xdr:colOff>
          <xdr:row>63</xdr:row>
          <xdr:rowOff>38100</xdr:rowOff>
        </xdr:from>
        <xdr:to>
          <xdr:col>5</xdr:col>
          <xdr:colOff>352425</xdr:colOff>
          <xdr:row>70</xdr:row>
          <xdr:rowOff>0</xdr:rowOff>
        </xdr:to>
        <xdr:sp macro="" textlink="">
          <xdr:nvSpPr>
            <xdr:cNvPr id="2084" name="Group Box 36" hidden="1">
              <a:extLst>
                <a:ext uri="{63B3BB69-23CF-44E3-9099-C40C66FF867C}">
                  <a14:compatExt spid="_x0000_s2084"/>
                </a:ext>
                <a:ext uri="{FF2B5EF4-FFF2-40B4-BE49-F238E27FC236}">
                  <a16:creationId xmlns="" xmlns:a16="http://schemas.microsoft.com/office/drawing/2014/main" id="{00000000-0008-0000-0000-000024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Mostrar Resultados finales 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65</xdr:row>
          <xdr:rowOff>104775</xdr:rowOff>
        </xdr:from>
        <xdr:to>
          <xdr:col>2</xdr:col>
          <xdr:colOff>200025</xdr:colOff>
          <xdr:row>67</xdr:row>
          <xdr:rowOff>57150</xdr:rowOff>
        </xdr:to>
        <xdr:sp macro="" textlink="">
          <xdr:nvSpPr>
            <xdr:cNvPr id="2085" name="Option Button 37" hidden="1">
              <a:extLst>
                <a:ext uri="{63B3BB69-23CF-44E3-9099-C40C66FF867C}">
                  <a14:compatExt spid="_x0000_s2085"/>
                </a:ext>
                <a:ext uri="{FF2B5EF4-FFF2-40B4-BE49-F238E27FC236}">
                  <a16:creationId xmlns="" xmlns:a16="http://schemas.microsoft.com/office/drawing/2014/main" id="{00000000-0008-0000-0000-00002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Pulgadas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64</xdr:row>
          <xdr:rowOff>66675</xdr:rowOff>
        </xdr:from>
        <xdr:to>
          <xdr:col>2</xdr:col>
          <xdr:colOff>152400</xdr:colOff>
          <xdr:row>65</xdr:row>
          <xdr:rowOff>104775</xdr:rowOff>
        </xdr:to>
        <xdr:sp macro="" textlink="">
          <xdr:nvSpPr>
            <xdr:cNvPr id="2086" name="Option Button 38" hidden="1">
              <a:extLst>
                <a:ext uri="{63B3BB69-23CF-44E3-9099-C40C66FF867C}">
                  <a14:compatExt spid="_x0000_s2086"/>
                </a:ext>
                <a:ext uri="{FF2B5EF4-FFF2-40B4-BE49-F238E27FC236}">
                  <a16:creationId xmlns="" xmlns:a16="http://schemas.microsoft.com/office/drawing/2014/main" id="{00000000-0008-0000-0000-00002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Milímetros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67</xdr:row>
          <xdr:rowOff>47625</xdr:rowOff>
        </xdr:from>
        <xdr:to>
          <xdr:col>2</xdr:col>
          <xdr:colOff>257175</xdr:colOff>
          <xdr:row>68</xdr:row>
          <xdr:rowOff>104775</xdr:rowOff>
        </xdr:to>
        <xdr:sp macro="" textlink="">
          <xdr:nvSpPr>
            <xdr:cNvPr id="2087" name="Option Button 39" hidden="1">
              <a:extLst>
                <a:ext uri="{63B3BB69-23CF-44E3-9099-C40C66FF867C}">
                  <a14:compatExt spid="_x0000_s2087"/>
                </a:ext>
                <a:ext uri="{FF2B5EF4-FFF2-40B4-BE49-F238E27FC236}">
                  <a16:creationId xmlns="" xmlns:a16="http://schemas.microsoft.com/office/drawing/2014/main" id="{00000000-0008-0000-0000-00002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Ambos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137</xdr:row>
      <xdr:rowOff>109322</xdr:rowOff>
    </xdr:from>
    <xdr:to>
      <xdr:col>13</xdr:col>
      <xdr:colOff>1564976</xdr:colOff>
      <xdr:row>138</xdr:row>
      <xdr:rowOff>653143</xdr:rowOff>
    </xdr:to>
    <xdr:sp macro="" textlink="">
      <xdr:nvSpPr>
        <xdr:cNvPr id="2" name="Text Box 276"/>
        <xdr:cNvSpPr txBox="1">
          <a:spLocks noChangeArrowheads="1"/>
        </xdr:cNvSpPr>
      </xdr:nvSpPr>
      <xdr:spPr bwMode="auto">
        <a:xfrm>
          <a:off x="0" y="36932972"/>
          <a:ext cx="13033076" cy="12962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1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pPr algn="just"/>
          <a:endParaRPr lang="en-US" sz="1100" i="1">
            <a:effectLst/>
            <a:latin typeface="Times New Roman" pitchFamily="18" charset="0"/>
            <a:ea typeface="+mn-ea"/>
            <a:cs typeface="Times New Roman" pitchFamily="18" charset="0"/>
          </a:endParaRPr>
        </a:p>
        <a:p>
          <a:pPr algn="just"/>
          <a:r>
            <a:rPr lang="en-US" sz="11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 </a:t>
          </a:r>
        </a:p>
        <a:p>
          <a:pPr algn="just"/>
          <a:r>
            <a:rPr lang="es-MX" sz="1100">
              <a:effectLst/>
              <a:latin typeface="Times New Roman" pitchFamily="18" charset="0"/>
              <a:ea typeface="+mn-ea"/>
              <a:cs typeface="Times New Roman" pitchFamily="18" charset="0"/>
            </a:rPr>
            <a:t>F5.10 Certificado de Calibración (Versión 9)</a:t>
          </a:r>
        </a:p>
        <a:p>
          <a:pPr algn="l" rtl="0">
            <a:defRPr sz="1000"/>
          </a:pPr>
          <a:endParaRPr lang="es-MX" sz="1100" b="0" i="0" u="none" strike="noStrike" baseline="0">
            <a:solidFill>
              <a:srgbClr val="000000"/>
            </a:solidFill>
            <a:latin typeface="Times New Roman"/>
            <a:cs typeface="Times New Roman"/>
          </a:endParaRPr>
        </a:p>
        <a:p>
          <a:pPr algn="l" rtl="0">
            <a:defRPr sz="1000"/>
          </a:pPr>
          <a:endParaRPr lang="es-MX" sz="1100" b="0" i="0" u="none" strike="noStrike" baseline="0">
            <a:solidFill>
              <a:srgbClr val="000000"/>
            </a:solidFill>
            <a:latin typeface="Times New Roman"/>
            <a:cs typeface="Times New Roman"/>
          </a:endParaRPr>
        </a:p>
      </xdr:txBody>
    </xdr:sp>
    <xdr:clientData/>
  </xdr:twoCellAnchor>
  <xdr:twoCellAnchor>
    <xdr:from>
      <xdr:col>0</xdr:col>
      <xdr:colOff>0</xdr:colOff>
      <xdr:row>33</xdr:row>
      <xdr:rowOff>552444</xdr:rowOff>
    </xdr:from>
    <xdr:to>
      <xdr:col>13</xdr:col>
      <xdr:colOff>1630135</xdr:colOff>
      <xdr:row>37</xdr:row>
      <xdr:rowOff>176894</xdr:rowOff>
    </xdr:to>
    <xdr:sp macro="" textlink="">
      <xdr:nvSpPr>
        <xdr:cNvPr id="3" name="Text Box 276"/>
        <xdr:cNvSpPr txBox="1">
          <a:spLocks noChangeArrowheads="1"/>
        </xdr:cNvSpPr>
      </xdr:nvSpPr>
      <xdr:spPr bwMode="auto">
        <a:xfrm>
          <a:off x="0" y="15916269"/>
          <a:ext cx="13098235" cy="824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1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pPr algn="just"/>
          <a:endParaRPr lang="en-US" sz="1100" i="1">
            <a:effectLst/>
            <a:latin typeface="Times New Roman" pitchFamily="18" charset="0"/>
            <a:ea typeface="+mn-ea"/>
            <a:cs typeface="Times New Roman" pitchFamily="18" charset="0"/>
          </a:endParaRPr>
        </a:p>
        <a:p>
          <a:pPr algn="just"/>
          <a:r>
            <a:rPr lang="en-US" sz="11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 </a:t>
          </a:r>
          <a:endParaRPr lang="es-MX" sz="1100" b="0" i="0" u="none" strike="noStrike" baseline="0">
            <a:solidFill>
              <a:srgbClr val="000000"/>
            </a:solidFill>
            <a:latin typeface="Times New Roman"/>
            <a:cs typeface="Times New Roman"/>
          </a:endParaRPr>
        </a:p>
        <a:p>
          <a:pPr algn="l" rtl="0">
            <a:defRPr sz="1000"/>
          </a:pPr>
          <a:endParaRPr lang="es-MX" sz="1100" b="0" i="0" u="none" strike="noStrike" baseline="0">
            <a:solidFill>
              <a:srgbClr val="000000"/>
            </a:solidFill>
            <a:latin typeface="Times New Roman"/>
            <a:cs typeface="Times New Roman"/>
          </a:endParaRPr>
        </a:p>
      </xdr:txBody>
    </xdr:sp>
    <xdr:clientData/>
  </xdr:twoCellAnchor>
  <xdr:twoCellAnchor>
    <xdr:from>
      <xdr:col>10</xdr:col>
      <xdr:colOff>700767</xdr:colOff>
      <xdr:row>0</xdr:row>
      <xdr:rowOff>58964</xdr:rowOff>
    </xdr:from>
    <xdr:to>
      <xdr:col>13</xdr:col>
      <xdr:colOff>1592035</xdr:colOff>
      <xdr:row>2</xdr:row>
      <xdr:rowOff>454306</xdr:rowOff>
    </xdr:to>
    <xdr:pic>
      <xdr:nvPicPr>
        <xdr:cNvPr id="4" name="Picture 5" descr="LOGO KALIBRIX-TRESCAL"/>
        <xdr:cNvPicPr>
          <a:picLocks noChangeAspect="1" noChangeArrowheads="1"/>
        </xdr:cNvPicPr>
      </xdr:nvPicPr>
      <xdr:blipFill>
        <a:blip xmlns:r="http://schemas.openxmlformats.org/officeDocument/2006/relationships" r:embed="rId1" cstate="print"/>
        <a:srcRect/>
        <a:stretch>
          <a:fillRect/>
        </a:stretch>
      </xdr:blipFill>
      <xdr:spPr bwMode="auto">
        <a:xfrm>
          <a:off x="9682842" y="58964"/>
          <a:ext cx="3377293" cy="1338317"/>
        </a:xfrm>
        <a:prstGeom prst="rect">
          <a:avLst/>
        </a:prstGeom>
        <a:noFill/>
        <a:ln w="9525">
          <a:noFill/>
          <a:miter lim="800000"/>
          <a:headEnd/>
          <a:tailEnd/>
        </a:ln>
      </xdr:spPr>
    </xdr:pic>
    <xdr:clientData/>
  </xdr:twoCellAnchor>
  <xdr:twoCellAnchor>
    <xdr:from>
      <xdr:col>11</xdr:col>
      <xdr:colOff>9525</xdr:colOff>
      <xdr:row>45</xdr:row>
      <xdr:rowOff>48080</xdr:rowOff>
    </xdr:from>
    <xdr:to>
      <xdr:col>13</xdr:col>
      <xdr:colOff>1621971</xdr:colOff>
      <xdr:row>47</xdr:row>
      <xdr:rowOff>443422</xdr:rowOff>
    </xdr:to>
    <xdr:pic>
      <xdr:nvPicPr>
        <xdr:cNvPr id="7" name="Picture 5" descr="LOGO KALIBRIX-TRESCAL"/>
        <xdr:cNvPicPr>
          <a:picLocks noChangeAspect="1" noChangeArrowheads="1"/>
        </xdr:cNvPicPr>
      </xdr:nvPicPr>
      <xdr:blipFill>
        <a:blip xmlns:r="http://schemas.openxmlformats.org/officeDocument/2006/relationships" r:embed="rId1" cstate="print"/>
        <a:srcRect/>
        <a:stretch>
          <a:fillRect/>
        </a:stretch>
      </xdr:blipFill>
      <xdr:spPr bwMode="auto">
        <a:xfrm>
          <a:off x="9715500" y="19079030"/>
          <a:ext cx="3374571" cy="1338317"/>
        </a:xfrm>
        <a:prstGeom prst="rect">
          <a:avLst/>
        </a:prstGeom>
        <a:noFill/>
        <a:ln w="9525">
          <a:noFill/>
          <a:miter lim="800000"/>
          <a:headEnd/>
          <a:tailEnd/>
        </a:ln>
      </xdr:spPr>
    </xdr:pic>
    <xdr:clientData/>
  </xdr:twoCellAnchor>
  <xdr:twoCellAnchor editAs="oneCell">
    <xdr:from>
      <xdr:col>1</xdr:col>
      <xdr:colOff>40822</xdr:colOff>
      <xdr:row>133</xdr:row>
      <xdr:rowOff>0</xdr:rowOff>
    </xdr:from>
    <xdr:to>
      <xdr:col>5</xdr:col>
      <xdr:colOff>163286</xdr:colOff>
      <xdr:row>136</xdr:row>
      <xdr:rowOff>438149</xdr:rowOff>
    </xdr:to>
    <xdr:pic>
      <xdr:nvPicPr>
        <xdr:cNvPr id="9" name="Imagen 8"/>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2643" y="43787786"/>
          <a:ext cx="4585607" cy="23159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kalibrixserver\Laboratorio\04%20Entradas%20-%20Salidas\Cliente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ientes"/>
      <sheetName val="Hoja1"/>
      <sheetName val="Hoja2"/>
    </sheetNames>
    <sheetDataSet>
      <sheetData sheetId="0">
        <row r="1">
          <cell r="A1" t="str">
            <v>Clientes</v>
          </cell>
          <cell r="B1" t="str">
            <v xml:space="preserve">Nombre </v>
          </cell>
          <cell r="D1" t="str">
            <v xml:space="preserve">Calle </v>
          </cell>
          <cell r="E1" t="str">
            <v xml:space="preserve">Número interior </v>
          </cell>
          <cell r="F1" t="str">
            <v xml:space="preserve">Número exterior </v>
          </cell>
          <cell r="G1" t="str">
            <v xml:space="preserve">Colonia </v>
          </cell>
          <cell r="H1" t="str">
            <v xml:space="preserve">Código postal </v>
          </cell>
          <cell r="I1" t="str">
            <v xml:space="preserve">Municipio </v>
          </cell>
          <cell r="J1" t="str">
            <v xml:space="preserve">Estado </v>
          </cell>
          <cell r="K1" t="str">
            <v xml:space="preserve">País </v>
          </cell>
          <cell r="L1" t="str">
            <v xml:space="preserve">Teléfono </v>
          </cell>
          <cell r="M1" t="str">
            <v xml:space="preserve">Días de crédito </v>
          </cell>
          <cell r="N1" t="str">
            <v xml:space="preserve">Fecha de última venta </v>
          </cell>
          <cell r="O1" t="str">
            <v>CONTACTO PARA EMISION DE INFORMES</v>
          </cell>
        </row>
        <row r="2">
          <cell r="A2">
            <v>2</v>
          </cell>
          <cell r="B2" t="str">
            <v>María Minerva Serrano Rutz</v>
          </cell>
          <cell r="C2" t="str">
            <v>SERM610107962</v>
          </cell>
          <cell r="D2" t="str">
            <v>Prados de Jacarandas</v>
          </cell>
          <cell r="F2">
            <v>81</v>
          </cell>
          <cell r="G2" t="str">
            <v>Prados de Aragón</v>
          </cell>
          <cell r="H2">
            <v>57179</v>
          </cell>
          <cell r="I2" t="str">
            <v>Nezahualcoyotl</v>
          </cell>
          <cell r="J2" t="str">
            <v>Estado de México</v>
          </cell>
          <cell r="K2" t="str">
            <v>México</v>
          </cell>
          <cell r="L2" t="str">
            <v>(55) 57992700</v>
          </cell>
          <cell r="M2">
            <v>30</v>
          </cell>
          <cell r="N2" t="str">
            <v>27/08/2014</v>
          </cell>
        </row>
        <row r="3">
          <cell r="A3">
            <v>3</v>
          </cell>
          <cell r="B3" t="str">
            <v>ABB México, S.A. de C.V.</v>
          </cell>
          <cell r="C3" t="str">
            <v>CDE0705039V3</v>
          </cell>
          <cell r="D3" t="str">
            <v>Av. Central</v>
          </cell>
          <cell r="F3">
            <v>310</v>
          </cell>
          <cell r="G3" t="str">
            <v>Parque Industrial Logistico</v>
          </cell>
          <cell r="H3">
            <v>78395</v>
          </cell>
          <cell r="I3" t="str">
            <v>San Luis Potosí</v>
          </cell>
          <cell r="J3" t="str">
            <v>San Luis Potosí</v>
          </cell>
          <cell r="K3" t="str">
            <v>México</v>
          </cell>
          <cell r="L3" t="str">
            <v>(444) 870 8000</v>
          </cell>
          <cell r="M3">
            <v>30</v>
          </cell>
        </row>
        <row r="4">
          <cell r="A4">
            <v>4</v>
          </cell>
          <cell r="B4" t="str">
            <v>Acero Prime, S. de R.L. de C.V.</v>
          </cell>
          <cell r="C4" t="str">
            <v>CCO0309098N8</v>
          </cell>
          <cell r="D4" t="str">
            <v>Eje 128 N</v>
          </cell>
          <cell r="F4">
            <v>209</v>
          </cell>
          <cell r="G4" t="str">
            <v>Zona Industrial del Potosí</v>
          </cell>
          <cell r="H4">
            <v>78935</v>
          </cell>
          <cell r="I4" t="str">
            <v>San Luis Potosí</v>
          </cell>
          <cell r="J4" t="str">
            <v>San Luis Potosí</v>
          </cell>
          <cell r="K4" t="str">
            <v>México</v>
          </cell>
          <cell r="L4" t="str">
            <v>(444) 8707742</v>
          </cell>
          <cell r="M4">
            <v>30</v>
          </cell>
        </row>
        <row r="5">
          <cell r="A5">
            <v>5</v>
          </cell>
          <cell r="B5" t="str">
            <v>Aceros Hercules, S.A. de C.V.</v>
          </cell>
          <cell r="C5" t="str">
            <v>CTM990607US8</v>
          </cell>
          <cell r="D5" t="str">
            <v>Carretera Mexico Piedras Negras</v>
          </cell>
          <cell r="F5">
            <v>3010</v>
          </cell>
          <cell r="G5" t="str">
            <v>Zona Industrial</v>
          </cell>
          <cell r="H5">
            <v>78395</v>
          </cell>
          <cell r="I5" t="str">
            <v>San Luis Potosí</v>
          </cell>
          <cell r="J5" t="str">
            <v>San Luis Potosí</v>
          </cell>
          <cell r="K5" t="str">
            <v>México</v>
          </cell>
          <cell r="L5" t="str">
            <v>(444) 8245470</v>
          </cell>
          <cell r="M5">
            <v>30</v>
          </cell>
          <cell r="N5" t="str">
            <v>16/01/2015</v>
          </cell>
        </row>
        <row r="6">
          <cell r="A6">
            <v>6</v>
          </cell>
          <cell r="B6" t="str">
            <v>Aernnova Aerospace México, S.A. de C.V.</v>
          </cell>
          <cell r="C6" t="str">
            <v>AAM070816DY4</v>
          </cell>
          <cell r="D6" t="str">
            <v>Av. Industria de la Transformación</v>
          </cell>
          <cell r="E6" t="str">
            <v>-</v>
          </cell>
          <cell r="F6">
            <v>431</v>
          </cell>
          <cell r="G6" t="str">
            <v xml:space="preserve">Parque Industrial Querétaro </v>
          </cell>
          <cell r="H6">
            <v>76220</v>
          </cell>
          <cell r="I6" t="str">
            <v>Querétaro</v>
          </cell>
          <cell r="J6" t="str">
            <v>Querétaro</v>
          </cell>
          <cell r="K6" t="str">
            <v>México</v>
          </cell>
          <cell r="L6" t="str">
            <v>.</v>
          </cell>
          <cell r="M6">
            <v>45</v>
          </cell>
          <cell r="N6" t="str">
            <v>13/06/2014</v>
          </cell>
          <cell r="O6" t="str">
            <v>eliane.gomez@aernnova.com</v>
          </cell>
          <cell r="R6" t="str">
            <v>SOL O.</v>
          </cell>
        </row>
        <row r="7">
          <cell r="A7">
            <v>7</v>
          </cell>
          <cell r="B7" t="str">
            <v>Alpha Hi-Lex, S.A. de C.V.</v>
          </cell>
          <cell r="C7" t="str">
            <v>AHL0204238EA</v>
          </cell>
          <cell r="D7" t="str">
            <v>Av. Circuito el Marqués Sur</v>
          </cell>
          <cell r="F7">
            <v>16</v>
          </cell>
          <cell r="G7" t="str">
            <v>Parque Industrial El Marques</v>
          </cell>
          <cell r="H7">
            <v>76246</v>
          </cell>
          <cell r="I7" t="str">
            <v>Querétaro</v>
          </cell>
          <cell r="J7" t="str">
            <v>Querétaro</v>
          </cell>
          <cell r="K7" t="str">
            <v>México</v>
          </cell>
          <cell r="L7" t="str">
            <v>(442) 2274600</v>
          </cell>
          <cell r="M7">
            <v>30</v>
          </cell>
        </row>
        <row r="8">
          <cell r="A8">
            <v>8</v>
          </cell>
          <cell r="B8" t="str">
            <v>Raúl Rodríguez Farah</v>
          </cell>
          <cell r="C8" t="str">
            <v>ROFR791001T91</v>
          </cell>
          <cell r="D8" t="str">
            <v>Av. Universidad Ote.</v>
          </cell>
          <cell r="E8" t="str">
            <v>A</v>
          </cell>
          <cell r="F8">
            <v>337</v>
          </cell>
          <cell r="G8" t="str">
            <v>Las Brujas</v>
          </cell>
          <cell r="H8">
            <v>76160</v>
          </cell>
          <cell r="I8" t="str">
            <v>Querétaro</v>
          </cell>
          <cell r="J8" t="str">
            <v>Querétaro</v>
          </cell>
          <cell r="K8" t="str">
            <v>México</v>
          </cell>
          <cell r="L8" t="str">
            <v>(442) 2234827</v>
          </cell>
          <cell r="M8">
            <v>0</v>
          </cell>
        </row>
        <row r="9">
          <cell r="A9">
            <v>9</v>
          </cell>
          <cell r="B9" t="str">
            <v>Altcam Precisión en Inyección de Plásticos, S.A de C.V.</v>
          </cell>
          <cell r="C9" t="str">
            <v>IGE050429R11</v>
          </cell>
          <cell r="D9" t="str">
            <v>Av. Benito Juárez</v>
          </cell>
          <cell r="E9" t="str">
            <v>3</v>
          </cell>
          <cell r="F9">
            <v>131</v>
          </cell>
          <cell r="G9" t="str">
            <v>Parque Industrial Querétaro</v>
          </cell>
          <cell r="H9">
            <v>76246</v>
          </cell>
          <cell r="I9" t="str">
            <v>Querétaro</v>
          </cell>
          <cell r="J9" t="str">
            <v>Querétaro</v>
          </cell>
          <cell r="K9" t="str">
            <v>México</v>
          </cell>
          <cell r="L9" t="str">
            <v>(442) 2215682</v>
          </cell>
          <cell r="M9">
            <v>30</v>
          </cell>
        </row>
        <row r="10">
          <cell r="A10">
            <v>10</v>
          </cell>
          <cell r="B10" t="str">
            <v>Altia Querétaro México, S.A de C.V.</v>
          </cell>
          <cell r="C10" t="str">
            <v>AQM0408121W2</v>
          </cell>
          <cell r="D10" t="str">
            <v>Av. de las Fuentes</v>
          </cell>
          <cell r="F10">
            <v>27</v>
          </cell>
          <cell r="G10" t="str">
            <v>Parque Industrial Bernardo Quintana</v>
          </cell>
          <cell r="H10">
            <v>76246</v>
          </cell>
          <cell r="I10" t="str">
            <v>Querétaro</v>
          </cell>
          <cell r="J10" t="str">
            <v>Querétaro</v>
          </cell>
          <cell r="K10" t="str">
            <v>México</v>
          </cell>
          <cell r="L10" t="str">
            <v>(442) 2175970</v>
          </cell>
          <cell r="M10">
            <v>30</v>
          </cell>
        </row>
        <row r="11">
          <cell r="A11">
            <v>11</v>
          </cell>
          <cell r="B11" t="str">
            <v>Aluminios de Precisión, S.A. de C.V.</v>
          </cell>
          <cell r="D11" t="str">
            <v>Av. Industrias Sidelúrgica</v>
          </cell>
          <cell r="F11">
            <v>2027</v>
          </cell>
          <cell r="G11" t="str">
            <v>Parque Industrial Ramos Arizpe</v>
          </cell>
          <cell r="H11">
            <v>25900</v>
          </cell>
          <cell r="I11" t="str">
            <v>Saltillo</v>
          </cell>
          <cell r="J11" t="str">
            <v>Coahuila</v>
          </cell>
          <cell r="K11" t="str">
            <v>México</v>
          </cell>
          <cell r="L11" t="str">
            <v>(844) 4884800</v>
          </cell>
          <cell r="M11">
            <v>30</v>
          </cell>
        </row>
        <row r="12">
          <cell r="A12">
            <v>12</v>
          </cell>
          <cell r="B12" t="str">
            <v>Amitech México, S.A. de C.V.</v>
          </cell>
          <cell r="C12" t="str">
            <v>MAL990719TV8</v>
          </cell>
          <cell r="D12" t="str">
            <v>Carretera Aguascalientes-Zacatecas Km. 17.5</v>
          </cell>
          <cell r="F12">
            <v>2</v>
          </cell>
          <cell r="G12" t="str">
            <v>Parque Induatrial San Francisco</v>
          </cell>
          <cell r="H12">
            <v>20304</v>
          </cell>
          <cell r="I12" t="str">
            <v>San Francisco de los Romo</v>
          </cell>
          <cell r="J12" t="str">
            <v>Aguascalientes</v>
          </cell>
          <cell r="K12" t="str">
            <v>México</v>
          </cell>
          <cell r="L12" t="str">
            <v>(449) 1393960</v>
          </cell>
          <cell r="M12">
            <v>30</v>
          </cell>
        </row>
        <row r="13">
          <cell r="A13">
            <v>13</v>
          </cell>
          <cell r="B13" t="str">
            <v>Ampacet de México, S. de R.L. de C.V.</v>
          </cell>
          <cell r="C13" t="str">
            <v>MAB080421NK1</v>
          </cell>
          <cell r="D13" t="str">
            <v>Privada de la Princesa</v>
          </cell>
          <cell r="F13">
            <v>1</v>
          </cell>
          <cell r="G13" t="str">
            <v>Parque Ind. el Marqués</v>
          </cell>
          <cell r="H13">
            <v>76246</v>
          </cell>
          <cell r="I13" t="str">
            <v>Querétaro</v>
          </cell>
          <cell r="J13" t="str">
            <v>Querétaro</v>
          </cell>
          <cell r="K13" t="str">
            <v>México</v>
          </cell>
          <cell r="L13" t="str">
            <v>(442) 2531084</v>
          </cell>
          <cell r="M13">
            <v>30</v>
          </cell>
        </row>
        <row r="14">
          <cell r="A14">
            <v>14</v>
          </cell>
          <cell r="B14" t="str">
            <v>Apem México, S.A de C.V</v>
          </cell>
          <cell r="C14" t="str">
            <v>AME001003CG8</v>
          </cell>
          <cell r="D14" t="str">
            <v>Av. Peñuelas</v>
          </cell>
          <cell r="F14">
            <v>14</v>
          </cell>
          <cell r="G14" t="str">
            <v>San Pedrito Peñuelas</v>
          </cell>
          <cell r="H14">
            <v>76148</v>
          </cell>
          <cell r="I14" t="str">
            <v>Querétaro</v>
          </cell>
          <cell r="J14" t="str">
            <v>Querétaro</v>
          </cell>
          <cell r="K14" t="str">
            <v>México</v>
          </cell>
          <cell r="L14" t="str">
            <v>(442) 2266386</v>
          </cell>
          <cell r="M14">
            <v>30</v>
          </cell>
        </row>
        <row r="15">
          <cell r="A15">
            <v>15</v>
          </cell>
          <cell r="B15" t="str">
            <v>MSA de México, S.A. de C.V.</v>
          </cell>
          <cell r="C15" t="str">
            <v>MSA680809149</v>
          </cell>
          <cell r="D15" t="str">
            <v xml:space="preserve"> Av. del Conde</v>
          </cell>
          <cell r="F15">
            <v>6</v>
          </cell>
          <cell r="G15" t="str">
            <v>Parque Industrial el Marqués</v>
          </cell>
          <cell r="H15">
            <v>76246</v>
          </cell>
          <cell r="I15" t="str">
            <v>El Marqués</v>
          </cell>
          <cell r="J15" t="str">
            <v>Querétaro</v>
          </cell>
          <cell r="K15" t="str">
            <v>México</v>
          </cell>
          <cell r="L15" t="str">
            <v>(442) 2273900</v>
          </cell>
          <cell r="M15">
            <v>30</v>
          </cell>
          <cell r="N15" t="str">
            <v>04/05/2015</v>
          </cell>
          <cell r="Q15" t="str">
            <v>MSA</v>
          </cell>
        </row>
        <row r="16">
          <cell r="A16">
            <v>16</v>
          </cell>
          <cell r="B16" t="str">
            <v>Aptar Querétaro, S.A. de C.V.</v>
          </cell>
          <cell r="C16" t="str">
            <v>SME860307I18</v>
          </cell>
          <cell r="D16" t="str">
            <v>Circuito El Marqués</v>
          </cell>
          <cell r="F16">
            <v>33</v>
          </cell>
          <cell r="G16" t="str">
            <v>Parque Ind. El Marqués</v>
          </cell>
          <cell r="H16">
            <v>76246</v>
          </cell>
          <cell r="I16" t="str">
            <v>El Marqués</v>
          </cell>
          <cell r="J16" t="str">
            <v>Querétaro</v>
          </cell>
          <cell r="K16" t="str">
            <v>México</v>
          </cell>
          <cell r="L16" t="str">
            <v>(442) 2965250</v>
          </cell>
          <cell r="M16">
            <v>30</v>
          </cell>
          <cell r="N16" t="str">
            <v>18/06/2014</v>
          </cell>
        </row>
        <row r="17">
          <cell r="A17">
            <v>17</v>
          </cell>
          <cell r="B17" t="str">
            <v>Arbomex, S.A. de C.V.</v>
          </cell>
          <cell r="C17" t="str">
            <v>ARB820712U77</v>
          </cell>
          <cell r="D17" t="str">
            <v>Norte 7</v>
          </cell>
          <cell r="F17">
            <v>102</v>
          </cell>
          <cell r="G17" t="str">
            <v>Cd. Industrial</v>
          </cell>
          <cell r="H17">
            <v>38010</v>
          </cell>
          <cell r="I17" t="str">
            <v>Celaya</v>
          </cell>
          <cell r="J17" t="str">
            <v>Guanajuato</v>
          </cell>
          <cell r="K17" t="str">
            <v>México</v>
          </cell>
          <cell r="L17" t="str">
            <v>(461) 5986500</v>
          </cell>
          <cell r="M17">
            <v>30</v>
          </cell>
        </row>
        <row r="18">
          <cell r="A18">
            <v>18</v>
          </cell>
          <cell r="B18" t="str">
            <v>Aromáticos Químicos Potosinos, S.A. de C.V.</v>
          </cell>
          <cell r="C18" t="str">
            <v>SME070509L1A</v>
          </cell>
          <cell r="D18" t="str">
            <v>Eje 118</v>
          </cell>
          <cell r="F18">
            <v>225</v>
          </cell>
          <cell r="G18" t="str">
            <v>Zona Industrial</v>
          </cell>
          <cell r="H18">
            <v>78395</v>
          </cell>
          <cell r="I18" t="str">
            <v>San Luis Potosí</v>
          </cell>
          <cell r="J18" t="str">
            <v>San Luis Potosí</v>
          </cell>
          <cell r="K18" t="str">
            <v>México</v>
          </cell>
          <cell r="L18" t="str">
            <v>(444) 8245294</v>
          </cell>
          <cell r="M18">
            <v>30</v>
          </cell>
        </row>
        <row r="19">
          <cell r="A19">
            <v>19</v>
          </cell>
          <cell r="B19" t="str">
            <v>Artlux, S.A. de C.V.</v>
          </cell>
          <cell r="C19" t="str">
            <v>ART8503051P5</v>
          </cell>
          <cell r="D19" t="str">
            <v>Acceso II, Calle 3</v>
          </cell>
          <cell r="E19" t="str">
            <v>A</v>
          </cell>
          <cell r="F19">
            <v>26</v>
          </cell>
          <cell r="G19" t="str">
            <v>Parque Industrial Benito Juárez</v>
          </cell>
          <cell r="H19">
            <v>76120</v>
          </cell>
          <cell r="I19" t="str">
            <v>Querétaro</v>
          </cell>
          <cell r="J19" t="str">
            <v>Querétaro</v>
          </cell>
          <cell r="K19" t="str">
            <v>México</v>
          </cell>
          <cell r="L19" t="str">
            <v>(442) 3093200</v>
          </cell>
          <cell r="M19">
            <v>0</v>
          </cell>
          <cell r="N19" t="str">
            <v>29/04/2015</v>
          </cell>
        </row>
        <row r="20">
          <cell r="A20">
            <v>20</v>
          </cell>
          <cell r="B20" t="str">
            <v>Asientos Esteban México, S.A. de C.V.</v>
          </cell>
          <cell r="C20" t="str">
            <v>AEM9910123D5</v>
          </cell>
          <cell r="D20" t="str">
            <v>Av. de las Misiones</v>
          </cell>
          <cell r="F20">
            <v>23</v>
          </cell>
          <cell r="G20" t="str">
            <v>Parque Industrial Bernardo Quintana</v>
          </cell>
          <cell r="H20">
            <v>76246</v>
          </cell>
          <cell r="I20" t="str">
            <v>Querétaro</v>
          </cell>
          <cell r="J20" t="str">
            <v>Querétaro</v>
          </cell>
          <cell r="K20" t="str">
            <v>México</v>
          </cell>
          <cell r="L20" t="str">
            <v>(442) 2215123</v>
          </cell>
          <cell r="M20">
            <v>30</v>
          </cell>
          <cell r="N20" t="str">
            <v>20/02/2015</v>
          </cell>
        </row>
        <row r="21">
          <cell r="A21">
            <v>21</v>
          </cell>
          <cell r="B21" t="str">
            <v>Auma SLP, San Luis Potosi  S.A. de C.V.</v>
          </cell>
          <cell r="D21" t="str">
            <v>Carretera San Luis Potosi-Matehuala Km. 11.1</v>
          </cell>
          <cell r="E21" t="str">
            <v>-</v>
          </cell>
          <cell r="F21" t="str">
            <v>S/N</v>
          </cell>
          <cell r="G21" t="str">
            <v>Soledad de Graciano Sánchez</v>
          </cell>
          <cell r="H21">
            <v>78439</v>
          </cell>
          <cell r="I21" t="str">
            <v>San Luis Potosí</v>
          </cell>
          <cell r="J21" t="str">
            <v>San Luis Potosí</v>
          </cell>
          <cell r="K21" t="str">
            <v>México</v>
          </cell>
          <cell r="L21" t="str">
            <v>(444) 1009200</v>
          </cell>
          <cell r="M21">
            <v>0</v>
          </cell>
        </row>
        <row r="22">
          <cell r="A22">
            <v>22</v>
          </cell>
          <cell r="B22" t="str">
            <v>Auma Tec, S.A  de C.V.</v>
          </cell>
          <cell r="D22" t="str">
            <v>Calle 2</v>
          </cell>
          <cell r="E22" t="str">
            <v>-</v>
          </cell>
          <cell r="F22">
            <v>35</v>
          </cell>
          <cell r="G22" t="str">
            <v>Parque Industrial Benito Juárez</v>
          </cell>
          <cell r="H22">
            <v>76120</v>
          </cell>
          <cell r="I22" t="str">
            <v>Querétaro</v>
          </cell>
          <cell r="J22" t="str">
            <v>Querétaro</v>
          </cell>
          <cell r="K22" t="str">
            <v>México</v>
          </cell>
          <cell r="L22" t="str">
            <v>(442) 2119661</v>
          </cell>
          <cell r="M22">
            <v>30</v>
          </cell>
          <cell r="N22" t="str">
            <v>25/02/2015</v>
          </cell>
        </row>
        <row r="23">
          <cell r="A23">
            <v>23</v>
          </cell>
          <cell r="B23" t="str">
            <v>Autoliv Steering Wheels México, S. de R.L. de C.V</v>
          </cell>
          <cell r="C23" t="str">
            <v>ASW010518IB7</v>
          </cell>
          <cell r="D23" t="str">
            <v>Av. El Tepeyac</v>
          </cell>
          <cell r="F23">
            <v>1360</v>
          </cell>
          <cell r="G23" t="str">
            <v>Parque Industrial El Tepeyac Chichimequillas</v>
          </cell>
          <cell r="H23">
            <v>76250</v>
          </cell>
          <cell r="I23" t="str">
            <v>El Marqués</v>
          </cell>
          <cell r="J23" t="str">
            <v>Querétaro</v>
          </cell>
          <cell r="K23" t="str">
            <v>México</v>
          </cell>
          <cell r="L23" t="str">
            <v>(442) 2781152</v>
          </cell>
          <cell r="M23">
            <v>30</v>
          </cell>
          <cell r="N23" t="str">
            <v>25/07/2014</v>
          </cell>
        </row>
        <row r="24">
          <cell r="A24">
            <v>24</v>
          </cell>
          <cell r="B24" t="str">
            <v>Automanufacturas de Querétaro, S.A. de C.V.</v>
          </cell>
          <cell r="C24" t="str">
            <v>BAM0510242U5</v>
          </cell>
          <cell r="D24" t="str">
            <v>Misión de Bucareli</v>
          </cell>
          <cell r="F24">
            <v>1</v>
          </cell>
          <cell r="G24" t="str">
            <v>Parque Industrial Bernardo Quintana</v>
          </cell>
          <cell r="H24">
            <v>76246</v>
          </cell>
          <cell r="I24" t="str">
            <v>El Marqués</v>
          </cell>
          <cell r="J24" t="str">
            <v>Querétaro</v>
          </cell>
          <cell r="K24" t="str">
            <v>México</v>
          </cell>
          <cell r="L24" t="str">
            <v>(442) 2215510</v>
          </cell>
          <cell r="M24">
            <v>30</v>
          </cell>
        </row>
        <row r="25">
          <cell r="A25">
            <v>25</v>
          </cell>
          <cell r="B25" t="str">
            <v>Automotive Lightening Rear Lamps México, S. de R.L. de C.V.</v>
          </cell>
          <cell r="C25" t="str">
            <v>CIE030623GQ8</v>
          </cell>
          <cell r="D25" t="str">
            <v>Av. Santa Rosa de Vitervo</v>
          </cell>
          <cell r="F25">
            <v>3</v>
          </cell>
          <cell r="G25" t="str">
            <v>Parque industrial Finsa</v>
          </cell>
          <cell r="H25">
            <v>76246</v>
          </cell>
          <cell r="I25" t="str">
            <v>Querétaro</v>
          </cell>
          <cell r="J25" t="str">
            <v>Querétaro</v>
          </cell>
          <cell r="K25" t="str">
            <v>México</v>
          </cell>
          <cell r="L25" t="str">
            <v>(442) 2963500</v>
          </cell>
          <cell r="M25">
            <v>30</v>
          </cell>
        </row>
        <row r="26">
          <cell r="A26">
            <v>26</v>
          </cell>
          <cell r="B26" t="str">
            <v>Bagher de México, S.A. de C.V.</v>
          </cell>
          <cell r="C26" t="str">
            <v>BME100202AH1</v>
          </cell>
          <cell r="D26" t="str">
            <v>Membrillo</v>
          </cell>
          <cell r="F26">
            <v>102</v>
          </cell>
          <cell r="G26" t="str">
            <v>Arboledas Gamitos</v>
          </cell>
          <cell r="H26">
            <v>76040</v>
          </cell>
          <cell r="I26" t="str">
            <v>Querétaro</v>
          </cell>
          <cell r="J26" t="str">
            <v>Querétaro</v>
          </cell>
          <cell r="K26" t="str">
            <v>México</v>
          </cell>
          <cell r="L26" t="str">
            <v>.</v>
          </cell>
          <cell r="M26">
            <v>30</v>
          </cell>
        </row>
        <row r="27">
          <cell r="A27">
            <v>27</v>
          </cell>
          <cell r="B27" t="str">
            <v>BOCAR, S.A. de C.V.</v>
          </cell>
          <cell r="C27" t="str">
            <v>BOC 810903877</v>
          </cell>
          <cell r="D27" t="str">
            <v>Cruz Verde</v>
          </cell>
          <cell r="E27" t="str">
            <v>1A</v>
          </cell>
          <cell r="F27">
            <v>169</v>
          </cell>
          <cell r="G27" t="str">
            <v>Los Reyes Coyoacan</v>
          </cell>
          <cell r="H27" t="str">
            <v>04330</v>
          </cell>
          <cell r="J27" t="str">
            <v>Distrito Federal</v>
          </cell>
          <cell r="K27" t="str">
            <v>México</v>
          </cell>
          <cell r="L27" t="str">
            <v>(55) 54222400</v>
          </cell>
          <cell r="M27">
            <v>30</v>
          </cell>
          <cell r="N27" t="str">
            <v>12/08/2014</v>
          </cell>
        </row>
        <row r="28">
          <cell r="A28">
            <v>28</v>
          </cell>
          <cell r="B28" t="str">
            <v>Brovedani Reme México, S.A. de C.V.</v>
          </cell>
          <cell r="C28" t="str">
            <v>BRM650913KV6</v>
          </cell>
          <cell r="D28" t="str">
            <v>Av. Industria de la Construcción</v>
          </cell>
          <cell r="F28">
            <v>411</v>
          </cell>
          <cell r="G28" t="str">
            <v>Parque Industrial Querétaro</v>
          </cell>
          <cell r="H28">
            <v>76220</v>
          </cell>
          <cell r="I28" t="str">
            <v>Santa Rosa Jáuregui</v>
          </cell>
          <cell r="J28" t="str">
            <v>Querétaro</v>
          </cell>
          <cell r="K28" t="str">
            <v>México</v>
          </cell>
          <cell r="L28" t="str">
            <v>(442) 2560300</v>
          </cell>
          <cell r="M28">
            <v>60</v>
          </cell>
          <cell r="N28" t="str">
            <v>15/04/2015</v>
          </cell>
        </row>
        <row r="29">
          <cell r="A29">
            <v>29</v>
          </cell>
          <cell r="B29" t="str">
            <v>Bticino de Mexico, S.A de C.V.</v>
          </cell>
          <cell r="D29" t="str">
            <v>Carretera 57 Querétaro - San Luis Potosí Km. 22.7</v>
          </cell>
          <cell r="G29" t="str">
            <v>Santa Rosa Jauregui</v>
          </cell>
          <cell r="H29">
            <v>76220</v>
          </cell>
          <cell r="I29" t="str">
            <v>Querétaro</v>
          </cell>
          <cell r="J29" t="str">
            <v>Querétaro</v>
          </cell>
          <cell r="K29" t="str">
            <v>México</v>
          </cell>
          <cell r="L29" t="str">
            <v>(442) 2380400 al 10</v>
          </cell>
          <cell r="M29">
            <v>30</v>
          </cell>
          <cell r="N29" t="str">
            <v>19/02/2015</v>
          </cell>
        </row>
        <row r="30">
          <cell r="A30">
            <v>30</v>
          </cell>
          <cell r="B30" t="str">
            <v>Calmet Industrial, S.A. de C.V.</v>
          </cell>
          <cell r="C30" t="str">
            <v>CIN100610LRA</v>
          </cell>
          <cell r="D30" t="str">
            <v>Lázaro Cárdenas</v>
          </cell>
          <cell r="F30">
            <v>1308</v>
          </cell>
          <cell r="G30" t="str">
            <v>Niño Artillero</v>
          </cell>
          <cell r="H30">
            <v>64280</v>
          </cell>
          <cell r="I30" t="str">
            <v>Monterrey</v>
          </cell>
          <cell r="J30" t="str">
            <v>Nuevo León</v>
          </cell>
          <cell r="K30" t="str">
            <v>México</v>
          </cell>
          <cell r="L30" t="str">
            <v>(83) 510368</v>
          </cell>
          <cell r="M30">
            <v>30</v>
          </cell>
          <cell r="N30" t="str">
            <v>06/05/2015</v>
          </cell>
        </row>
        <row r="31">
          <cell r="A31">
            <v>31</v>
          </cell>
          <cell r="B31" t="str">
            <v>Centro de Desarrollo en Instrumentación y Capacitación, S.C.</v>
          </cell>
          <cell r="C31" t="str">
            <v>CDE0705039V3</v>
          </cell>
          <cell r="D31" t="str">
            <v>Calle Niños Héroes</v>
          </cell>
          <cell r="F31">
            <v>264</v>
          </cell>
          <cell r="G31" t="str">
            <v>Lomas del Camichin</v>
          </cell>
          <cell r="H31">
            <v>45417</v>
          </cell>
          <cell r="I31" t="str">
            <v>Tonalá</v>
          </cell>
          <cell r="J31" t="str">
            <v>Jalisco</v>
          </cell>
          <cell r="K31" t="str">
            <v>México</v>
          </cell>
          <cell r="L31" t="str">
            <v>(33) 33349585</v>
          </cell>
          <cell r="M31">
            <v>30</v>
          </cell>
        </row>
        <row r="32">
          <cell r="A32">
            <v>32</v>
          </cell>
          <cell r="B32" t="str">
            <v>Centro de Investigaciones en Óptica, A.C.</v>
          </cell>
          <cell r="C32" t="str">
            <v>CIO8004181K5</v>
          </cell>
          <cell r="D32" t="str">
            <v>Loma del Bosque</v>
          </cell>
          <cell r="F32">
            <v>115</v>
          </cell>
          <cell r="G32" t="str">
            <v>Lomas del Campestre</v>
          </cell>
          <cell r="H32">
            <v>37150</v>
          </cell>
          <cell r="I32" t="str">
            <v>León</v>
          </cell>
          <cell r="J32" t="str">
            <v>Guanajuato</v>
          </cell>
          <cell r="K32" t="str">
            <v>México</v>
          </cell>
          <cell r="L32" t="str">
            <v>(477) 4414200</v>
          </cell>
          <cell r="M32">
            <v>30</v>
          </cell>
          <cell r="N32" t="str">
            <v>22/04/2015</v>
          </cell>
        </row>
        <row r="33">
          <cell r="A33">
            <v>33</v>
          </cell>
          <cell r="B33" t="str">
            <v>CIATEQ, A.C.</v>
          </cell>
          <cell r="C33" t="str">
            <v>CIA781109US4</v>
          </cell>
          <cell r="D33" t="str">
            <v>Av. del Retablo</v>
          </cell>
          <cell r="F33">
            <v>150</v>
          </cell>
          <cell r="G33" t="str">
            <v>Constituyentes Fovissste</v>
          </cell>
          <cell r="H33">
            <v>76150</v>
          </cell>
          <cell r="I33" t="str">
            <v>Querétaro</v>
          </cell>
          <cell r="J33" t="str">
            <v>Querétaro</v>
          </cell>
          <cell r="K33" t="str">
            <v>México</v>
          </cell>
          <cell r="L33" t="str">
            <v>(442) 1961500</v>
          </cell>
          <cell r="M33">
            <v>30</v>
          </cell>
        </row>
        <row r="34">
          <cell r="A34">
            <v>34</v>
          </cell>
          <cell r="B34" t="str">
            <v>Centro de Ingeniería y Desarrollo Industrial</v>
          </cell>
          <cell r="C34" t="str">
            <v>CID840309UG7</v>
          </cell>
          <cell r="D34" t="str">
            <v>Playa Pie de la Cuesta</v>
          </cell>
          <cell r="F34">
            <v>702</v>
          </cell>
          <cell r="G34" t="str">
            <v>Desarrollo San Pablo</v>
          </cell>
          <cell r="H34">
            <v>76130</v>
          </cell>
          <cell r="I34" t="str">
            <v>Querétaro</v>
          </cell>
          <cell r="J34" t="str">
            <v>Querétaro</v>
          </cell>
          <cell r="K34" t="str">
            <v>México</v>
          </cell>
          <cell r="L34" t="str">
            <v>(442) 2119800</v>
          </cell>
          <cell r="M34">
            <v>0</v>
          </cell>
          <cell r="N34" t="str">
            <v>07/04/2015</v>
          </cell>
        </row>
        <row r="35">
          <cell r="A35">
            <v>35</v>
          </cell>
          <cell r="B35" t="str">
            <v>Cimaltec, S.A. de C.V.</v>
          </cell>
          <cell r="C35" t="str">
            <v>CIM031031K88</v>
          </cell>
          <cell r="D35" t="str">
            <v>Espuela del Ferrocarril</v>
          </cell>
          <cell r="F35">
            <v>205</v>
          </cell>
          <cell r="G35" t="str">
            <v>Carrillo Puerto</v>
          </cell>
          <cell r="H35">
            <v>76138</v>
          </cell>
          <cell r="I35" t="str">
            <v>Querétaro</v>
          </cell>
          <cell r="J35" t="str">
            <v>Querétaro</v>
          </cell>
          <cell r="K35" t="str">
            <v>México</v>
          </cell>
          <cell r="L35" t="str">
            <v>(442) 2172618</v>
          </cell>
          <cell r="M35">
            <v>30</v>
          </cell>
        </row>
        <row r="36">
          <cell r="A36">
            <v>36</v>
          </cell>
          <cell r="B36" t="str">
            <v>Calibraciones e Instrumentos de Exactitud, S.A. de C.V.</v>
          </cell>
          <cell r="C36" t="str">
            <v>CIE030623GQ8</v>
          </cell>
          <cell r="D36" t="str">
            <v>Capulines</v>
          </cell>
          <cell r="E36" t="str">
            <v>Lote 29 Mz. 82</v>
          </cell>
          <cell r="G36" t="str">
            <v>Fraccionamiento Ojo de Agua</v>
          </cell>
          <cell r="H36">
            <v>55770</v>
          </cell>
          <cell r="I36" t="str">
            <v>Tecámac</v>
          </cell>
          <cell r="J36" t="str">
            <v>Estado de México</v>
          </cell>
          <cell r="K36" t="str">
            <v>México</v>
          </cell>
          <cell r="L36" t="str">
            <v>(55) 53415387</v>
          </cell>
          <cell r="M36">
            <v>30</v>
          </cell>
          <cell r="N36" t="str">
            <v>29/04/2015</v>
          </cell>
        </row>
        <row r="37">
          <cell r="A37">
            <v>37</v>
          </cell>
          <cell r="B37" t="str">
            <v>CNH Componentes, S.A. de C.V.</v>
          </cell>
          <cell r="C37" t="str">
            <v>CCO0309098N8</v>
          </cell>
          <cell r="D37" t="str">
            <v>Av. 5  de Febrero</v>
          </cell>
          <cell r="F37">
            <v>2117</v>
          </cell>
          <cell r="G37" t="str">
            <v>Zona Industrial Benito Juárez</v>
          </cell>
          <cell r="H37">
            <v>76130</v>
          </cell>
          <cell r="I37" t="str">
            <v>Querétaro</v>
          </cell>
          <cell r="J37" t="str">
            <v>Querétaro</v>
          </cell>
          <cell r="K37" t="str">
            <v>México</v>
          </cell>
          <cell r="L37" t="str">
            <v>(442) 2119100</v>
          </cell>
          <cell r="M37">
            <v>30</v>
          </cell>
          <cell r="N37" t="str">
            <v>21/04/2015</v>
          </cell>
          <cell r="O37" t="str">
            <v>JAIME BELLO</v>
          </cell>
        </row>
        <row r="38">
          <cell r="A38">
            <v>38</v>
          </cell>
          <cell r="B38" t="str">
            <v>Conductores Monterrey</v>
          </cell>
          <cell r="C38" t="str">
            <v>SMO560929522</v>
          </cell>
          <cell r="D38" t="str">
            <v>Av. Conductores</v>
          </cell>
          <cell r="F38">
            <v>505</v>
          </cell>
          <cell r="G38" t="str">
            <v>Constituyentes de Qro. Sec.3</v>
          </cell>
          <cell r="H38">
            <v>66490</v>
          </cell>
          <cell r="I38" t="str">
            <v>San Nicolás de los Garza</v>
          </cell>
          <cell r="J38" t="str">
            <v>Nuevo León</v>
          </cell>
          <cell r="K38" t="str">
            <v>México</v>
          </cell>
          <cell r="L38" t="str">
            <v>.</v>
          </cell>
          <cell r="M38">
            <v>30</v>
          </cell>
        </row>
        <row r="39">
          <cell r="A39">
            <v>39</v>
          </cell>
          <cell r="B39" t="str">
            <v>ContiTech Mexicana S.A. de C.V.</v>
          </cell>
          <cell r="C39" t="str">
            <v>CME990531HR4</v>
          </cell>
          <cell r="D39" t="str">
            <v>Av. Industrias</v>
          </cell>
          <cell r="F39">
            <v>3515</v>
          </cell>
          <cell r="G39" t="str">
            <v>Zona Industrial SLP</v>
          </cell>
          <cell r="H39">
            <v>78090</v>
          </cell>
          <cell r="I39" t="str">
            <v>San Luis Potosí</v>
          </cell>
          <cell r="J39" t="str">
            <v>San Luis Potosí</v>
          </cell>
          <cell r="K39" t="str">
            <v>México</v>
          </cell>
          <cell r="L39" t="str">
            <v>(444) 8269400</v>
          </cell>
          <cell r="M39">
            <v>45</v>
          </cell>
          <cell r="N39" t="str">
            <v>07/05/2015</v>
          </cell>
          <cell r="O39" t="str">
            <v>ERIK MEDRANO</v>
          </cell>
        </row>
        <row r="40">
          <cell r="A40">
            <v>40</v>
          </cell>
          <cell r="B40" t="str">
            <v>Apex Tool Group Manufacturing México, S. de R. L. de C.V.</v>
          </cell>
          <cell r="C40" t="str">
            <v>CTM990607US8</v>
          </cell>
          <cell r="D40" t="str">
            <v>Vialidad El Pueblito</v>
          </cell>
          <cell r="F40">
            <v>103</v>
          </cell>
          <cell r="G40" t="str">
            <v>Parque Industrial Querétaro</v>
          </cell>
          <cell r="H40">
            <v>76220</v>
          </cell>
          <cell r="I40" t="str">
            <v>Querétaro</v>
          </cell>
          <cell r="J40" t="str">
            <v>Querétaro</v>
          </cell>
          <cell r="K40" t="str">
            <v>México</v>
          </cell>
          <cell r="L40" t="str">
            <v>(442) 2113838</v>
          </cell>
          <cell r="M40">
            <v>30</v>
          </cell>
          <cell r="N40" t="str">
            <v>06/05/2015</v>
          </cell>
          <cell r="O40" t="str">
            <v>Viridiana.Zuniga@ApexToolGroup.com</v>
          </cell>
        </row>
        <row r="41">
          <cell r="A41">
            <v>41</v>
          </cell>
          <cell r="B41" t="str">
            <v>Diseño y Fabricaciones de Precision THOR, S.A de C.V.</v>
          </cell>
          <cell r="C41" t="str">
            <v>DFP9212099SA</v>
          </cell>
          <cell r="D41" t="str">
            <v>Av. Lazaro Cardenas Ote.</v>
          </cell>
          <cell r="F41">
            <v>914</v>
          </cell>
          <cell r="G41" t="str">
            <v>San Jerónimo Chicahualco</v>
          </cell>
          <cell r="H41">
            <v>52170</v>
          </cell>
          <cell r="I41" t="str">
            <v>Metepec</v>
          </cell>
          <cell r="J41" t="str">
            <v>Estado de México</v>
          </cell>
          <cell r="K41" t="str">
            <v>México</v>
          </cell>
          <cell r="L41" t="str">
            <v>(722) 211698</v>
          </cell>
          <cell r="M41">
            <v>30</v>
          </cell>
        </row>
        <row r="42">
          <cell r="A42">
            <v>42</v>
          </cell>
          <cell r="B42" t="str">
            <v>Dooremalen Industries México, S.A de C.V.</v>
          </cell>
          <cell r="C42" t="str">
            <v>DIM040728Q10</v>
          </cell>
          <cell r="D42" t="str">
            <v>La Noria</v>
          </cell>
          <cell r="F42">
            <v>110</v>
          </cell>
          <cell r="G42" t="str">
            <v>Parque Industrial Querétaro</v>
          </cell>
          <cell r="H42">
            <v>76220</v>
          </cell>
          <cell r="I42" t="str">
            <v>Querétaro</v>
          </cell>
          <cell r="J42" t="str">
            <v>Querétaro</v>
          </cell>
          <cell r="K42" t="str">
            <v>México</v>
          </cell>
          <cell r="L42" t="str">
            <v>(442) 2409172</v>
          </cell>
          <cell r="M42">
            <v>30</v>
          </cell>
          <cell r="N42" t="str">
            <v>19/01/2015</v>
          </cell>
        </row>
        <row r="43">
          <cell r="A43">
            <v>43</v>
          </cell>
          <cell r="B43" t="str">
            <v>E.G.O. Componentes Electrónicos, S.A. de C.V.</v>
          </cell>
          <cell r="C43" t="str">
            <v>ECE060801NH9</v>
          </cell>
          <cell r="D43" t="str">
            <v>Benito Juárez</v>
          </cell>
          <cell r="F43">
            <v>125</v>
          </cell>
          <cell r="G43" t="str">
            <v>Parque Industrial Querétaro</v>
          </cell>
          <cell r="H43">
            <v>76215</v>
          </cell>
          <cell r="I43" t="str">
            <v>Querétaro</v>
          </cell>
          <cell r="J43" t="str">
            <v>Querétaro</v>
          </cell>
          <cell r="K43" t="str">
            <v>México</v>
          </cell>
          <cell r="L43" t="str">
            <v>(442) 1534408</v>
          </cell>
          <cell r="M43">
            <v>30</v>
          </cell>
          <cell r="N43" t="str">
            <v>30/01/2015</v>
          </cell>
        </row>
        <row r="44">
          <cell r="A44">
            <v>44</v>
          </cell>
          <cell r="B44" t="str">
            <v>Eaton Technologies, S. de R.L. de C.V.</v>
          </cell>
          <cell r="C44" t="str">
            <v>ETE9603221A4</v>
          </cell>
          <cell r="D44" t="str">
            <v>Av. la Montaña</v>
          </cell>
          <cell r="F44">
            <v>128</v>
          </cell>
          <cell r="G44" t="str">
            <v>Parque Ind. Queretaro</v>
          </cell>
          <cell r="H44">
            <v>76220</v>
          </cell>
          <cell r="I44" t="str">
            <v>Santa Rosa Jáuregui</v>
          </cell>
          <cell r="J44" t="str">
            <v>Querétaro</v>
          </cell>
          <cell r="K44" t="str">
            <v>México</v>
          </cell>
          <cell r="L44" t="str">
            <v>(442) 2294900</v>
          </cell>
          <cell r="M44">
            <v>60</v>
          </cell>
          <cell r="N44" t="str">
            <v>05/05/2015</v>
          </cell>
          <cell r="Q44" t="str">
            <v>ELSA MTZ, MIGUEL GONZALEZ</v>
          </cell>
        </row>
        <row r="45">
          <cell r="A45">
            <v>45</v>
          </cell>
          <cell r="B45" t="str">
            <v>Eckerle de México, S.A. de C.V.</v>
          </cell>
          <cell r="C45" t="str">
            <v>EME0008313I1</v>
          </cell>
          <cell r="D45" t="str">
            <v>Calle Jurica</v>
          </cell>
          <cell r="F45">
            <v>121</v>
          </cell>
          <cell r="G45" t="str">
            <v>Parque Industrial Querétaro</v>
          </cell>
          <cell r="H45">
            <v>76220</v>
          </cell>
          <cell r="I45" t="str">
            <v>Santa Rosa Jáuregui</v>
          </cell>
          <cell r="J45" t="str">
            <v>Querétaro</v>
          </cell>
          <cell r="K45" t="str">
            <v>México</v>
          </cell>
          <cell r="L45" t="str">
            <v>(442) 2964400</v>
          </cell>
          <cell r="M45">
            <v>30</v>
          </cell>
          <cell r="N45" t="str">
            <v>17/04/2015</v>
          </cell>
        </row>
        <row r="46">
          <cell r="A46">
            <v>46</v>
          </cell>
          <cell r="B46" t="str">
            <v>Eika Mexico, S.A de C.V.</v>
          </cell>
          <cell r="C46" t="str">
            <v>EME031015C34</v>
          </cell>
          <cell r="D46" t="str">
            <v>Av. de las Misiones  Módulo 7, 3era sección</v>
          </cell>
          <cell r="F46">
            <v>10</v>
          </cell>
          <cell r="G46" t="str">
            <v>Parque Industrial Bernardo Quintana</v>
          </cell>
          <cell r="H46">
            <v>76246</v>
          </cell>
          <cell r="I46" t="str">
            <v>El Marqués</v>
          </cell>
          <cell r="J46" t="str">
            <v>Querétaro</v>
          </cell>
          <cell r="K46" t="str">
            <v>México</v>
          </cell>
          <cell r="L46" t="str">
            <v>(442) 2216494</v>
          </cell>
          <cell r="M46">
            <v>30</v>
          </cell>
        </row>
        <row r="47">
          <cell r="A47">
            <v>47</v>
          </cell>
          <cell r="B47" t="str">
            <v>EMZ Hanauer de México, S.A. de C.V.</v>
          </cell>
          <cell r="C47" t="str">
            <v>EHM040419R22</v>
          </cell>
          <cell r="D47" t="str">
            <v>Cto. El Marqués Sur</v>
          </cell>
          <cell r="F47">
            <v>3</v>
          </cell>
          <cell r="G47" t="str">
            <v>Parque Industrial El Marqués</v>
          </cell>
          <cell r="H47">
            <v>76246</v>
          </cell>
          <cell r="I47" t="str">
            <v>El Marqués</v>
          </cell>
          <cell r="J47" t="str">
            <v>Querétaro</v>
          </cell>
          <cell r="K47" t="str">
            <v>México</v>
          </cell>
          <cell r="L47" t="str">
            <v>(442) 2531010</v>
          </cell>
          <cell r="M47">
            <v>30</v>
          </cell>
        </row>
        <row r="48">
          <cell r="A48">
            <v>48</v>
          </cell>
          <cell r="B48" t="str">
            <v>Enrique Jimenez Rivas</v>
          </cell>
          <cell r="C48" t="str">
            <v>JIRE510114EE6</v>
          </cell>
          <cell r="D48" t="str">
            <v>Av. Las Américas</v>
          </cell>
          <cell r="E48" t="str">
            <v>3</v>
          </cell>
          <cell r="F48">
            <v>113</v>
          </cell>
          <cell r="G48" t="str">
            <v>Fracc. Las Americas</v>
          </cell>
          <cell r="H48">
            <v>20230</v>
          </cell>
          <cell r="I48" t="str">
            <v>Aguascalientes</v>
          </cell>
          <cell r="J48" t="str">
            <v>Aguascalientes</v>
          </cell>
          <cell r="K48" t="str">
            <v>México</v>
          </cell>
          <cell r="L48" t="str">
            <v>(449) 9160561</v>
          </cell>
          <cell r="M48">
            <v>30</v>
          </cell>
        </row>
        <row r="49">
          <cell r="A49">
            <v>49</v>
          </cell>
          <cell r="B49" t="str">
            <v>Entrada Group de México S. de R.L. de C.V.</v>
          </cell>
          <cell r="C49" t="str">
            <v>EGM0303257J1</v>
          </cell>
          <cell r="D49" t="str">
            <v>Carr Fresnillo Plateros Km 2 s/n</v>
          </cell>
          <cell r="F49" t="str">
            <v>S/N</v>
          </cell>
          <cell r="G49" t="str">
            <v>Parque Ind Fresnillo</v>
          </cell>
          <cell r="H49">
            <v>99059</v>
          </cell>
          <cell r="I49" t="str">
            <v>Fresnillo</v>
          </cell>
          <cell r="J49" t="str">
            <v>Zac</v>
          </cell>
          <cell r="K49" t="str">
            <v>México</v>
          </cell>
          <cell r="L49" t="str">
            <v>(493) 9358093</v>
          </cell>
          <cell r="M49">
            <v>30</v>
          </cell>
          <cell r="N49" t="str">
            <v>28/04/2015</v>
          </cell>
        </row>
        <row r="50">
          <cell r="A50">
            <v>50</v>
          </cell>
          <cell r="B50" t="str">
            <v>Erreka Mex, S.A. de C.V.</v>
          </cell>
          <cell r="C50" t="str">
            <v>EME010206EH4</v>
          </cell>
          <cell r="D50" t="str">
            <v>Av. Santa Rosa de Viterbo</v>
          </cell>
          <cell r="E50" t="str">
            <v>Lote 9, Mz. II</v>
          </cell>
          <cell r="F50">
            <v>11</v>
          </cell>
          <cell r="G50" t="str">
            <v>Parque Industrial Finsa</v>
          </cell>
          <cell r="H50">
            <v>76246</v>
          </cell>
          <cell r="I50" t="str">
            <v>El Marqués</v>
          </cell>
          <cell r="J50" t="str">
            <v>Querétaro</v>
          </cell>
          <cell r="K50" t="str">
            <v>México</v>
          </cell>
          <cell r="L50" t="str">
            <v>(442) 2216080</v>
          </cell>
          <cell r="M50">
            <v>30</v>
          </cell>
          <cell r="N50" t="str">
            <v>20/03/2015</v>
          </cell>
        </row>
        <row r="51">
          <cell r="A51">
            <v>51</v>
          </cell>
          <cell r="B51" t="str">
            <v>Excoeng México, S. de R.L. de C.V.</v>
          </cell>
          <cell r="C51" t="str">
            <v>EME080218I87</v>
          </cell>
          <cell r="D51" t="str">
            <v>Av. Industria de la Transformación</v>
          </cell>
          <cell r="E51" t="str">
            <v>Lote 2 Mz. 1</v>
          </cell>
          <cell r="F51">
            <v>652</v>
          </cell>
          <cell r="G51" t="str">
            <v>Parque Industrial Querétaro</v>
          </cell>
          <cell r="H51">
            <v>76220</v>
          </cell>
          <cell r="I51" t="str">
            <v>Santa Rosa Jáuregui</v>
          </cell>
          <cell r="J51" t="str">
            <v>Querétaro</v>
          </cell>
          <cell r="K51" t="str">
            <v>México</v>
          </cell>
          <cell r="L51" t="str">
            <v>(442) 2409416</v>
          </cell>
          <cell r="M51">
            <v>30</v>
          </cell>
          <cell r="N51" t="str">
            <v>15/04/2015</v>
          </cell>
        </row>
        <row r="52">
          <cell r="A52">
            <v>52</v>
          </cell>
          <cell r="B52" t="str">
            <v>Fisher Controles de Mexico, S.A. de C.V.</v>
          </cell>
          <cell r="C52" t="str">
            <v>FCM8601159X6</v>
          </cell>
          <cell r="D52" t="str">
            <v>Industrias Químicas</v>
          </cell>
          <cell r="F52">
            <v>203</v>
          </cell>
          <cell r="G52" t="str">
            <v>Zona Industrial</v>
          </cell>
          <cell r="H52">
            <v>50071</v>
          </cell>
          <cell r="I52" t="str">
            <v>Toluca</v>
          </cell>
          <cell r="J52" t="str">
            <v>Estado de México</v>
          </cell>
          <cell r="K52" t="str">
            <v>México</v>
          </cell>
          <cell r="L52" t="str">
            <v>(722) 2799863</v>
          </cell>
          <cell r="M52">
            <v>60</v>
          </cell>
          <cell r="N52" t="str">
            <v>28/05/2014</v>
          </cell>
          <cell r="P52" t="str">
            <v>LORENA BARRETO</v>
          </cell>
        </row>
        <row r="53">
          <cell r="A53">
            <v>53</v>
          </cell>
          <cell r="B53" t="str">
            <v>Fisher Mexicana, S.A. de C.V.</v>
          </cell>
          <cell r="C53" t="str">
            <v>FME9112185Z1</v>
          </cell>
          <cell r="D53" t="str">
            <v>Eje 124</v>
          </cell>
          <cell r="F53">
            <v>115</v>
          </cell>
          <cell r="G53" t="str">
            <v>Zona Industrial del Potosí</v>
          </cell>
          <cell r="H53">
            <v>78090</v>
          </cell>
          <cell r="I53" t="str">
            <v>San Luis Potosí</v>
          </cell>
          <cell r="J53" t="str">
            <v>San Luis Potosí</v>
          </cell>
          <cell r="K53" t="str">
            <v>México</v>
          </cell>
          <cell r="L53" t="str">
            <v>(444) 8265060</v>
          </cell>
          <cell r="M53">
            <v>30</v>
          </cell>
        </row>
        <row r="54">
          <cell r="A54">
            <v>54</v>
          </cell>
          <cell r="B54" t="str">
            <v>Industrias Michelin, S.A. de C.V.</v>
          </cell>
          <cell r="C54" t="str">
            <v>IMI9709082MS</v>
          </cell>
          <cell r="D54" t="str">
            <v>Av. 5  de Febrero</v>
          </cell>
          <cell r="E54" t="str">
            <v>A</v>
          </cell>
          <cell r="F54">
            <v>2113</v>
          </cell>
          <cell r="G54" t="str">
            <v>Zona Industrial Benito Juárez</v>
          </cell>
          <cell r="H54">
            <v>76120</v>
          </cell>
          <cell r="I54" t="str">
            <v>Querétaro</v>
          </cell>
          <cell r="J54" t="str">
            <v>Querétaro</v>
          </cell>
          <cell r="K54" t="str">
            <v>México</v>
          </cell>
          <cell r="L54" t="str">
            <v>(442) 2961886</v>
          </cell>
          <cell r="M54">
            <v>30</v>
          </cell>
        </row>
        <row r="55">
          <cell r="A55">
            <v>55</v>
          </cell>
          <cell r="B55" t="str">
            <v>Fumaq, S.A. de C.V.</v>
          </cell>
          <cell r="C55" t="str">
            <v>FUM951124FJ9</v>
          </cell>
          <cell r="D55" t="str">
            <v>Calle Morelos Piso 1</v>
          </cell>
          <cell r="F55">
            <v>191</v>
          </cell>
          <cell r="G55" t="str">
            <v>Centro</v>
          </cell>
          <cell r="H55">
            <v>76000</v>
          </cell>
          <cell r="I55" t="str">
            <v>Querétaro</v>
          </cell>
          <cell r="J55" t="str">
            <v>Querétaro</v>
          </cell>
          <cell r="K55" t="str">
            <v>México</v>
          </cell>
          <cell r="L55" t="str">
            <v>(413) 2420672</v>
          </cell>
          <cell r="M55">
            <v>30</v>
          </cell>
          <cell r="N55" t="str">
            <v>20/10/2014</v>
          </cell>
        </row>
        <row r="56">
          <cell r="A56">
            <v>56</v>
          </cell>
          <cell r="B56" t="str">
            <v>Genesis Alliance Solutions, S.  de R.L.  de C.V.</v>
          </cell>
          <cell r="C56" t="str">
            <v>GAS131029767</v>
          </cell>
          <cell r="D56" t="str">
            <v>Misión de Bucarelli</v>
          </cell>
          <cell r="F56">
            <v>3</v>
          </cell>
          <cell r="G56" t="str">
            <v>Parque Industrial Bernardo Quintana</v>
          </cell>
          <cell r="H56">
            <v>76246</v>
          </cell>
          <cell r="I56" t="str">
            <v>El Marqués</v>
          </cell>
          <cell r="J56" t="str">
            <v>Querétaro</v>
          </cell>
          <cell r="K56" t="str">
            <v>México</v>
          </cell>
          <cell r="L56" t="str">
            <v>(442) 2215831</v>
          </cell>
          <cell r="M56">
            <v>30</v>
          </cell>
          <cell r="N56" t="str">
            <v>09/03/2015</v>
          </cell>
        </row>
        <row r="57">
          <cell r="A57">
            <v>57</v>
          </cell>
          <cell r="B57" t="str">
            <v>Gerresheimer Queretaro, S.A.</v>
          </cell>
          <cell r="C57" t="str">
            <v>GQU381122UF6</v>
          </cell>
          <cell r="D57" t="str">
            <v>Coahuila</v>
          </cell>
          <cell r="F57">
            <v>9</v>
          </cell>
          <cell r="G57" t="str">
            <v>Zona Industrial Benito Juárez</v>
          </cell>
          <cell r="H57">
            <v>76120</v>
          </cell>
          <cell r="I57" t="str">
            <v>Querétaro</v>
          </cell>
          <cell r="J57" t="str">
            <v>Querétaro</v>
          </cell>
          <cell r="K57" t="str">
            <v>México</v>
          </cell>
          <cell r="L57" t="str">
            <v>(442) 4411105</v>
          </cell>
          <cell r="M57">
            <v>30</v>
          </cell>
          <cell r="N57" t="str">
            <v>22/04/2014</v>
          </cell>
        </row>
        <row r="58">
          <cell r="A58">
            <v>58</v>
          </cell>
          <cell r="B58" t="str">
            <v>GETRAG Transmission Manufacturing de Mexico, S.A. de C.V.</v>
          </cell>
          <cell r="C58" t="str">
            <v>GTM070202BWA</v>
          </cell>
          <cell r="D58" t="str">
            <v>Av. Rio San Lorenzo, Carretera Panamericana km 125</v>
          </cell>
          <cell r="F58">
            <v>1475</v>
          </cell>
          <cell r="G58" t="str">
            <v>Parque Industrial Castro del Río</v>
          </cell>
          <cell r="H58">
            <v>36810</v>
          </cell>
          <cell r="I58" t="str">
            <v>Irapuato</v>
          </cell>
          <cell r="J58" t="str">
            <v>Guanajuato</v>
          </cell>
          <cell r="K58" t="str">
            <v>México</v>
          </cell>
          <cell r="L58" t="str">
            <v>(462) 1662040</v>
          </cell>
          <cell r="M58">
            <v>30</v>
          </cell>
          <cell r="N58" t="str">
            <v>26/02/2015</v>
          </cell>
        </row>
        <row r="59">
          <cell r="A59">
            <v>59</v>
          </cell>
          <cell r="B59" t="str">
            <v>Grammer Automotive Puebla, S.A. de  C.V.</v>
          </cell>
          <cell r="C59" t="str">
            <v>GAP9801082RA</v>
          </cell>
          <cell r="D59" t="str">
            <v>Av. de la Luz Acceso III</v>
          </cell>
          <cell r="E59" t="str">
            <v>Bodegas 1 y 2</v>
          </cell>
          <cell r="F59">
            <v>24</v>
          </cell>
          <cell r="G59" t="str">
            <v>Parque Industrial Benito Juárez</v>
          </cell>
          <cell r="H59">
            <v>76120</v>
          </cell>
          <cell r="I59" t="str">
            <v>Querétaro</v>
          </cell>
          <cell r="J59" t="str">
            <v>Querétaro</v>
          </cell>
          <cell r="K59" t="str">
            <v>México</v>
          </cell>
          <cell r="L59" t="str">
            <v>(442) 2384400</v>
          </cell>
          <cell r="M59">
            <v>30</v>
          </cell>
          <cell r="N59" t="str">
            <v>08/11/2013</v>
          </cell>
        </row>
        <row r="60">
          <cell r="A60">
            <v>60</v>
          </cell>
          <cell r="B60" t="str">
            <v>Grupo Industrial Morgan, S.A de C.V.</v>
          </cell>
          <cell r="C60" t="str">
            <v>GIM-890920-8VA</v>
          </cell>
          <cell r="D60" t="str">
            <v>Cerrada de la Paz</v>
          </cell>
          <cell r="F60">
            <v>101</v>
          </cell>
          <cell r="G60" t="str">
            <v>Fracc. Ind. La Paz</v>
          </cell>
          <cell r="H60">
            <v>42092</v>
          </cell>
          <cell r="I60" t="str">
            <v>Pachuca</v>
          </cell>
          <cell r="J60" t="str">
            <v>Hidalgo</v>
          </cell>
          <cell r="K60" t="str">
            <v>México</v>
          </cell>
          <cell r="L60" t="str">
            <v>(712) 1221322</v>
          </cell>
          <cell r="M60">
            <v>0</v>
          </cell>
        </row>
        <row r="61">
          <cell r="A61">
            <v>61</v>
          </cell>
          <cell r="B61" t="str">
            <v>Hatch Stamping de México, S. de R.L. de C.V.</v>
          </cell>
          <cell r="C61" t="str">
            <v>HSM040902KM8</v>
          </cell>
          <cell r="D61" t="str">
            <v>Circuito El Marqués Sur</v>
          </cell>
          <cell r="F61">
            <v>10</v>
          </cell>
          <cell r="G61" t="str">
            <v>Parque Industrial El Marqués</v>
          </cell>
          <cell r="H61">
            <v>76246</v>
          </cell>
          <cell r="I61" t="str">
            <v>Querétaro</v>
          </cell>
          <cell r="J61" t="str">
            <v>Querétaro</v>
          </cell>
          <cell r="K61" t="str">
            <v>México</v>
          </cell>
          <cell r="L61" t="str">
            <v>(442) 2531060</v>
          </cell>
          <cell r="M61">
            <v>30</v>
          </cell>
          <cell r="N61" t="str">
            <v>25/07/2014</v>
          </cell>
        </row>
        <row r="62">
          <cell r="A62">
            <v>62</v>
          </cell>
          <cell r="B62" t="str">
            <v>Hella Automotive México, S.A de C.V.</v>
          </cell>
          <cell r="C62" t="str">
            <v>EOP640608I13</v>
          </cell>
          <cell r="D62" t="str">
            <v>Priv. Cumbres de Acultzingo</v>
          </cell>
          <cell r="F62">
            <v>202</v>
          </cell>
          <cell r="G62" t="str">
            <v>Fracc. Los Pirules</v>
          </cell>
          <cell r="H62">
            <v>54040</v>
          </cell>
          <cell r="I62" t="str">
            <v>Tlalnepantla de Baz</v>
          </cell>
          <cell r="J62" t="str">
            <v>Estado de México</v>
          </cell>
          <cell r="K62" t="str">
            <v>México</v>
          </cell>
          <cell r="L62" t="str">
            <v>(419) 1988104</v>
          </cell>
          <cell r="M62">
            <v>50</v>
          </cell>
          <cell r="N62" t="str">
            <v>28/01/2015</v>
          </cell>
        </row>
        <row r="63">
          <cell r="A63">
            <v>63</v>
          </cell>
          <cell r="B63" t="str">
            <v>Norgren Manufacturing de México, S.A. de C.V.</v>
          </cell>
          <cell r="C63" t="str">
            <v>NMM0308145E9</v>
          </cell>
          <cell r="D63" t="str">
            <v>Av. La Montaña</v>
          </cell>
          <cell r="F63">
            <v>120</v>
          </cell>
          <cell r="G63" t="str">
            <v>Parque Industrial Querétaro</v>
          </cell>
          <cell r="H63">
            <v>76220</v>
          </cell>
          <cell r="I63" t="str">
            <v>Santa Rosa Jáuregui</v>
          </cell>
          <cell r="J63" t="str">
            <v>Querétaro</v>
          </cell>
          <cell r="K63" t="str">
            <v>México</v>
          </cell>
          <cell r="L63" t="str">
            <v>(442) 2295006</v>
          </cell>
          <cell r="M63">
            <v>60</v>
          </cell>
        </row>
        <row r="64">
          <cell r="A64">
            <v>64</v>
          </cell>
          <cell r="B64" t="str">
            <v>Soluciones de Metrología, S.A. de C.V.</v>
          </cell>
          <cell r="C64" t="str">
            <v>SME001030NFA</v>
          </cell>
          <cell r="D64" t="str">
            <v>Padre Mier</v>
          </cell>
          <cell r="F64">
            <v>306</v>
          </cell>
          <cell r="G64" t="str">
            <v>Fracc. Guadalupe Victoria</v>
          </cell>
          <cell r="H64">
            <v>66050</v>
          </cell>
          <cell r="I64" t="str">
            <v>Escobedo</v>
          </cell>
          <cell r="J64" t="str">
            <v>Nuevo León</v>
          </cell>
          <cell r="K64" t="str">
            <v>México</v>
          </cell>
          <cell r="L64" t="str">
            <v>.</v>
          </cell>
          <cell r="M64">
            <v>30</v>
          </cell>
          <cell r="N64" t="str">
            <v>08/11/2013</v>
          </cell>
        </row>
        <row r="65">
          <cell r="A65">
            <v>65</v>
          </cell>
          <cell r="B65" t="str">
            <v>ThyssenKrupp System Engineering, S.A. de C.V.</v>
          </cell>
          <cell r="C65" t="str">
            <v>TSE990609LW2</v>
          </cell>
          <cell r="D65" t="str">
            <v>Av. del Marqués</v>
          </cell>
          <cell r="E65" t="str">
            <v>Nave A</v>
          </cell>
          <cell r="F65">
            <v>36</v>
          </cell>
          <cell r="G65" t="str">
            <v>Parque Industrial Bernardo Quintana</v>
          </cell>
          <cell r="H65">
            <v>76246</v>
          </cell>
          <cell r="I65" t="str">
            <v>El Marqués</v>
          </cell>
          <cell r="J65" t="str">
            <v>Querétaro</v>
          </cell>
          <cell r="K65" t="str">
            <v>México</v>
          </cell>
          <cell r="L65" t="str">
            <v>(442) 1924000</v>
          </cell>
          <cell r="M65">
            <v>30</v>
          </cell>
        </row>
        <row r="66">
          <cell r="A66">
            <v>66</v>
          </cell>
          <cell r="B66" t="str">
            <v>Safran Aircraft Engines México S.A. de C.V.</v>
          </cell>
          <cell r="D66" t="str">
            <v>Carretera Estatal 200 Km. 22</v>
          </cell>
          <cell r="E66" t="str">
            <v>B</v>
          </cell>
          <cell r="F66">
            <v>547</v>
          </cell>
          <cell r="G66" t="str">
            <v>Parque Aeroespacial Querétaro</v>
          </cell>
          <cell r="H66">
            <v>76278</v>
          </cell>
          <cell r="I66" t="str">
            <v>Colón</v>
          </cell>
          <cell r="J66" t="str">
            <v>Querétaro</v>
          </cell>
          <cell r="K66" t="str">
            <v>México</v>
          </cell>
          <cell r="L66" t="str">
            <v>(442) 1533915</v>
          </cell>
          <cell r="M66">
            <v>30</v>
          </cell>
          <cell r="N66" t="str">
            <v>05/05/2015</v>
          </cell>
          <cell r="O66" t="str">
            <v>SNECMA MÉXICO</v>
          </cell>
        </row>
        <row r="67">
          <cell r="A67">
            <v>67</v>
          </cell>
          <cell r="B67" t="str">
            <v>Sam Won México, S.A de C.V.</v>
          </cell>
          <cell r="C67" t="str">
            <v>SWM080522722</v>
          </cell>
          <cell r="D67" t="str">
            <v>Av. Benito Juárez</v>
          </cell>
          <cell r="E67" t="str">
            <v xml:space="preserve"> Edificio B Lot</v>
          </cell>
          <cell r="F67">
            <v>121</v>
          </cell>
          <cell r="G67" t="str">
            <v>Parque Industrial Querétaro</v>
          </cell>
          <cell r="H67">
            <v>76220</v>
          </cell>
          <cell r="I67" t="str">
            <v>Santa Rosa Jáuregui</v>
          </cell>
          <cell r="J67" t="str">
            <v>Querétaro</v>
          </cell>
          <cell r="K67" t="str">
            <v>México</v>
          </cell>
          <cell r="L67" t="str">
            <v>(442) 2409383</v>
          </cell>
          <cell r="M67">
            <v>30</v>
          </cell>
        </row>
        <row r="68">
          <cell r="A68">
            <v>68</v>
          </cell>
          <cell r="B68" t="str">
            <v>IMS GEAR, S.A. de C.V. (BU QT01)</v>
          </cell>
          <cell r="C68" t="str">
            <v>-</v>
          </cell>
          <cell r="D68" t="str">
            <v>Circuito El Marqués Norte</v>
          </cell>
          <cell r="E68" t="str">
            <v>-</v>
          </cell>
          <cell r="F68">
            <v>2</v>
          </cell>
          <cell r="G68" t="str">
            <v>Parque Industrial El Marqués</v>
          </cell>
          <cell r="H68">
            <v>76246</v>
          </cell>
          <cell r="I68" t="str">
            <v>El Marqués</v>
          </cell>
          <cell r="J68" t="str">
            <v>Querétaro</v>
          </cell>
          <cell r="K68" t="str">
            <v>México</v>
          </cell>
          <cell r="L68" t="str">
            <v>(442) 2530100</v>
          </cell>
          <cell r="M68">
            <v>30</v>
          </cell>
          <cell r="N68" t="str">
            <v>23/09/2014</v>
          </cell>
        </row>
        <row r="69">
          <cell r="A69">
            <v>69</v>
          </cell>
          <cell r="B69" t="str">
            <v>Madrigal Padilla Ricardo Gerardo</v>
          </cell>
          <cell r="C69" t="str">
            <v>MAPR600915UI9</v>
          </cell>
          <cell r="D69" t="str">
            <v>Vivero del Retiro</v>
          </cell>
          <cell r="F69">
            <v>120</v>
          </cell>
          <cell r="G69" t="str">
            <v>Fracc. Casa Blanca</v>
          </cell>
          <cell r="H69">
            <v>20297</v>
          </cell>
          <cell r="I69" t="str">
            <v>Aguascalientes</v>
          </cell>
          <cell r="J69" t="str">
            <v>Aguascalientes</v>
          </cell>
          <cell r="K69" t="str">
            <v>México</v>
          </cell>
          <cell r="L69" t="str">
            <v>(449) 9730450</v>
          </cell>
          <cell r="M69">
            <v>0</v>
          </cell>
        </row>
        <row r="70">
          <cell r="A70">
            <v>70</v>
          </cell>
          <cell r="B70" t="str">
            <v>Formación y Manufacturas Internacionales, S.A. de C.V.</v>
          </cell>
          <cell r="C70" t="str">
            <v>FMI090313V79</v>
          </cell>
          <cell r="D70" t="str">
            <v>Yacatas 86</v>
          </cell>
          <cell r="E70" t="str">
            <v>B</v>
          </cell>
          <cell r="F70" t="str">
            <v>Piso 2</v>
          </cell>
          <cell r="G70" t="str">
            <v>Narvarte Poniente</v>
          </cell>
          <cell r="H70">
            <v>3020</v>
          </cell>
          <cell r="I70" t="str">
            <v>Del. Benito Juárez</v>
          </cell>
          <cell r="J70" t="str">
            <v>Distrito Federal</v>
          </cell>
          <cell r="K70" t="str">
            <v>México</v>
          </cell>
          <cell r="M70">
            <v>30</v>
          </cell>
          <cell r="N70" t="str">
            <v>20/04/2015</v>
          </cell>
        </row>
        <row r="71">
          <cell r="A71">
            <v>71</v>
          </cell>
          <cell r="B71" t="str">
            <v>Servicios de Ingenieria Industrial y Outsourcing, S.A. de C.V.</v>
          </cell>
          <cell r="C71" t="str">
            <v>SII040531KB5</v>
          </cell>
          <cell r="D71" t="str">
            <v>Boulevard Díaz Ordaz</v>
          </cell>
          <cell r="E71" t="str">
            <v>Piso 102 2 A</v>
          </cell>
          <cell r="F71">
            <v>1370</v>
          </cell>
          <cell r="G71" t="str">
            <v>Jardines de Irapuato</v>
          </cell>
          <cell r="H71">
            <v>36660</v>
          </cell>
          <cell r="I71" t="str">
            <v>Irapuato</v>
          </cell>
          <cell r="J71" t="str">
            <v>Guanajuato</v>
          </cell>
          <cell r="K71" t="str">
            <v>México</v>
          </cell>
          <cell r="L71" t="str">
            <v>(461) 6090863</v>
          </cell>
          <cell r="M71">
            <v>15</v>
          </cell>
          <cell r="N71" t="str">
            <v>18/12/2014</v>
          </cell>
        </row>
        <row r="72">
          <cell r="A72">
            <v>72</v>
          </cell>
          <cell r="B72" t="str">
            <v>Manufactura Automotriz Lehvi, S.A. de C.V.</v>
          </cell>
          <cell r="C72" t="str">
            <v>MAL990719TV8</v>
          </cell>
          <cell r="D72" t="str">
            <v>Calle 5 de Febrero</v>
          </cell>
          <cell r="E72" t="str">
            <v>Lote 7</v>
          </cell>
          <cell r="G72" t="str">
            <v>Los Cues</v>
          </cell>
          <cell r="H72">
            <v>76970</v>
          </cell>
          <cell r="I72" t="str">
            <v>Huimilpan</v>
          </cell>
          <cell r="J72" t="str">
            <v>Querétaro, CP 76970</v>
          </cell>
          <cell r="K72" t="str">
            <v>México</v>
          </cell>
          <cell r="L72" t="str">
            <v>(448) 2921006</v>
          </cell>
          <cell r="M72">
            <v>0</v>
          </cell>
        </row>
        <row r="73">
          <cell r="A73">
            <v>73</v>
          </cell>
          <cell r="B73" t="str">
            <v>Dana de Mexico Corporación, S. de R.L. de C.V.  /  C. Componentes</v>
          </cell>
          <cell r="C73" t="str">
            <v>DMC750410C41</v>
          </cell>
          <cell r="D73" t="str">
            <v>Acceso III</v>
          </cell>
          <cell r="F73">
            <v>7</v>
          </cell>
          <cell r="G73" t="str">
            <v>Parque Industrial Benito Juárez</v>
          </cell>
          <cell r="H73">
            <v>76120</v>
          </cell>
          <cell r="I73" t="str">
            <v>Querétaro</v>
          </cell>
          <cell r="J73" t="str">
            <v>Querétaro</v>
          </cell>
          <cell r="K73" t="str">
            <v>México</v>
          </cell>
          <cell r="L73" t="str">
            <v>(442) 2117206</v>
          </cell>
          <cell r="M73">
            <v>60</v>
          </cell>
          <cell r="N73" t="str">
            <v>06/04/2015</v>
          </cell>
        </row>
        <row r="74">
          <cell r="A74">
            <v>74</v>
          </cell>
          <cell r="B74" t="str">
            <v>Promegi, S.A. de C.V.</v>
          </cell>
          <cell r="C74" t="str">
            <v>PRO97060597A</v>
          </cell>
          <cell r="D74" t="str">
            <v>Acceso IV</v>
          </cell>
          <cell r="E74" t="str">
            <v>Bodega JKL</v>
          </cell>
          <cell r="F74">
            <v>31</v>
          </cell>
          <cell r="G74" t="str">
            <v>Zona Industrial Benito Juárez</v>
          </cell>
          <cell r="H74">
            <v>76120</v>
          </cell>
          <cell r="I74" t="str">
            <v>Querétaro</v>
          </cell>
          <cell r="J74" t="str">
            <v>Querétaro</v>
          </cell>
          <cell r="K74" t="str">
            <v>México</v>
          </cell>
          <cell r="L74" t="str">
            <v>(442) 2980507</v>
          </cell>
          <cell r="M74">
            <v>30</v>
          </cell>
          <cell r="N74" t="str">
            <v>08/05/2015</v>
          </cell>
        </row>
        <row r="75">
          <cell r="A75">
            <v>75</v>
          </cell>
          <cell r="B75" t="str">
            <v>Bombardier Aerospace México, S.A. de C.V.</v>
          </cell>
          <cell r="C75" t="str">
            <v>BAM0510242U5</v>
          </cell>
          <cell r="D75" t="str">
            <v>Av. Retorno El Marqués</v>
          </cell>
          <cell r="F75" t="str">
            <v>4F</v>
          </cell>
          <cell r="G75" t="str">
            <v>Parque Industrial El Marqués</v>
          </cell>
          <cell r="H75">
            <v>76246</v>
          </cell>
          <cell r="I75" t="str">
            <v>El Marqués</v>
          </cell>
          <cell r="J75" t="str">
            <v>Querétaro</v>
          </cell>
          <cell r="K75" t="str">
            <v>México</v>
          </cell>
          <cell r="L75" t="str">
            <v>(442)1925900</v>
          </cell>
          <cell r="M75">
            <v>90</v>
          </cell>
          <cell r="N75" t="str">
            <v>07/05/2015</v>
          </cell>
          <cell r="O75" t="str">
            <v>karla.mendoza@aero.bombardier.com</v>
          </cell>
        </row>
        <row r="76">
          <cell r="A76">
            <v>76</v>
          </cell>
          <cell r="B76" t="str">
            <v>MCA Empaques, S.A. de C.V.</v>
          </cell>
          <cell r="C76" t="str">
            <v>MEM000817DA6</v>
          </cell>
          <cell r="D76" t="str">
            <v>Av. Regio Parque</v>
          </cell>
          <cell r="F76">
            <v>127</v>
          </cell>
          <cell r="G76" t="str">
            <v>Regio Parque Industrial</v>
          </cell>
          <cell r="H76">
            <v>66633</v>
          </cell>
          <cell r="I76" t="str">
            <v>Apodaca</v>
          </cell>
          <cell r="J76" t="str">
            <v>Nuevo León, CP 66633</v>
          </cell>
          <cell r="K76" t="str">
            <v>México</v>
          </cell>
          <cell r="L76" t="str">
            <v>.</v>
          </cell>
          <cell r="M76">
            <v>30</v>
          </cell>
        </row>
        <row r="77">
          <cell r="A77">
            <v>77</v>
          </cell>
          <cell r="B77" t="str">
            <v>John Crane México, S.A de C.V</v>
          </cell>
          <cell r="C77" t="str">
            <v>MEN 9106285E3</v>
          </cell>
          <cell r="D77" t="str">
            <v>Autopista México - Querétaro Km. 41.5</v>
          </cell>
          <cell r="F77" t="str">
            <v>S/N</v>
          </cell>
          <cell r="G77" t="str">
            <v>Parque Industrial Tres Rios</v>
          </cell>
          <cell r="H77">
            <v>54713</v>
          </cell>
          <cell r="I77" t="str">
            <v>Mineral de la Reforma</v>
          </cell>
          <cell r="J77" t="str">
            <v>Distrito Federal</v>
          </cell>
          <cell r="K77" t="str">
            <v>México</v>
          </cell>
          <cell r="L77" t="str">
            <v>(55) 26114228</v>
          </cell>
          <cell r="M77">
            <v>30</v>
          </cell>
        </row>
        <row r="78">
          <cell r="A78">
            <v>78</v>
          </cell>
          <cell r="B78" t="str">
            <v>Jacqueline Hernandez Fuentes</v>
          </cell>
          <cell r="C78" t="str">
            <v>HEFJ770313U17</v>
          </cell>
          <cell r="D78" t="str">
            <v>Benito Juárez</v>
          </cell>
          <cell r="F78">
            <v>25</v>
          </cell>
          <cell r="G78" t="str">
            <v>San Pedro Techuchulco</v>
          </cell>
          <cell r="H78">
            <v>52371</v>
          </cell>
          <cell r="I78" t="str">
            <v>Joquicingo</v>
          </cell>
          <cell r="J78" t="str">
            <v>Estado de México</v>
          </cell>
          <cell r="K78" t="str">
            <v>México</v>
          </cell>
          <cell r="L78" t="str">
            <v>.</v>
          </cell>
          <cell r="M78">
            <v>30</v>
          </cell>
        </row>
        <row r="79">
          <cell r="A79">
            <v>79</v>
          </cell>
          <cell r="B79" t="str">
            <v>Jorge Cruz Salinas</v>
          </cell>
          <cell r="C79" t="str">
            <v>CUSJ-650318-3D0</v>
          </cell>
          <cell r="D79" t="str">
            <v>Villa Corregidora</v>
          </cell>
          <cell r="F79">
            <v>27</v>
          </cell>
          <cell r="G79" t="str">
            <v>Villas Campestre</v>
          </cell>
          <cell r="H79">
            <v>76192</v>
          </cell>
          <cell r="I79" t="str">
            <v>Querétaro</v>
          </cell>
          <cell r="J79" t="str">
            <v>Querétaro</v>
          </cell>
          <cell r="K79" t="str">
            <v>México</v>
          </cell>
          <cell r="L79" t="str">
            <v>.</v>
          </cell>
          <cell r="M79">
            <v>0</v>
          </cell>
        </row>
        <row r="80">
          <cell r="A80">
            <v>80</v>
          </cell>
          <cell r="B80" t="str">
            <v>Kim Teck, S.A. de C.V.</v>
          </cell>
          <cell r="C80" t="str">
            <v>KTE021216GF9</v>
          </cell>
          <cell r="D80" t="str">
            <v>Av. Benito Juárez</v>
          </cell>
          <cell r="E80" t="str">
            <v>Nave 4 Local 5</v>
          </cell>
          <cell r="F80" t="str">
            <v>131-5</v>
          </cell>
          <cell r="G80" t="str">
            <v>Parque Ind. Querétaro</v>
          </cell>
          <cell r="H80">
            <v>76220</v>
          </cell>
          <cell r="I80" t="str">
            <v>Querétaro</v>
          </cell>
          <cell r="J80" t="str">
            <v>Querétaro</v>
          </cell>
          <cell r="K80" t="str">
            <v>México</v>
          </cell>
          <cell r="L80" t="str">
            <v>(442) 2409205</v>
          </cell>
          <cell r="M80">
            <v>30</v>
          </cell>
        </row>
        <row r="81">
          <cell r="A81">
            <v>81</v>
          </cell>
          <cell r="B81" t="str">
            <v>Klingelnberg México, S.A de C.V.</v>
          </cell>
          <cell r="C81" t="str">
            <v>KOM 001101LT8</v>
          </cell>
          <cell r="D81" t="str">
            <v>Calle Acceso III</v>
          </cell>
          <cell r="E81" t="str">
            <v>8</v>
          </cell>
          <cell r="F81" t="str">
            <v>16B</v>
          </cell>
          <cell r="G81" t="str">
            <v>Zona Industrial Benito Juárez</v>
          </cell>
          <cell r="H81">
            <v>76120</v>
          </cell>
          <cell r="I81" t="str">
            <v>Querétaro</v>
          </cell>
          <cell r="J81" t="str">
            <v>Querétaro</v>
          </cell>
          <cell r="K81" t="str">
            <v>México</v>
          </cell>
          <cell r="L81" t="str">
            <v>(442) 2482750</v>
          </cell>
          <cell r="M81">
            <v>30</v>
          </cell>
        </row>
        <row r="82">
          <cell r="A82">
            <v>82</v>
          </cell>
          <cell r="B82" t="str">
            <v>CERATIZIT Querétaro S. de R.L de C.V</v>
          </cell>
          <cell r="C82" t="str">
            <v>KME980706FH4</v>
          </cell>
          <cell r="D82" t="str">
            <v>Acceso 1</v>
          </cell>
          <cell r="E82" t="str">
            <v>Nave 8</v>
          </cell>
          <cell r="F82">
            <v>116</v>
          </cell>
          <cell r="G82" t="str">
            <v>Industrial  La Montaña</v>
          </cell>
          <cell r="H82">
            <v>76150</v>
          </cell>
          <cell r="I82" t="str">
            <v>Querétaro</v>
          </cell>
          <cell r="J82" t="str">
            <v>Querétaro</v>
          </cell>
          <cell r="K82" t="str">
            <v>México</v>
          </cell>
          <cell r="L82" t="str">
            <v>(442) 2109020</v>
          </cell>
          <cell r="M82">
            <v>30</v>
          </cell>
          <cell r="N82" t="str">
            <v>06/05/2015</v>
          </cell>
          <cell r="Q82" t="str">
            <v>KOMET</v>
          </cell>
        </row>
        <row r="83">
          <cell r="A83">
            <v>83</v>
          </cell>
          <cell r="B83" t="str">
            <v>Kostal Mexicana, S.A. de C.V.</v>
          </cell>
          <cell r="C83" t="str">
            <v>KME850218KA9</v>
          </cell>
          <cell r="D83" t="str">
            <v>Acceso II</v>
          </cell>
          <cell r="F83">
            <v>36</v>
          </cell>
          <cell r="G83" t="str">
            <v>Zona Industrial Benito Juárez</v>
          </cell>
          <cell r="H83">
            <v>76120</v>
          </cell>
          <cell r="I83" t="str">
            <v>Querétaro</v>
          </cell>
          <cell r="J83" t="str">
            <v>Querétaro</v>
          </cell>
          <cell r="K83" t="str">
            <v>México</v>
          </cell>
          <cell r="L83" t="str">
            <v>(442) 211950</v>
          </cell>
          <cell r="M83">
            <v>45</v>
          </cell>
          <cell r="N83" t="str">
            <v>29/04/2015</v>
          </cell>
        </row>
        <row r="84">
          <cell r="A84">
            <v>84</v>
          </cell>
          <cell r="B84" t="str">
            <v>Lamparas General Electric, S. de R.L. de C.V.</v>
          </cell>
          <cell r="C84" t="str">
            <v>LGE8610247A0</v>
          </cell>
          <cell r="D84" t="str">
            <v>Av. Veinte de Noviembre</v>
          </cell>
          <cell r="F84">
            <v>1200</v>
          </cell>
          <cell r="G84" t="str">
            <v>Tlaxcala</v>
          </cell>
          <cell r="H84">
            <v>78038</v>
          </cell>
          <cell r="I84" t="str">
            <v>San Luis Potosí</v>
          </cell>
          <cell r="J84" t="str">
            <v>San Luis Potosí, CP 78038</v>
          </cell>
          <cell r="K84" t="str">
            <v>México</v>
          </cell>
          <cell r="L84" t="str">
            <v>(444) 8042933</v>
          </cell>
          <cell r="M84">
            <v>30</v>
          </cell>
          <cell r="N84" t="str">
            <v>27/04/2015</v>
          </cell>
        </row>
        <row r="85">
          <cell r="A85">
            <v>85</v>
          </cell>
          <cell r="B85" t="str">
            <v>Marc Instruments, S.A. de C.V.</v>
          </cell>
          <cell r="C85" t="str">
            <v>MIN0612054P7</v>
          </cell>
          <cell r="D85" t="str">
            <v>Carretera a Morelia Km. 15</v>
          </cell>
          <cell r="E85" t="str">
            <v>Casa 85</v>
          </cell>
          <cell r="G85" t="str">
            <v>San José del Tajo</v>
          </cell>
          <cell r="H85">
            <v>45645</v>
          </cell>
          <cell r="I85" t="str">
            <v>Tlajomulco de Zuñiga</v>
          </cell>
          <cell r="J85" t="str">
            <v>Jalisco, CP 45645</v>
          </cell>
          <cell r="K85" t="str">
            <v>México</v>
          </cell>
          <cell r="L85" t="str">
            <v>(33) 36871366</v>
          </cell>
          <cell r="M85">
            <v>15</v>
          </cell>
        </row>
        <row r="86">
          <cell r="A86">
            <v>86</v>
          </cell>
          <cell r="B86" t="str">
            <v>Meggitt Aircraft Braking Systems QT, S.de R.L. de C.V.</v>
          </cell>
          <cell r="C86" t="str">
            <v>MAB080421NK1</v>
          </cell>
          <cell r="D86" t="str">
            <v>Carretera Estatal 200 Querétaro - Tequisquiapan Km. 22 + 547</v>
          </cell>
          <cell r="F86" t="str">
            <v>Interior A</v>
          </cell>
          <cell r="G86" t="str">
            <v>Parque Aeroespacial de Querétaro</v>
          </cell>
          <cell r="H86">
            <v>76278</v>
          </cell>
          <cell r="I86" t="str">
            <v>Colón</v>
          </cell>
          <cell r="J86" t="str">
            <v>Querétaro</v>
          </cell>
          <cell r="K86" t="str">
            <v>México</v>
          </cell>
          <cell r="L86" t="str">
            <v>(442) 1534300</v>
          </cell>
          <cell r="M86">
            <v>30</v>
          </cell>
          <cell r="N86" t="str">
            <v>06/05/2015</v>
          </cell>
          <cell r="O86" t="str">
            <v>hector.navarro@meggitt.com</v>
          </cell>
        </row>
        <row r="87">
          <cell r="A87">
            <v>87</v>
          </cell>
          <cell r="B87" t="str">
            <v>Messier Dowty México, S.A de C.V.</v>
          </cell>
          <cell r="C87" t="str">
            <v>MME080930153</v>
          </cell>
          <cell r="D87" t="str">
            <v>Carretera Estatal 200 Querétaro - Tequisquiapan Km. 22 + 547</v>
          </cell>
          <cell r="E87" t="str">
            <v>B</v>
          </cell>
          <cell r="G87" t="str">
            <v>Parque Aeroespacial de Querétaro</v>
          </cell>
          <cell r="H87">
            <v>76278</v>
          </cell>
          <cell r="I87" t="str">
            <v>Colón</v>
          </cell>
          <cell r="J87" t="str">
            <v>Querétaro</v>
          </cell>
          <cell r="K87" t="str">
            <v>México</v>
          </cell>
          <cell r="L87" t="str">
            <v>(442) 1533900</v>
          </cell>
          <cell r="M87">
            <v>30</v>
          </cell>
        </row>
        <row r="88">
          <cell r="A88">
            <v>88</v>
          </cell>
          <cell r="B88" t="str">
            <v>Metas, S.A de C.V.</v>
          </cell>
          <cell r="C88" t="str">
            <v>MET99011578A</v>
          </cell>
          <cell r="D88" t="str">
            <v>Antonio Caso</v>
          </cell>
          <cell r="F88">
            <v>246</v>
          </cell>
          <cell r="G88" t="str">
            <v>Centro</v>
          </cell>
          <cell r="H88">
            <v>49000</v>
          </cell>
          <cell r="I88" t="str">
            <v>Guzmán</v>
          </cell>
          <cell r="J88" t="str">
            <v>Jalisco</v>
          </cell>
          <cell r="K88" t="str">
            <v>México</v>
          </cell>
          <cell r="L88" t="str">
            <v>(341) 4136123</v>
          </cell>
          <cell r="M88">
            <v>30</v>
          </cell>
          <cell r="N88" t="str">
            <v>27/04/2015</v>
          </cell>
        </row>
        <row r="89">
          <cell r="A89">
            <v>89</v>
          </cell>
          <cell r="B89" t="str">
            <v>Metrica, S.A. de C.V.</v>
          </cell>
          <cell r="C89" t="str">
            <v>MET940119QA3</v>
          </cell>
          <cell r="D89" t="str">
            <v>Alfonso Reyes</v>
          </cell>
          <cell r="F89">
            <v>2620</v>
          </cell>
          <cell r="G89" t="str">
            <v>Fracc. Bernardo Reyes</v>
          </cell>
          <cell r="H89">
            <v>64280</v>
          </cell>
          <cell r="I89" t="str">
            <v>Monterrey</v>
          </cell>
          <cell r="J89" t="str">
            <v>Nuevo León</v>
          </cell>
          <cell r="K89" t="str">
            <v>México</v>
          </cell>
          <cell r="L89" t="str">
            <v>(81) 83702600</v>
          </cell>
          <cell r="M89">
            <v>30</v>
          </cell>
        </row>
        <row r="90">
          <cell r="A90">
            <v>90</v>
          </cell>
          <cell r="B90" t="str">
            <v>Metrología Monterrey, S.A. de C.V.</v>
          </cell>
          <cell r="C90" t="str">
            <v>MMP9804272SA</v>
          </cell>
          <cell r="D90" t="str">
            <v>Agua Marina</v>
          </cell>
          <cell r="E90" t="str">
            <v>4</v>
          </cell>
          <cell r="F90">
            <v>1483</v>
          </cell>
          <cell r="G90" t="str">
            <v>Fracc. La Fuente</v>
          </cell>
          <cell r="H90">
            <v>67150</v>
          </cell>
          <cell r="I90" t="str">
            <v>Guadalupe</v>
          </cell>
          <cell r="J90" t="str">
            <v>Nuevo León</v>
          </cell>
          <cell r="K90" t="str">
            <v>México</v>
          </cell>
          <cell r="L90" t="str">
            <v>(81) 15202180 al 83</v>
          </cell>
          <cell r="M90">
            <v>30</v>
          </cell>
          <cell r="N90" t="str">
            <v>23/04/2015</v>
          </cell>
          <cell r="O90" t="str">
            <v>alejandra.garcia@metrologiamty.com</v>
          </cell>
        </row>
        <row r="91">
          <cell r="A91">
            <v>91</v>
          </cell>
          <cell r="B91" t="str">
            <v>Meyer V, S.A. de C.V.</v>
          </cell>
          <cell r="C91" t="str">
            <v>MEY960624893</v>
          </cell>
          <cell r="D91" t="str">
            <v>Pino Suárez</v>
          </cell>
          <cell r="F91">
            <v>131</v>
          </cell>
          <cell r="G91" t="str">
            <v>Casa Blanca</v>
          </cell>
          <cell r="H91">
            <v>52175</v>
          </cell>
          <cell r="I91" t="str">
            <v>Metepec</v>
          </cell>
          <cell r="J91" t="str">
            <v>Estado de México</v>
          </cell>
          <cell r="K91" t="str">
            <v>México</v>
          </cell>
          <cell r="L91" t="str">
            <v>(722) 1349403</v>
          </cell>
          <cell r="M91">
            <v>15</v>
          </cell>
          <cell r="N91" t="str">
            <v>17/04/2015</v>
          </cell>
          <cell r="O91" t="str">
            <v>venta2@meyerv.com.mx</v>
          </cell>
        </row>
        <row r="92">
          <cell r="A92">
            <v>92</v>
          </cell>
          <cell r="B92" t="str">
            <v>Misa-National Metal Processing, S.A. de C.V.</v>
          </cell>
          <cell r="C92" t="str">
            <v>MMP060628BF5</v>
          </cell>
          <cell r="D92" t="str">
            <v>Av. Montes Urales</v>
          </cell>
          <cell r="F92">
            <v>11</v>
          </cell>
          <cell r="G92" t="str">
            <v>Parque Industrial Opción, Carretera 57</v>
          </cell>
          <cell r="H92">
            <v>37980</v>
          </cell>
          <cell r="I92" t="str">
            <v>San José Iturbide</v>
          </cell>
          <cell r="J92" t="str">
            <v>Guanajuato</v>
          </cell>
          <cell r="K92" t="str">
            <v>México</v>
          </cell>
          <cell r="L92" t="str">
            <v>(419) 1090100</v>
          </cell>
          <cell r="M92">
            <v>30</v>
          </cell>
        </row>
        <row r="93">
          <cell r="A93">
            <v>93</v>
          </cell>
          <cell r="B93" t="str">
            <v>MPI International México, S. de R.L. de C.V.</v>
          </cell>
          <cell r="C93" t="str">
            <v>MIM100316FW1</v>
          </cell>
          <cell r="D93" t="str">
            <v>Carretera Querétaro - San Luis Potosí , Mesa de León 101 Km. 28.5</v>
          </cell>
          <cell r="F93" t="str">
            <v>S/N</v>
          </cell>
          <cell r="G93" t="str">
            <v>Parque Industrial Querétaro</v>
          </cell>
          <cell r="H93">
            <v>76220</v>
          </cell>
          <cell r="I93" t="str">
            <v>Querétaro</v>
          </cell>
          <cell r="J93" t="str">
            <v>Querétaro</v>
          </cell>
          <cell r="K93" t="str">
            <v>México</v>
          </cell>
          <cell r="L93" t="str">
            <v>(442) 227431</v>
          </cell>
          <cell r="M93">
            <v>30</v>
          </cell>
        </row>
        <row r="94">
          <cell r="A94">
            <v>94</v>
          </cell>
          <cell r="B94" t="str">
            <v>Nettelhoff Colectores Mexico S.A. de C.V.</v>
          </cell>
          <cell r="C94" t="str">
            <v>NCM000518EH2</v>
          </cell>
          <cell r="D94" t="str">
            <v>Av. de las Fuentes</v>
          </cell>
          <cell r="F94">
            <v>26</v>
          </cell>
          <cell r="G94" t="str">
            <v>Parque Industrial El Marqués,</v>
          </cell>
          <cell r="H94">
            <v>76246</v>
          </cell>
          <cell r="I94" t="str">
            <v>El Marqués</v>
          </cell>
          <cell r="J94" t="str">
            <v>Querétaro</v>
          </cell>
          <cell r="K94" t="str">
            <v>México</v>
          </cell>
          <cell r="L94" t="str">
            <v>(442) 2215729</v>
          </cell>
          <cell r="M94">
            <v>30</v>
          </cell>
          <cell r="N94" t="str">
            <v>26/02/2015</v>
          </cell>
        </row>
        <row r="95">
          <cell r="A95">
            <v>95</v>
          </cell>
          <cell r="B95" t="str">
            <v>NewMotech Mex, S.A. de C.V.</v>
          </cell>
          <cell r="C95" t="str">
            <v>NME050609UP1</v>
          </cell>
          <cell r="D95" t="str">
            <v>Av. Benito Juárez</v>
          </cell>
          <cell r="F95">
            <v>116</v>
          </cell>
          <cell r="G95" t="str">
            <v>Parque Industrial Querétaro</v>
          </cell>
          <cell r="H95">
            <v>76220</v>
          </cell>
          <cell r="I95" t="str">
            <v>Querétaro</v>
          </cell>
          <cell r="J95" t="str">
            <v>Querétaro</v>
          </cell>
          <cell r="K95" t="str">
            <v>México</v>
          </cell>
          <cell r="M95">
            <v>30</v>
          </cell>
          <cell r="N95" t="str">
            <v>20/03/2015</v>
          </cell>
        </row>
        <row r="96">
          <cell r="A96">
            <v>96</v>
          </cell>
          <cell r="B96" t="str">
            <v>Nihon Plast Mexicana, S.A. de C.V.</v>
          </cell>
          <cell r="C96" t="str">
            <v>NPM940304MC7</v>
          </cell>
          <cell r="D96" t="str">
            <v>Av. La Cañada</v>
          </cell>
          <cell r="F96">
            <v>47</v>
          </cell>
          <cell r="G96" t="str">
            <v>Parque Industrial Bernardo Quintana</v>
          </cell>
          <cell r="H96">
            <v>76246</v>
          </cell>
          <cell r="I96" t="str">
            <v>El Marqués</v>
          </cell>
          <cell r="J96" t="str">
            <v>Querétaro</v>
          </cell>
          <cell r="K96" t="str">
            <v>México</v>
          </cell>
          <cell r="L96" t="str">
            <v>(442) 2961000</v>
          </cell>
          <cell r="M96">
            <v>30</v>
          </cell>
        </row>
        <row r="97">
          <cell r="A97">
            <v>97</v>
          </cell>
          <cell r="B97" t="str">
            <v>Nilfisk Advance de México Manufacturing, S. de R.L. de C.V.</v>
          </cell>
          <cell r="C97" t="str">
            <v>NAM080908U60</v>
          </cell>
          <cell r="D97" t="str">
            <v>Pirineos</v>
          </cell>
          <cell r="E97" t="str">
            <v>Bodega 60-70</v>
          </cell>
          <cell r="F97">
            <v>515</v>
          </cell>
          <cell r="G97" t="str">
            <v>Microparque Ind. Santiago</v>
          </cell>
          <cell r="H97">
            <v>76120</v>
          </cell>
          <cell r="I97" t="str">
            <v>Querétaro</v>
          </cell>
          <cell r="J97" t="str">
            <v>Querétaro</v>
          </cell>
          <cell r="K97" t="str">
            <v>México</v>
          </cell>
          <cell r="L97" t="str">
            <v>(442) 2095135</v>
          </cell>
          <cell r="M97">
            <v>30</v>
          </cell>
        </row>
        <row r="98">
          <cell r="A98">
            <v>98</v>
          </cell>
          <cell r="B98" t="str">
            <v>Plasticos Técnicos Mexicanos, S.A. de C.V.</v>
          </cell>
          <cell r="C98" t="str">
            <v>PTM840701593</v>
          </cell>
          <cell r="D98" t="str">
            <v>Carretera México - Tequisquiapan Km. 3.0</v>
          </cell>
          <cell r="G98" t="str">
            <v>Zona Industrial Valle de Oro</v>
          </cell>
          <cell r="H98">
            <v>76803</v>
          </cell>
          <cell r="I98" t="str">
            <v>San Juan del Río</v>
          </cell>
          <cell r="J98" t="str">
            <v>Querétaro</v>
          </cell>
          <cell r="K98" t="str">
            <v>México</v>
          </cell>
          <cell r="L98" t="str">
            <v>(427) 2718139</v>
          </cell>
          <cell r="M98">
            <v>30</v>
          </cell>
          <cell r="N98" t="str">
            <v>20/04/2015</v>
          </cell>
        </row>
        <row r="99">
          <cell r="A99">
            <v>99</v>
          </cell>
          <cell r="B99" t="str">
            <v>Precisión Mecánica Sigui, S.A. de C.V.</v>
          </cell>
          <cell r="C99" t="str">
            <v>PMS881129LR0</v>
          </cell>
          <cell r="D99" t="str">
            <v>Abraham Lincoln</v>
          </cell>
          <cell r="F99">
            <v>14</v>
          </cell>
          <cell r="G99" t="str">
            <v>Zona Industrial Felipe Carrillo Puerto</v>
          </cell>
          <cell r="H99">
            <v>76139</v>
          </cell>
          <cell r="I99" t="str">
            <v>Querétaro</v>
          </cell>
          <cell r="J99" t="str">
            <v>Querétaro</v>
          </cell>
          <cell r="K99" t="str">
            <v>México</v>
          </cell>
          <cell r="L99" t="str">
            <v>(442) 2571325</v>
          </cell>
          <cell r="M99">
            <v>30</v>
          </cell>
          <cell r="N99" t="str">
            <v>20/01/2015</v>
          </cell>
        </row>
        <row r="100">
          <cell r="A100">
            <v>100</v>
          </cell>
          <cell r="B100" t="str">
            <v>Prettl de México, S.A. de C.V.</v>
          </cell>
          <cell r="C100" t="str">
            <v>PME960930B53</v>
          </cell>
          <cell r="D100" t="str">
            <v>Carretera Libre a Celaya Km. 8.6</v>
          </cell>
          <cell r="G100" t="str">
            <v>Parque Industrial Balvanera</v>
          </cell>
          <cell r="H100">
            <v>76900</v>
          </cell>
          <cell r="I100" t="str">
            <v>Corregidora</v>
          </cell>
          <cell r="J100" t="str">
            <v>Querétaro</v>
          </cell>
          <cell r="K100" t="str">
            <v>México</v>
          </cell>
          <cell r="L100" t="str">
            <v>(442) 1929100</v>
          </cell>
          <cell r="M100">
            <v>30</v>
          </cell>
          <cell r="N100" t="str">
            <v>28/11/2014</v>
          </cell>
        </row>
        <row r="101">
          <cell r="A101">
            <v>101</v>
          </cell>
          <cell r="B101" t="str">
            <v>Productos Especializados de Acero, S.A. de C.V.</v>
          </cell>
          <cell r="C101" t="str">
            <v>PEA610420AD0</v>
          </cell>
          <cell r="D101" t="str">
            <v>Poniente 134</v>
          </cell>
          <cell r="F101">
            <v>854</v>
          </cell>
          <cell r="G101" t="str">
            <v>Industrial Vallejo</v>
          </cell>
          <cell r="H101">
            <v>2300</v>
          </cell>
          <cell r="I101" t="str">
            <v>Azcapotzalco</v>
          </cell>
          <cell r="J101" t="str">
            <v>Distrito Federal</v>
          </cell>
          <cell r="K101" t="str">
            <v>México</v>
          </cell>
          <cell r="L101" t="str">
            <v>(444) 8700800</v>
          </cell>
          <cell r="M101">
            <v>0</v>
          </cell>
          <cell r="N101" t="str">
            <v>03/04/2014</v>
          </cell>
        </row>
        <row r="102">
          <cell r="A102">
            <v>102</v>
          </cell>
          <cell r="B102" t="str">
            <v>Ronal Querétaro, S.A. de C.V.</v>
          </cell>
          <cell r="C102" t="str">
            <v>RME990115RB7</v>
          </cell>
          <cell r="D102" t="str">
            <v>San Pedrito</v>
          </cell>
          <cell r="F102">
            <v>108</v>
          </cell>
          <cell r="G102" t="str">
            <v>Parque Industrial Querétaro</v>
          </cell>
          <cell r="H102">
            <v>76220</v>
          </cell>
          <cell r="I102" t="str">
            <v>Santa Rosa Jáuregui</v>
          </cell>
          <cell r="J102" t="str">
            <v>Querétaro</v>
          </cell>
          <cell r="K102" t="str">
            <v>México</v>
          </cell>
          <cell r="L102" t="str">
            <v>(442) 2389300</v>
          </cell>
          <cell r="M102">
            <v>30</v>
          </cell>
          <cell r="N102" t="str">
            <v>25/07/2014</v>
          </cell>
        </row>
        <row r="103">
          <cell r="A103">
            <v>103</v>
          </cell>
          <cell r="B103" t="str">
            <v>Saint-Gobain México, S.A. de C.V.</v>
          </cell>
          <cell r="C103" t="str">
            <v>SME9502015F6</v>
          </cell>
          <cell r="D103" t="str">
            <v>Av. Nicolas Bravo</v>
          </cell>
          <cell r="F103">
            <v>8</v>
          </cell>
          <cell r="G103" t="str">
            <v>P. Ind. Cuautla</v>
          </cell>
          <cell r="H103">
            <v>62715</v>
          </cell>
          <cell r="I103" t="str">
            <v>Ayala</v>
          </cell>
          <cell r="J103" t="str">
            <v>Morelos</v>
          </cell>
          <cell r="K103" t="str">
            <v>México</v>
          </cell>
          <cell r="L103" t="str">
            <v>.</v>
          </cell>
          <cell r="M103">
            <v>0</v>
          </cell>
        </row>
        <row r="104">
          <cell r="A104">
            <v>104</v>
          </cell>
          <cell r="B104" t="str">
            <v>Schaeffler México, S. de R.L. de C.V.</v>
          </cell>
          <cell r="D104" t="str">
            <v>Av. Río San Lorenzo</v>
          </cell>
          <cell r="F104">
            <v>888</v>
          </cell>
          <cell r="G104" t="str">
            <v>Parque Tecnoindustrial Castro del Río</v>
          </cell>
          <cell r="H104">
            <v>36815</v>
          </cell>
          <cell r="I104" t="str">
            <v>Irapuato</v>
          </cell>
          <cell r="J104" t="str">
            <v>Guanajuato</v>
          </cell>
          <cell r="K104" t="str">
            <v>México</v>
          </cell>
          <cell r="L104" t="str">
            <v>(462) 1661100</v>
          </cell>
          <cell r="M104">
            <v>45</v>
          </cell>
          <cell r="N104" t="str">
            <v>22/04/2015</v>
          </cell>
        </row>
        <row r="105">
          <cell r="A105">
            <v>105</v>
          </cell>
          <cell r="B105" t="str">
            <v>Schneider Industrial Tlaxcala, S.A. de C.V.</v>
          </cell>
          <cell r="C105" t="str">
            <v>-</v>
          </cell>
          <cell r="D105" t="str">
            <v>Via Corta Santa Ana - Puebla Km. 17.5</v>
          </cell>
          <cell r="E105" t="str">
            <v>-</v>
          </cell>
          <cell r="F105" t="str">
            <v>S/N</v>
          </cell>
          <cell r="G105" t="str">
            <v>-</v>
          </cell>
          <cell r="H105">
            <v>90860</v>
          </cell>
          <cell r="I105" t="str">
            <v>Acuamanala</v>
          </cell>
          <cell r="J105" t="str">
            <v>Tlaxcala</v>
          </cell>
          <cell r="K105" t="str">
            <v>México</v>
          </cell>
          <cell r="L105" t="str">
            <v>(246) 4979700</v>
          </cell>
          <cell r="M105">
            <v>45</v>
          </cell>
          <cell r="N105" t="str">
            <v>20/04/2015</v>
          </cell>
        </row>
        <row r="106">
          <cell r="A106">
            <v>106</v>
          </cell>
          <cell r="B106" t="str">
            <v>Seisa Industries, S.A. de C.V.</v>
          </cell>
          <cell r="C106" t="str">
            <v>SIN050210L41</v>
          </cell>
          <cell r="D106" t="str">
            <v>Prolongación Independencia Sur</v>
          </cell>
          <cell r="F106" t="str">
            <v>S/N</v>
          </cell>
          <cell r="G106" t="str">
            <v>Privada Juriquilla</v>
          </cell>
          <cell r="H106">
            <v>76246</v>
          </cell>
          <cell r="I106" t="str">
            <v>Juriquilla</v>
          </cell>
          <cell r="J106" t="str">
            <v xml:space="preserve">Querétaro, </v>
          </cell>
          <cell r="K106" t="str">
            <v>México</v>
          </cell>
          <cell r="L106" t="str">
            <v>(442) 2216091</v>
          </cell>
          <cell r="M106">
            <v>0</v>
          </cell>
          <cell r="N106" t="str">
            <v>14/04/2015</v>
          </cell>
        </row>
        <row r="107">
          <cell r="A107">
            <v>107</v>
          </cell>
          <cell r="B107" t="str">
            <v>Sensata Technologies de México, S. de R.L. de C.V.</v>
          </cell>
          <cell r="C107" t="str">
            <v>STM060224MM9</v>
          </cell>
          <cell r="D107" t="str">
            <v>Av. Aguascalientes Sur</v>
          </cell>
          <cell r="F107">
            <v>401</v>
          </cell>
          <cell r="G107" t="str">
            <v>Ex-Ejido Ojocaliente</v>
          </cell>
          <cell r="H107">
            <v>20190</v>
          </cell>
          <cell r="I107" t="str">
            <v>Aguascalientes</v>
          </cell>
          <cell r="J107" t="str">
            <v>Aguascalientes</v>
          </cell>
          <cell r="K107" t="str">
            <v>México</v>
          </cell>
          <cell r="L107" t="str">
            <v>(449) 9105500</v>
          </cell>
          <cell r="M107">
            <v>30</v>
          </cell>
          <cell r="N107" t="str">
            <v>08/04/2015</v>
          </cell>
        </row>
        <row r="108">
          <cell r="A108">
            <v>108</v>
          </cell>
          <cell r="B108" t="str">
            <v>Servicio Electromecanico Larcasan, S.A de C.V.</v>
          </cell>
          <cell r="C108" t="str">
            <v>SEL891221QCA</v>
          </cell>
          <cell r="D108" t="str">
            <v>Río Lerma</v>
          </cell>
          <cell r="F108">
            <v>6</v>
          </cell>
          <cell r="G108" t="str">
            <v>San Cayetano</v>
          </cell>
          <cell r="H108">
            <v>66807</v>
          </cell>
          <cell r="I108" t="str">
            <v>San Juan del Río</v>
          </cell>
          <cell r="J108" t="str">
            <v>Querétaro, CP 66807</v>
          </cell>
          <cell r="K108" t="str">
            <v>México</v>
          </cell>
          <cell r="L108" t="str">
            <v>(427) 2741985</v>
          </cell>
          <cell r="M108">
            <v>0</v>
          </cell>
          <cell r="N108" t="str">
            <v>21/03/2014</v>
          </cell>
        </row>
        <row r="109">
          <cell r="A109">
            <v>109</v>
          </cell>
          <cell r="B109" t="str">
            <v>Servicios Tecnologicos y Manufacturas, S.A. de C.V.</v>
          </cell>
          <cell r="C109" t="str">
            <v>STM981014328</v>
          </cell>
          <cell r="D109" t="str">
            <v>Valle Hidalgo - Edificio I</v>
          </cell>
          <cell r="E109" t="str">
            <v>Dpto. 12</v>
          </cell>
          <cell r="F109">
            <v>321</v>
          </cell>
          <cell r="G109" t="str">
            <v>Hidalgo del Valle</v>
          </cell>
          <cell r="H109">
            <v>37204</v>
          </cell>
          <cell r="I109" t="str">
            <v>León</v>
          </cell>
          <cell r="J109" t="str">
            <v>Guanajuato</v>
          </cell>
          <cell r="K109" t="str">
            <v>México</v>
          </cell>
          <cell r="L109" t="str">
            <v>(477) 6361530</v>
          </cell>
          <cell r="M109">
            <v>30</v>
          </cell>
          <cell r="N109" t="str">
            <v>16/12/2013</v>
          </cell>
        </row>
        <row r="110">
          <cell r="A110">
            <v>110</v>
          </cell>
          <cell r="B110" t="str">
            <v>S-mex, S.A de C.V.</v>
          </cell>
          <cell r="C110" t="str">
            <v>SME9807029T3</v>
          </cell>
          <cell r="D110" t="str">
            <v>Misión de Landa</v>
          </cell>
          <cell r="F110">
            <v>3</v>
          </cell>
          <cell r="G110" t="str">
            <v>Parque Industrial Bernardo Quintana</v>
          </cell>
          <cell r="H110">
            <v>76246</v>
          </cell>
          <cell r="I110" t="str">
            <v>El Marqués</v>
          </cell>
          <cell r="J110" t="str">
            <v>Querétaro</v>
          </cell>
          <cell r="K110" t="str">
            <v>México</v>
          </cell>
          <cell r="L110" t="str">
            <v>(442) 2215652</v>
          </cell>
          <cell r="M110">
            <v>0</v>
          </cell>
          <cell r="N110" t="str">
            <v>13/04/2015</v>
          </cell>
        </row>
        <row r="111">
          <cell r="A111">
            <v>111</v>
          </cell>
          <cell r="B111" t="str">
            <v>Technoplastics Automotive de México, S.A. de C.V.</v>
          </cell>
          <cell r="C111" t="str">
            <v>TAM980420G93</v>
          </cell>
          <cell r="D111" t="str">
            <v>Cantereros</v>
          </cell>
          <cell r="F111">
            <v>2</v>
          </cell>
          <cell r="G111" t="str">
            <v>Parque Industrial Bernardo Quintana</v>
          </cell>
          <cell r="H111">
            <v>76246</v>
          </cell>
          <cell r="I111" t="str">
            <v>El Marqués</v>
          </cell>
          <cell r="J111" t="str">
            <v>Querétaro, CP 76246</v>
          </cell>
          <cell r="K111" t="str">
            <v>México</v>
          </cell>
          <cell r="L111" t="str">
            <v>(442) 1921800</v>
          </cell>
          <cell r="M111">
            <v>15</v>
          </cell>
          <cell r="N111" t="str">
            <v>19/03/2015</v>
          </cell>
        </row>
        <row r="112">
          <cell r="A112">
            <v>112</v>
          </cell>
          <cell r="B112" t="str">
            <v>Tecnología y Precisión en Metales, S.A. de C.V.</v>
          </cell>
          <cell r="C112" t="str">
            <v>TPM080314DJ2</v>
          </cell>
          <cell r="D112" t="str">
            <v>Retorno 1</v>
          </cell>
          <cell r="E112" t="str">
            <v>Lote 60</v>
          </cell>
          <cell r="F112">
            <v>20</v>
          </cell>
          <cell r="G112" t="str">
            <v>Fracc. Agro Industrial La Cruz</v>
          </cell>
          <cell r="H112">
            <v>76240</v>
          </cell>
          <cell r="I112" t="str">
            <v>Querétaro</v>
          </cell>
          <cell r="J112" t="str">
            <v>Querétaro</v>
          </cell>
          <cell r="K112" t="str">
            <v>México</v>
          </cell>
          <cell r="L112" t="str">
            <v>(442) 2424481</v>
          </cell>
          <cell r="M112">
            <v>0</v>
          </cell>
          <cell r="N112" t="str">
            <v>03/02/2015</v>
          </cell>
        </row>
        <row r="113">
          <cell r="A113">
            <v>113</v>
          </cell>
          <cell r="B113" t="str">
            <v>Texas Instruments de México, S. de R.L. de C.V.</v>
          </cell>
          <cell r="C113" t="str">
            <v>TIM840630BS2</v>
          </cell>
          <cell r="D113" t="str">
            <v>Calle Jesus Rivera Franco</v>
          </cell>
          <cell r="F113">
            <v>507</v>
          </cell>
          <cell r="G113" t="str">
            <v>Aguascalientes</v>
          </cell>
          <cell r="H113">
            <v>20290</v>
          </cell>
          <cell r="I113" t="str">
            <v>Aguascalientes</v>
          </cell>
          <cell r="J113" t="str">
            <v>Aguascalientes</v>
          </cell>
          <cell r="K113" t="str">
            <v>México</v>
          </cell>
          <cell r="L113" t="str">
            <v>(449) 9105100</v>
          </cell>
          <cell r="M113">
            <v>30</v>
          </cell>
        </row>
        <row r="114">
          <cell r="A114">
            <v>114</v>
          </cell>
          <cell r="B114" t="str">
            <v>Transmisiones y Equipos Mecánicos, S.A. de C.V.</v>
          </cell>
          <cell r="C114" t="str">
            <v>TEM670628A19</v>
          </cell>
          <cell r="D114" t="str">
            <v>Av. 5 de Febrero</v>
          </cell>
          <cell r="F114">
            <v>2115</v>
          </cell>
          <cell r="G114" t="str">
            <v>Zona Industrial Benito Juárez</v>
          </cell>
          <cell r="H114">
            <v>76120</v>
          </cell>
          <cell r="I114" t="str">
            <v>Querétaro</v>
          </cell>
          <cell r="J114" t="str">
            <v>Querétaro</v>
          </cell>
          <cell r="K114" t="str">
            <v>México</v>
          </cell>
          <cell r="L114" t="str">
            <v>(442) 2117300</v>
          </cell>
          <cell r="M114">
            <v>60</v>
          </cell>
          <cell r="N114" t="str">
            <v>16/12/2014</v>
          </cell>
        </row>
        <row r="115">
          <cell r="A115">
            <v>115</v>
          </cell>
          <cell r="B115" t="str">
            <v>ITP Ingeniería y Fabricación, S.A de C.V.</v>
          </cell>
          <cell r="C115" t="str">
            <v>+</v>
          </cell>
          <cell r="D115" t="str">
            <v>Acceso IV</v>
          </cell>
          <cell r="F115">
            <v>6</v>
          </cell>
          <cell r="G115" t="str">
            <v>Zona Industrial Benito Juárez</v>
          </cell>
          <cell r="H115">
            <v>76120</v>
          </cell>
          <cell r="I115" t="str">
            <v>Querétaro</v>
          </cell>
          <cell r="J115" t="str">
            <v>Querétaro</v>
          </cell>
          <cell r="K115" t="str">
            <v>México</v>
          </cell>
          <cell r="L115" t="str">
            <v>(442) 2963953</v>
          </cell>
          <cell r="M115">
            <v>30</v>
          </cell>
          <cell r="N115" t="str">
            <v>06/05/2015</v>
          </cell>
        </row>
        <row r="116">
          <cell r="A116">
            <v>116</v>
          </cell>
          <cell r="B116" t="str">
            <v>Pentair Valves &amp; Controls de México, .S.A de C.V.</v>
          </cell>
          <cell r="C116" t="str">
            <v>TVC630630BZA</v>
          </cell>
          <cell r="D116" t="str">
            <v>Calle 3 Lotes 13, 14 y 15, Manzana 3</v>
          </cell>
          <cell r="G116" t="str">
            <v>Parque Industrial el Salto</v>
          </cell>
          <cell r="H116">
            <v>45680</v>
          </cell>
          <cell r="I116" t="str">
            <v>El Salto</v>
          </cell>
          <cell r="J116" t="str">
            <v>Jalisco, CP 45680</v>
          </cell>
          <cell r="K116" t="str">
            <v>México</v>
          </cell>
          <cell r="L116" t="str">
            <v>(33) 36684000</v>
          </cell>
          <cell r="M116">
            <v>30</v>
          </cell>
          <cell r="N116" t="str">
            <v>06/03/2015</v>
          </cell>
        </row>
        <row r="117">
          <cell r="A117">
            <v>117</v>
          </cell>
          <cell r="B117" t="str">
            <v>VCST de México, S. de R.L. de C.V.</v>
          </cell>
          <cell r="C117" t="str">
            <v>VME0510128I8</v>
          </cell>
          <cell r="D117" t="str">
            <v>Blvd. Aeropuerto</v>
          </cell>
          <cell r="E117" t="str">
            <v>A</v>
          </cell>
          <cell r="F117">
            <v>2202</v>
          </cell>
          <cell r="G117" t="str">
            <v>Leon de los Aldama</v>
          </cell>
          <cell r="H117">
            <v>37680</v>
          </cell>
          <cell r="I117" t="str">
            <v>León</v>
          </cell>
          <cell r="J117" t="str">
            <v>Guanajuato</v>
          </cell>
          <cell r="K117" t="str">
            <v>México</v>
          </cell>
          <cell r="L117" t="str">
            <v>(477)152 6100</v>
          </cell>
          <cell r="M117">
            <v>30</v>
          </cell>
          <cell r="N117" t="str">
            <v>30/04/2015</v>
          </cell>
        </row>
        <row r="118">
          <cell r="A118">
            <v>118</v>
          </cell>
          <cell r="B118" t="str">
            <v>Western Systems &amp; Supplies, S.A. de C.V.</v>
          </cell>
          <cell r="C118" t="str">
            <v>WSS070828SW8</v>
          </cell>
          <cell r="D118" t="str">
            <v>Santiago Roel</v>
          </cell>
          <cell r="F118">
            <v>305</v>
          </cell>
          <cell r="G118" t="str">
            <v>Burocratas del Edo.</v>
          </cell>
          <cell r="H118">
            <v>64380</v>
          </cell>
          <cell r="I118" t="str">
            <v>Monterrey</v>
          </cell>
          <cell r="J118" t="str">
            <v>Nuevo León, CP 64380</v>
          </cell>
          <cell r="K118" t="str">
            <v>México</v>
          </cell>
          <cell r="L118" t="str">
            <v>(81) 80043384</v>
          </cell>
          <cell r="M118">
            <v>30</v>
          </cell>
        </row>
        <row r="119">
          <cell r="A119">
            <v>119</v>
          </cell>
          <cell r="B119" t="str">
            <v>ZF Chassis Components Toluca, S.A. de C.V.</v>
          </cell>
          <cell r="C119" t="str">
            <v>ZLS981030J38</v>
          </cell>
          <cell r="D119" t="str">
            <v>Calle 7 Norte Manzana J</v>
          </cell>
          <cell r="E119" t="str">
            <v>Lote 2 y 3</v>
          </cell>
          <cell r="F119" t="str">
            <v>S/N</v>
          </cell>
          <cell r="G119" t="str">
            <v>Parque Industrial Toluca 2000</v>
          </cell>
          <cell r="H119">
            <v>50200</v>
          </cell>
          <cell r="I119" t="str">
            <v>Toluca</v>
          </cell>
          <cell r="J119" t="str">
            <v>Estado de México</v>
          </cell>
          <cell r="K119" t="str">
            <v>México</v>
          </cell>
          <cell r="L119" t="str">
            <v>(722) 2769800</v>
          </cell>
          <cell r="M119">
            <v>30</v>
          </cell>
          <cell r="N119" t="str">
            <v>05/01/2015</v>
          </cell>
        </row>
        <row r="120">
          <cell r="A120">
            <v>120</v>
          </cell>
          <cell r="B120" t="str">
            <v>Guillermo Ayala Gutierrez</v>
          </cell>
          <cell r="C120" t="str">
            <v>AAGG7706266Z4</v>
          </cell>
          <cell r="D120" t="str">
            <v>Sor Juana Inés de la Cruz</v>
          </cell>
          <cell r="F120">
            <v>125</v>
          </cell>
          <cell r="G120" t="str">
            <v>Prado Hermoso</v>
          </cell>
          <cell r="H120">
            <v>37238</v>
          </cell>
          <cell r="I120" t="str">
            <v>León</v>
          </cell>
          <cell r="J120" t="str">
            <v>Guanajuato</v>
          </cell>
          <cell r="K120" t="str">
            <v>México</v>
          </cell>
          <cell r="L120" t="str">
            <v>.</v>
          </cell>
          <cell r="M120">
            <v>0</v>
          </cell>
        </row>
        <row r="121">
          <cell r="A121">
            <v>121</v>
          </cell>
          <cell r="B121" t="str">
            <v>Tecnostamp Triulzi Mexico, S. de R.L. de C.V.</v>
          </cell>
          <cell r="C121" t="str">
            <v>TME0707161L2</v>
          </cell>
          <cell r="D121" t="str">
            <v>Benito Juárez</v>
          </cell>
          <cell r="E121" t="str">
            <v>B</v>
          </cell>
          <cell r="F121">
            <v>127</v>
          </cell>
          <cell r="G121" t="str">
            <v>Parque Industrial Querétaro</v>
          </cell>
          <cell r="H121">
            <v>76220</v>
          </cell>
          <cell r="I121" t="str">
            <v>Santa Rosa Jáuregui</v>
          </cell>
          <cell r="J121" t="str">
            <v>Querétaro, CP 76220</v>
          </cell>
          <cell r="K121" t="str">
            <v>México</v>
          </cell>
          <cell r="L121" t="str">
            <v>(442) 1531800</v>
          </cell>
          <cell r="M121">
            <v>30</v>
          </cell>
          <cell r="N121" t="str">
            <v>07/04/2015</v>
          </cell>
        </row>
        <row r="122">
          <cell r="A122">
            <v>122</v>
          </cell>
          <cell r="B122" t="str">
            <v>Control Test and Gages, S.A. de C.V.</v>
          </cell>
          <cell r="C122" t="str">
            <v>CTG1003186V4</v>
          </cell>
          <cell r="D122" t="str">
            <v>Vasco de Quiroga</v>
          </cell>
          <cell r="F122">
            <v>126</v>
          </cell>
          <cell r="G122" t="str">
            <v>Provima</v>
          </cell>
          <cell r="H122">
            <v>38900</v>
          </cell>
          <cell r="I122" t="str">
            <v>Salvatierra</v>
          </cell>
          <cell r="J122" t="str">
            <v>Guanajuato</v>
          </cell>
          <cell r="K122" t="str">
            <v>México</v>
          </cell>
          <cell r="L122" t="str">
            <v>.</v>
          </cell>
          <cell r="M122">
            <v>0</v>
          </cell>
        </row>
        <row r="123">
          <cell r="A123">
            <v>123</v>
          </cell>
          <cell r="B123" t="str">
            <v>Dora Elia Cuellar Luna</v>
          </cell>
          <cell r="C123" t="str">
            <v>CULD730221TN6</v>
          </cell>
          <cell r="D123" t="str">
            <v>Av. de las Misiones</v>
          </cell>
          <cell r="E123" t="str">
            <v>10</v>
          </cell>
          <cell r="F123">
            <v>1</v>
          </cell>
          <cell r="G123" t="str">
            <v>Parque Industrial Bernando Quintana</v>
          </cell>
          <cell r="H123">
            <v>76246</v>
          </cell>
          <cell r="I123" t="str">
            <v>El Marqués</v>
          </cell>
          <cell r="J123" t="str">
            <v>Querétaro, CP 76246</v>
          </cell>
          <cell r="K123" t="str">
            <v>México</v>
          </cell>
          <cell r="L123" t="str">
            <v>.</v>
          </cell>
          <cell r="M123">
            <v>0</v>
          </cell>
        </row>
        <row r="124">
          <cell r="A124">
            <v>124</v>
          </cell>
          <cell r="B124" t="str">
            <v>Imbera, S.A. de C.V.</v>
          </cell>
          <cell r="C124" t="str">
            <v>VME840820RT9</v>
          </cell>
          <cell r="D124" t="str">
            <v>Carretera México - Tequisquiapan Km. 3.2</v>
          </cell>
          <cell r="G124" t="str">
            <v>Zona Industrial</v>
          </cell>
          <cell r="H124">
            <v>76802</v>
          </cell>
          <cell r="I124" t="str">
            <v>San Juan del Río</v>
          </cell>
          <cell r="J124" t="str">
            <v>Querétaro, CP 76802</v>
          </cell>
          <cell r="K124" t="str">
            <v>México</v>
          </cell>
          <cell r="L124" t="str">
            <v>(427) 2718000</v>
          </cell>
          <cell r="M124">
            <v>30</v>
          </cell>
          <cell r="N124" t="str">
            <v>04/05/2015</v>
          </cell>
        </row>
        <row r="125">
          <cell r="A125">
            <v>125</v>
          </cell>
          <cell r="B125" t="str">
            <v>Industrias Camca, S.A. de C.V.</v>
          </cell>
          <cell r="C125" t="str">
            <v>ICA900109T53</v>
          </cell>
          <cell r="D125" t="str">
            <v>Av. La Cañada</v>
          </cell>
          <cell r="F125">
            <v>31</v>
          </cell>
          <cell r="G125" t="str">
            <v>Parque Industrial Bernardo Quintana El Colorado</v>
          </cell>
          <cell r="H125">
            <v>76246</v>
          </cell>
          <cell r="I125" t="str">
            <v>El Marqués</v>
          </cell>
          <cell r="J125" t="str">
            <v>Querétaro, CP 76246</v>
          </cell>
          <cell r="K125" t="str">
            <v>México</v>
          </cell>
          <cell r="L125" t="str">
            <v>442) 2137544</v>
          </cell>
          <cell r="M125">
            <v>0</v>
          </cell>
          <cell r="N125" t="str">
            <v>15/04/2015</v>
          </cell>
        </row>
        <row r="126">
          <cell r="A126">
            <v>126</v>
          </cell>
          <cell r="B126" t="str">
            <v>Inyecciones y Soplados Kompalka, S.A. de C.V.</v>
          </cell>
          <cell r="C126" t="str">
            <v>ISK900226FZ3</v>
          </cell>
          <cell r="D126" t="str">
            <v>Acceso "A"</v>
          </cell>
          <cell r="F126">
            <v>111</v>
          </cell>
          <cell r="G126" t="str">
            <v>Parque Industrial Jurica</v>
          </cell>
          <cell r="H126">
            <v>76100</v>
          </cell>
          <cell r="I126" t="str">
            <v>Querétaro</v>
          </cell>
          <cell r="J126" t="str">
            <v>Querétaro</v>
          </cell>
          <cell r="K126" t="str">
            <v>México</v>
          </cell>
          <cell r="L126" t="str">
            <v>(442) 2170812</v>
          </cell>
          <cell r="M126">
            <v>0</v>
          </cell>
          <cell r="N126" t="str">
            <v>21/02/2014</v>
          </cell>
        </row>
        <row r="127">
          <cell r="A127">
            <v>127</v>
          </cell>
          <cell r="B127" t="str">
            <v>Eva Elizabeth Barrios</v>
          </cell>
          <cell r="C127" t="str">
            <v>BAEV690612RC3</v>
          </cell>
          <cell r="D127" t="str">
            <v>Calle Bahía</v>
          </cell>
          <cell r="F127">
            <v>122</v>
          </cell>
          <cell r="G127" t="str">
            <v>Fracc. Bosques del Banthi</v>
          </cell>
          <cell r="H127" t="str">
            <v>.</v>
          </cell>
          <cell r="I127" t="str">
            <v>San Juan del Río</v>
          </cell>
          <cell r="J127" t="str">
            <v>Querétaro</v>
          </cell>
          <cell r="K127" t="str">
            <v>México</v>
          </cell>
          <cell r="L127" t="str">
            <v>(427) 1053015</v>
          </cell>
          <cell r="M127">
            <v>0</v>
          </cell>
        </row>
        <row r="128">
          <cell r="A128">
            <v>128</v>
          </cell>
          <cell r="B128" t="str">
            <v>Copper-Welding de Mexico, S. de R.L. de C.V.</v>
          </cell>
          <cell r="C128" t="str">
            <v>CME050516K43</v>
          </cell>
          <cell r="D128" t="str">
            <v>La Noria</v>
          </cell>
          <cell r="F128">
            <v>110</v>
          </cell>
          <cell r="G128" t="str">
            <v>Parque Industrial Querétaro</v>
          </cell>
          <cell r="H128">
            <v>76220</v>
          </cell>
          <cell r="I128" t="str">
            <v>Querétaro</v>
          </cell>
          <cell r="J128" t="str">
            <v>Querétaro</v>
          </cell>
          <cell r="K128" t="str">
            <v>México</v>
          </cell>
          <cell r="L128" t="str">
            <v>(442) 2409255</v>
          </cell>
          <cell r="M128">
            <v>30</v>
          </cell>
        </row>
        <row r="129">
          <cell r="A129">
            <v>129</v>
          </cell>
          <cell r="B129" t="str">
            <v>VRK Automotive Systems - Querétaro, S.A. de C.V.</v>
          </cell>
          <cell r="C129" t="str">
            <v>VAS990924U98</v>
          </cell>
          <cell r="D129" t="str">
            <v>La Noria</v>
          </cell>
          <cell r="F129">
            <v>111</v>
          </cell>
          <cell r="G129" t="str">
            <v>Parque Industrial Querétaro</v>
          </cell>
          <cell r="H129">
            <v>76220</v>
          </cell>
          <cell r="I129" t="str">
            <v>Querétaro</v>
          </cell>
          <cell r="J129" t="str">
            <v>Querétaro</v>
          </cell>
          <cell r="K129" t="str">
            <v>México</v>
          </cell>
          <cell r="L129" t="str">
            <v>(442) 2113900</v>
          </cell>
          <cell r="M129">
            <v>30</v>
          </cell>
          <cell r="N129" t="str">
            <v>10/03/2015</v>
          </cell>
        </row>
        <row r="130">
          <cell r="A130">
            <v>130</v>
          </cell>
          <cell r="B130" t="str">
            <v>Behr, Thermot-Tronik de México, S.A. de C.V.</v>
          </cell>
          <cell r="C130" t="str">
            <v>BTT991006VB6</v>
          </cell>
          <cell r="D130" t="str">
            <v>El Conde</v>
          </cell>
          <cell r="F130">
            <v>4</v>
          </cell>
          <cell r="G130" t="str">
            <v>Parque Industrial El Marqués</v>
          </cell>
          <cell r="H130">
            <v>76246</v>
          </cell>
          <cell r="I130" t="str">
            <v>El Marqués</v>
          </cell>
          <cell r="J130" t="str">
            <v>Querétaro, CP 76246</v>
          </cell>
          <cell r="K130" t="str">
            <v>México</v>
          </cell>
          <cell r="L130" t="str">
            <v>(442) 1929100</v>
          </cell>
          <cell r="M130">
            <v>30</v>
          </cell>
        </row>
        <row r="131">
          <cell r="A131">
            <v>131</v>
          </cell>
          <cell r="B131" t="str">
            <v>YR Tech Mexico, S.A. de C.V.</v>
          </cell>
          <cell r="C131" t="str">
            <v>UME0805228V6</v>
          </cell>
          <cell r="D131" t="str">
            <v>Av. Benito Juárez</v>
          </cell>
          <cell r="E131" t="str">
            <v>B</v>
          </cell>
          <cell r="F131">
            <v>121</v>
          </cell>
          <cell r="G131" t="str">
            <v>Parque Industrial Querétaro</v>
          </cell>
          <cell r="H131">
            <v>76220</v>
          </cell>
          <cell r="I131" t="str">
            <v>Santa Rosa Jáuregui</v>
          </cell>
          <cell r="J131" t="str">
            <v>Querétaro, CP 76220</v>
          </cell>
          <cell r="K131" t="str">
            <v>México</v>
          </cell>
          <cell r="L131" t="str">
            <v>(442) 2409380</v>
          </cell>
          <cell r="M131">
            <v>30</v>
          </cell>
        </row>
        <row r="132">
          <cell r="A132">
            <v>132</v>
          </cell>
          <cell r="B132" t="str">
            <v>Capymet, S.A. de C.V.</v>
          </cell>
          <cell r="C132" t="str">
            <v>CAP081120EB9</v>
          </cell>
          <cell r="D132" t="str">
            <v>Acantilado</v>
          </cell>
          <cell r="F132">
            <v>17</v>
          </cell>
          <cell r="G132" t="str">
            <v>El Faro</v>
          </cell>
          <cell r="H132">
            <v>36118</v>
          </cell>
          <cell r="I132" t="str">
            <v>Silao</v>
          </cell>
          <cell r="J132" t="str">
            <v>Guanajuato</v>
          </cell>
          <cell r="K132" t="str">
            <v>México</v>
          </cell>
          <cell r="L132" t="str">
            <v>(472) 7222274</v>
          </cell>
          <cell r="M132">
            <v>15</v>
          </cell>
          <cell r="N132" t="str">
            <v>10/07/2014</v>
          </cell>
          <cell r="O132" t="str">
            <v>pablog@capymet.com</v>
          </cell>
        </row>
        <row r="133">
          <cell r="A133">
            <v>133</v>
          </cell>
          <cell r="B133" t="str">
            <v>Mitutoyo Mexicana, S.A. de C.V.</v>
          </cell>
          <cell r="C133" t="str">
            <v>MME781114247</v>
          </cell>
          <cell r="D133" t="str">
            <v>Prol. Industria Electrica</v>
          </cell>
          <cell r="F133">
            <v>15</v>
          </cell>
          <cell r="G133" t="str">
            <v>Parque Industrial Naucalpan</v>
          </cell>
          <cell r="H133">
            <v>53370</v>
          </cell>
          <cell r="I133" t="str">
            <v>Naucalpan de Juárez</v>
          </cell>
          <cell r="J133" t="str">
            <v>Estado de México</v>
          </cell>
          <cell r="K133" t="str">
            <v>México</v>
          </cell>
          <cell r="L133" t="str">
            <v>.</v>
          </cell>
          <cell r="M133">
            <v>0</v>
          </cell>
        </row>
        <row r="134">
          <cell r="A134">
            <v>134</v>
          </cell>
          <cell r="B134" t="str">
            <v>DSV Air &amp; Sea, S.A. de C.V.</v>
          </cell>
          <cell r="C134" t="str">
            <v>DAA020218JY1</v>
          </cell>
          <cell r="D134" t="str">
            <v>Av. Insurgentes</v>
          </cell>
          <cell r="E134" t="str">
            <v>1er. Piso</v>
          </cell>
          <cell r="F134">
            <v>1032</v>
          </cell>
          <cell r="G134" t="str">
            <v>Insurgentes</v>
          </cell>
          <cell r="H134">
            <v>3100</v>
          </cell>
          <cell r="I134" t="str">
            <v>Deleg. Benito Juárez</v>
          </cell>
          <cell r="J134" t="str">
            <v>Distrito Federal</v>
          </cell>
          <cell r="K134" t="str">
            <v>México</v>
          </cell>
          <cell r="L134" t="str">
            <v>(55) 56156525</v>
          </cell>
          <cell r="M134">
            <v>0</v>
          </cell>
        </row>
        <row r="135">
          <cell r="A135">
            <v>135</v>
          </cell>
          <cell r="B135" t="str">
            <v>Indumet, S.A. de C.V.</v>
          </cell>
          <cell r="C135" t="str">
            <v>IND990809VE0</v>
          </cell>
          <cell r="D135" t="str">
            <v>Blvd. Alfredo del Mazo</v>
          </cell>
          <cell r="E135" t="str">
            <v>B</v>
          </cell>
          <cell r="F135">
            <v>1420</v>
          </cell>
          <cell r="G135" t="str">
            <v>Santa Cruz</v>
          </cell>
          <cell r="H135">
            <v>50290</v>
          </cell>
          <cell r="I135" t="str">
            <v>Toluca</v>
          </cell>
          <cell r="J135" t="str">
            <v>Estado de México</v>
          </cell>
          <cell r="K135" t="str">
            <v>México</v>
          </cell>
          <cell r="L135" t="str">
            <v>(722) 2373188</v>
          </cell>
          <cell r="M135">
            <v>0</v>
          </cell>
          <cell r="N135" t="str">
            <v>10/11/2014</v>
          </cell>
        </row>
        <row r="136">
          <cell r="A136">
            <v>136</v>
          </cell>
          <cell r="B136" t="str">
            <v>Diseño Isometrico de México , S.A. de C.V.</v>
          </cell>
          <cell r="C136" t="str">
            <v>DIM010517AG0</v>
          </cell>
          <cell r="D136" t="str">
            <v>Prol. Quintana Roo</v>
          </cell>
          <cell r="E136" t="str">
            <v>Lote A Mz. 4</v>
          </cell>
          <cell r="F136">
            <v>1094</v>
          </cell>
          <cell r="G136" t="str">
            <v>San Isisdro Miranda</v>
          </cell>
          <cell r="H136">
            <v>76209</v>
          </cell>
          <cell r="I136" t="str">
            <v>El Marqués</v>
          </cell>
          <cell r="J136" t="str">
            <v>Querétaro, CP 76209</v>
          </cell>
          <cell r="K136" t="str">
            <v>México</v>
          </cell>
          <cell r="L136" t="str">
            <v>(442) 2207846</v>
          </cell>
          <cell r="M136">
            <v>15</v>
          </cell>
        </row>
        <row r="137">
          <cell r="A137">
            <v>137</v>
          </cell>
          <cell r="B137" t="str">
            <v>Gabriel Cruz Serrano</v>
          </cell>
          <cell r="C137" t="str">
            <v>CUSG840930SA0</v>
          </cell>
          <cell r="D137" t="str">
            <v>Av. Montevideo</v>
          </cell>
          <cell r="E137" t="str">
            <v>Edificio 61A</v>
          </cell>
          <cell r="F137">
            <v>102</v>
          </cell>
          <cell r="G137" t="str">
            <v>Lindavista</v>
          </cell>
          <cell r="H137">
            <v>7720</v>
          </cell>
          <cell r="I137" t="str">
            <v>Vallejo</v>
          </cell>
          <cell r="J137" t="str">
            <v>Estado de México</v>
          </cell>
          <cell r="K137" t="str">
            <v>México</v>
          </cell>
          <cell r="L137" t="str">
            <v>.</v>
          </cell>
          <cell r="M137">
            <v>0</v>
          </cell>
        </row>
        <row r="138">
          <cell r="A138">
            <v>138</v>
          </cell>
          <cell r="B138" t="str">
            <v>Salvador Gutiérrez Vallejo</v>
          </cell>
          <cell r="C138" t="str">
            <v>GUVS880121KL5</v>
          </cell>
          <cell r="D138" t="str">
            <v>2a. Cuauhtémoc</v>
          </cell>
          <cell r="F138" t="str">
            <v>SN</v>
          </cell>
          <cell r="H138">
            <v>76220</v>
          </cell>
          <cell r="I138" t="str">
            <v>Santa Rosa Jáuregui</v>
          </cell>
          <cell r="J138" t="str">
            <v>Querétaro, CP 76220</v>
          </cell>
          <cell r="K138" t="str">
            <v>México</v>
          </cell>
          <cell r="L138" t="str">
            <v>.</v>
          </cell>
          <cell r="M138">
            <v>0</v>
          </cell>
        </row>
        <row r="139">
          <cell r="A139">
            <v>139</v>
          </cell>
          <cell r="B139" t="str">
            <v>Maquinados y Servicios Especializados, S.A. de C.V.</v>
          </cell>
          <cell r="C139" t="str">
            <v>MSE090521221</v>
          </cell>
          <cell r="D139" t="str">
            <v>Av. Siglo XIX</v>
          </cell>
          <cell r="F139">
            <v>109</v>
          </cell>
          <cell r="G139" t="str">
            <v>(449) 9755502</v>
          </cell>
          <cell r="H139">
            <v>20164</v>
          </cell>
          <cell r="I139" t="str">
            <v>Aguascalientes</v>
          </cell>
          <cell r="J139" t="str">
            <v>Aguascalientes</v>
          </cell>
          <cell r="K139" t="str">
            <v>México</v>
          </cell>
          <cell r="L139" t="str">
            <v>(449) 9755502</v>
          </cell>
          <cell r="M139">
            <v>0</v>
          </cell>
        </row>
        <row r="140">
          <cell r="A140">
            <v>140</v>
          </cell>
          <cell r="B140" t="str">
            <v>Héctor Lugo Guzmán</v>
          </cell>
          <cell r="C140" t="str">
            <v>LUGH580717CQ0</v>
          </cell>
          <cell r="D140" t="str">
            <v>Xicotencatl</v>
          </cell>
          <cell r="F140">
            <v>8</v>
          </cell>
          <cell r="G140" t="str">
            <v>Niños Heroes</v>
          </cell>
          <cell r="H140">
            <v>76010</v>
          </cell>
          <cell r="I140" t="str">
            <v>Querétaro</v>
          </cell>
          <cell r="J140" t="str">
            <v>Querétaro</v>
          </cell>
          <cell r="K140" t="str">
            <v>México</v>
          </cell>
          <cell r="L140" t="str">
            <v>(442) 2166841</v>
          </cell>
          <cell r="M140">
            <v>0</v>
          </cell>
        </row>
        <row r="141">
          <cell r="A141">
            <v>141</v>
          </cell>
          <cell r="B141" t="str">
            <v>Calprec, S.A. de C.V.</v>
          </cell>
          <cell r="C141" t="str">
            <v>CAL0807163Z0</v>
          </cell>
          <cell r="D141" t="str">
            <v>Canj. Fresnos</v>
          </cell>
          <cell r="F141">
            <v>26</v>
          </cell>
          <cell r="G141" t="str">
            <v>Fracc. Los Cedros</v>
          </cell>
          <cell r="H141">
            <v>52154</v>
          </cell>
          <cell r="I141" t="str">
            <v>Metepec</v>
          </cell>
          <cell r="J141" t="str">
            <v>Estado de México</v>
          </cell>
          <cell r="K141" t="str">
            <v>México</v>
          </cell>
          <cell r="L141" t="str">
            <v>.</v>
          </cell>
          <cell r="M141">
            <v>0</v>
          </cell>
        </row>
        <row r="142">
          <cell r="A142">
            <v>142</v>
          </cell>
          <cell r="B142" t="str">
            <v>Process Plants Constructors, S.A. de C.V.</v>
          </cell>
          <cell r="C142" t="str">
            <v>PPC081220CB3</v>
          </cell>
          <cell r="D142" t="str">
            <v>Av. Puebla</v>
          </cell>
          <cell r="F142">
            <v>17</v>
          </cell>
          <cell r="G142" t="str">
            <v>Cuajimalpa</v>
          </cell>
          <cell r="H142">
            <v>5000</v>
          </cell>
          <cell r="I142" t="str">
            <v>Distrito Federal</v>
          </cell>
          <cell r="J142" t="str">
            <v>Distrito Federal</v>
          </cell>
          <cell r="K142" t="str">
            <v>México</v>
          </cell>
          <cell r="L142" t="str">
            <v>.</v>
          </cell>
          <cell r="M142">
            <v>0</v>
          </cell>
        </row>
        <row r="143">
          <cell r="A143">
            <v>143</v>
          </cell>
          <cell r="B143" t="str">
            <v>Provem, S.A. de C.V.</v>
          </cell>
          <cell r="C143" t="str">
            <v>PRO9202057H5</v>
          </cell>
          <cell r="D143" t="str">
            <v>Calz. San Esteban</v>
          </cell>
          <cell r="E143" t="str">
            <v>B</v>
          </cell>
          <cell r="F143">
            <v>71</v>
          </cell>
          <cell r="G143" t="str">
            <v>Lazaro Cardenas</v>
          </cell>
          <cell r="H143">
            <v>53560</v>
          </cell>
          <cell r="I143" t="str">
            <v>Naucalpan de Juárez</v>
          </cell>
          <cell r="J143" t="str">
            <v>Estado de México</v>
          </cell>
          <cell r="K143" t="str">
            <v>México</v>
          </cell>
          <cell r="L143" t="str">
            <v>.</v>
          </cell>
          <cell r="M143">
            <v>0</v>
          </cell>
        </row>
        <row r="144">
          <cell r="A144">
            <v>144</v>
          </cell>
          <cell r="B144" t="str">
            <v>Servindliz, S.A. de C.V.</v>
          </cell>
          <cell r="C144" t="str">
            <v>SER0504046Z8</v>
          </cell>
          <cell r="D144" t="str">
            <v>16 de Septiembre</v>
          </cell>
          <cell r="F144">
            <v>117</v>
          </cell>
          <cell r="G144" t="str">
            <v>El Plan San Marcos</v>
          </cell>
          <cell r="H144">
            <v>42830</v>
          </cell>
          <cell r="I144" t="str">
            <v>Tula de Allende</v>
          </cell>
          <cell r="J144" t="str">
            <v>Hidalgo</v>
          </cell>
          <cell r="K144" t="str">
            <v>México</v>
          </cell>
          <cell r="L144" t="str">
            <v>(442) 3846956</v>
          </cell>
          <cell r="M144">
            <v>0</v>
          </cell>
          <cell r="N144" t="str">
            <v>07/04/2015</v>
          </cell>
        </row>
        <row r="145">
          <cell r="A145">
            <v>145</v>
          </cell>
          <cell r="B145" t="str">
            <v>Miguel Angel Flores Rios</v>
          </cell>
          <cell r="C145" t="str">
            <v>FORM7507017H5</v>
          </cell>
          <cell r="D145" t="str">
            <v>Fernando Montes de Oca</v>
          </cell>
          <cell r="F145">
            <v>848</v>
          </cell>
          <cell r="G145" t="str">
            <v>Latinoamericana</v>
          </cell>
          <cell r="H145">
            <v>25270</v>
          </cell>
          <cell r="I145" t="str">
            <v>Saltillo</v>
          </cell>
          <cell r="J145" t="str">
            <v>Coahuila</v>
          </cell>
          <cell r="K145" t="str">
            <v>México</v>
          </cell>
          <cell r="L145" t="str">
            <v>(844) 1491305</v>
          </cell>
          <cell r="M145">
            <v>0</v>
          </cell>
          <cell r="N145" t="str">
            <v>20/01/2015</v>
          </cell>
        </row>
        <row r="146">
          <cell r="A146">
            <v>146</v>
          </cell>
          <cell r="B146" t="str">
            <v>Seprocal, S.A. de C.V.</v>
          </cell>
          <cell r="C146" t="str">
            <v>SEP061114E16</v>
          </cell>
          <cell r="D146" t="str">
            <v>Calle Bolivia</v>
          </cell>
          <cell r="F146">
            <v>34</v>
          </cell>
          <cell r="G146" t="str">
            <v>Lomas de Querétaro</v>
          </cell>
          <cell r="H146">
            <v>76190</v>
          </cell>
          <cell r="I146" t="str">
            <v>Querétaro</v>
          </cell>
          <cell r="J146" t="str">
            <v>Querétaro</v>
          </cell>
          <cell r="K146" t="str">
            <v>México</v>
          </cell>
          <cell r="L146" t="str">
            <v>(442) 2544024</v>
          </cell>
          <cell r="M146">
            <v>30</v>
          </cell>
          <cell r="N146" t="str">
            <v>27/02/2015</v>
          </cell>
        </row>
        <row r="147">
          <cell r="A147">
            <v>147</v>
          </cell>
          <cell r="B147" t="str">
            <v>Production Services Management de Mexico Operations S. de R.L. de C.V.</v>
          </cell>
          <cell r="C147" t="str">
            <v>PSM070622522</v>
          </cell>
          <cell r="D147" t="str">
            <v>Av. Vasconcelos Planta Alta</v>
          </cell>
          <cell r="F147">
            <v>453</v>
          </cell>
          <cell r="G147" t="str">
            <v>Del Valle</v>
          </cell>
          <cell r="H147">
            <v>66220</v>
          </cell>
          <cell r="I147" t="str">
            <v>San Pedro Garza García</v>
          </cell>
          <cell r="J147" t="str">
            <v>Nuevo León, CP 66220</v>
          </cell>
          <cell r="K147" t="str">
            <v>México</v>
          </cell>
          <cell r="L147" t="str">
            <v>.</v>
          </cell>
          <cell r="M147">
            <v>30</v>
          </cell>
          <cell r="N147" t="str">
            <v>25/02/2014</v>
          </cell>
        </row>
        <row r="148">
          <cell r="A148">
            <v>148</v>
          </cell>
          <cell r="B148" t="str">
            <v>Acerlan, S.A. de C.V.</v>
          </cell>
          <cell r="C148" t="str">
            <v>ACE780915CN5</v>
          </cell>
          <cell r="D148" t="str">
            <v>Camino a San Pedro Ahuacatlán</v>
          </cell>
          <cell r="F148">
            <v>3</v>
          </cell>
          <cell r="G148" t="str">
            <v>Zona Industrial Valle de Oro</v>
          </cell>
          <cell r="H148">
            <v>76802</v>
          </cell>
          <cell r="I148" t="str">
            <v>San Juan del Río</v>
          </cell>
          <cell r="J148" t="str">
            <v>Querétaro, CP 76802</v>
          </cell>
          <cell r="K148" t="str">
            <v>México</v>
          </cell>
          <cell r="L148" t="str">
            <v>(427) 2718600</v>
          </cell>
          <cell r="M148">
            <v>0</v>
          </cell>
        </row>
        <row r="149">
          <cell r="A149">
            <v>149</v>
          </cell>
          <cell r="B149" t="str">
            <v>Frenos y Mecanismos, S. de R.L. de C.V.</v>
          </cell>
          <cell r="C149" t="str">
            <v>FME841214V55</v>
          </cell>
          <cell r="D149" t="str">
            <v>La Griega</v>
          </cell>
          <cell r="F149">
            <v>101</v>
          </cell>
          <cell r="G149" t="str">
            <v>Parque Industrial Querétaro</v>
          </cell>
          <cell r="H149">
            <v>76220</v>
          </cell>
          <cell r="I149" t="str">
            <v>Santa Rosa Jáuregui</v>
          </cell>
          <cell r="J149" t="str">
            <v>Querétaro, CP 76220</v>
          </cell>
          <cell r="K149" t="str">
            <v>México</v>
          </cell>
          <cell r="L149" t="str">
            <v>(442) 2113300</v>
          </cell>
          <cell r="M149">
            <v>30</v>
          </cell>
          <cell r="N149" t="str">
            <v>02/04/2014</v>
          </cell>
        </row>
        <row r="150">
          <cell r="A150">
            <v>150</v>
          </cell>
          <cell r="B150" t="str">
            <v>Airbus Helicopters México, S.A. de C.V.</v>
          </cell>
          <cell r="C150" t="str">
            <v>EME930203ET3</v>
          </cell>
          <cell r="D150" t="str">
            <v>Hangar</v>
          </cell>
          <cell r="E150" t="str">
            <v>Zona "G"</v>
          </cell>
          <cell r="F150">
            <v>1</v>
          </cell>
          <cell r="G150" t="str">
            <v>Aeropuerto Internacional Salas</v>
          </cell>
          <cell r="H150">
            <v>15620</v>
          </cell>
          <cell r="I150" t="str">
            <v>Venustiano Carranza</v>
          </cell>
          <cell r="J150" t="str">
            <v>Distrito Federal</v>
          </cell>
          <cell r="K150" t="str">
            <v>México</v>
          </cell>
          <cell r="L150" t="str">
            <v>(55) 57167555</v>
          </cell>
          <cell r="M150">
            <v>30</v>
          </cell>
          <cell r="N150" t="str">
            <v>08/05/2015</v>
          </cell>
        </row>
        <row r="151">
          <cell r="A151">
            <v>151</v>
          </cell>
          <cell r="B151" t="str">
            <v>Steinbach GmbH</v>
          </cell>
          <cell r="C151" t="str">
            <v>DE 811799335</v>
          </cell>
          <cell r="D151" t="str">
            <v>HueckstraBe</v>
          </cell>
          <cell r="F151">
            <v>19</v>
          </cell>
          <cell r="H151" t="str">
            <v>.</v>
          </cell>
          <cell r="I151" t="str">
            <v>Ludenscheid</v>
          </cell>
          <cell r="K151" t="str">
            <v>Germany</v>
          </cell>
          <cell r="L151" t="str">
            <v>.</v>
          </cell>
          <cell r="M151">
            <v>0</v>
          </cell>
        </row>
        <row r="152">
          <cell r="A152">
            <v>152</v>
          </cell>
          <cell r="B152" t="str">
            <v>Margarita Kaplun Mucharrafille</v>
          </cell>
          <cell r="C152" t="str">
            <v>KAMM7406301MA</v>
          </cell>
          <cell r="D152" t="str">
            <v>Antiguo Camino a Copalita</v>
          </cell>
          <cell r="F152">
            <v>2877</v>
          </cell>
          <cell r="G152" t="str">
            <v>Villas del Valle</v>
          </cell>
          <cell r="H152">
            <v>45220</v>
          </cell>
          <cell r="I152" t="str">
            <v>Zapopan</v>
          </cell>
          <cell r="J152" t="str">
            <v>Jalisco, CP 45220</v>
          </cell>
          <cell r="K152" t="str">
            <v>México</v>
          </cell>
          <cell r="L152" t="str">
            <v>(33) 38344733</v>
          </cell>
          <cell r="M152">
            <v>15</v>
          </cell>
          <cell r="N152" t="str">
            <v>26/03/2015</v>
          </cell>
        </row>
        <row r="153">
          <cell r="A153">
            <v>153</v>
          </cell>
          <cell r="B153" t="str">
            <v>Grupo Marro de Mexico, S.A. de C.V.</v>
          </cell>
          <cell r="C153" t="str">
            <v>GMM980302MDA</v>
          </cell>
          <cell r="D153" t="str">
            <v>Abelardo L. Rodriguez</v>
          </cell>
          <cell r="F153">
            <v>1110</v>
          </cell>
          <cell r="G153" t="str">
            <v>Niño Artillero</v>
          </cell>
          <cell r="H153">
            <v>64280</v>
          </cell>
          <cell r="I153" t="str">
            <v>Monterrey</v>
          </cell>
          <cell r="J153" t="str">
            <v>Nuevo León, CP 64280</v>
          </cell>
          <cell r="K153" t="str">
            <v>México</v>
          </cell>
          <cell r="L153" t="str">
            <v>(81) 8125 5555</v>
          </cell>
          <cell r="M153">
            <v>30</v>
          </cell>
        </row>
        <row r="154">
          <cell r="A154">
            <v>154</v>
          </cell>
          <cell r="B154" t="str">
            <v>Alpla México, S.A. de C.V.</v>
          </cell>
          <cell r="C154" t="str">
            <v>AME990310DP4</v>
          </cell>
          <cell r="D154" t="str">
            <v>Blvd. Miguel Alemán  Km. 7</v>
          </cell>
          <cell r="E154" t="str">
            <v>Lote 6 Mz. 3</v>
          </cell>
          <cell r="G154" t="str">
            <v>Parque Industrial Exportec I</v>
          </cell>
          <cell r="H154">
            <v>50200</v>
          </cell>
          <cell r="I154" t="str">
            <v>Toluca</v>
          </cell>
          <cell r="J154" t="str">
            <v>Estado de México</v>
          </cell>
          <cell r="K154" t="str">
            <v>México</v>
          </cell>
          <cell r="L154" t="str">
            <v>.</v>
          </cell>
          <cell r="M154">
            <v>30</v>
          </cell>
        </row>
        <row r="155">
          <cell r="A155">
            <v>155</v>
          </cell>
          <cell r="B155" t="str">
            <v>Ingeniería y Maquinaria de Guadalupe, S.A. de C.V.</v>
          </cell>
          <cell r="C155" t="str">
            <v>IMG860612JKA</v>
          </cell>
          <cell r="D155" t="str">
            <v>Carretera 57 Km. 1050</v>
          </cell>
          <cell r="G155" t="str">
            <v>Castaño</v>
          </cell>
          <cell r="H155" t="str">
            <v>.</v>
          </cell>
          <cell r="I155" t="str">
            <v>Coahuila</v>
          </cell>
          <cell r="J155" t="str">
            <v>Coahuila</v>
          </cell>
          <cell r="K155" t="str">
            <v>México</v>
          </cell>
          <cell r="L155" t="str">
            <v>(866) 6491900</v>
          </cell>
          <cell r="M155">
            <v>0</v>
          </cell>
          <cell r="N155" t="str">
            <v>02/06/2014</v>
          </cell>
        </row>
        <row r="156">
          <cell r="A156">
            <v>156</v>
          </cell>
          <cell r="B156" t="str">
            <v>Mecánica Tek, S.A. de C.V.</v>
          </cell>
          <cell r="C156" t="str">
            <v>MTE010529QV8</v>
          </cell>
          <cell r="D156" t="str">
            <v>Carretera al Ojo de Agua</v>
          </cell>
          <cell r="E156" t="str">
            <v>B</v>
          </cell>
          <cell r="F156">
            <v>201</v>
          </cell>
          <cell r="G156" t="str">
            <v>Centro</v>
          </cell>
          <cell r="H156">
            <v>66600</v>
          </cell>
          <cell r="I156" t="str">
            <v>Apodaca</v>
          </cell>
          <cell r="J156" t="str">
            <v>Nuevo León, CP 66600</v>
          </cell>
          <cell r="K156" t="str">
            <v>México</v>
          </cell>
          <cell r="L156" t="str">
            <v>(443) 3232360</v>
          </cell>
          <cell r="M156">
            <v>30</v>
          </cell>
          <cell r="N156" t="str">
            <v>27/04/2015</v>
          </cell>
        </row>
        <row r="157">
          <cell r="A157">
            <v>157</v>
          </cell>
          <cell r="B157" t="str">
            <v>José Martín Tellez Saavedra</v>
          </cell>
          <cell r="C157" t="str">
            <v>TESM650223244</v>
          </cell>
          <cell r="D157" t="str">
            <v>Andador K Manzana 10 Lote 233</v>
          </cell>
          <cell r="F157" t="str">
            <v>S/N</v>
          </cell>
          <cell r="G157" t="str">
            <v>Las LLanuras</v>
          </cell>
          <cell r="H157">
            <v>54924</v>
          </cell>
          <cell r="I157" t="str">
            <v>Tultitlán</v>
          </cell>
          <cell r="J157" t="str">
            <v>Estado de México</v>
          </cell>
          <cell r="K157" t="str">
            <v>México</v>
          </cell>
          <cell r="L157" t="str">
            <v>.</v>
          </cell>
          <cell r="M157">
            <v>30</v>
          </cell>
          <cell r="N157" t="str">
            <v>08/12/2014</v>
          </cell>
        </row>
        <row r="158">
          <cell r="A158">
            <v>158</v>
          </cell>
          <cell r="B158" t="str">
            <v>GETRAG S.p.A.</v>
          </cell>
          <cell r="C158" t="str">
            <v>GET101010G10</v>
          </cell>
          <cell r="D158" t="str">
            <v>Via dei Ciclamini</v>
          </cell>
          <cell r="F158">
            <v>4</v>
          </cell>
          <cell r="G158" t="str">
            <v>Modugno (Bari)</v>
          </cell>
          <cell r="H158">
            <v>70026</v>
          </cell>
          <cell r="J158">
            <v>70026</v>
          </cell>
          <cell r="K158" t="str">
            <v>Italia</v>
          </cell>
          <cell r="L158" t="str">
            <v>.</v>
          </cell>
          <cell r="M158">
            <v>0</v>
          </cell>
        </row>
        <row r="159">
          <cell r="A159">
            <v>159</v>
          </cell>
          <cell r="B159" t="str">
            <v>HTHT de México, S. de R.L. de C.V.</v>
          </cell>
          <cell r="C159" t="str">
            <v>HME080410D86</v>
          </cell>
          <cell r="D159" t="str">
            <v>Monte Pirineo</v>
          </cell>
          <cell r="F159">
            <v>118</v>
          </cell>
          <cell r="G159" t="str">
            <v>Arboledas 3a. Seccion</v>
          </cell>
          <cell r="H159">
            <v>38050</v>
          </cell>
          <cell r="I159" t="str">
            <v>Celaya</v>
          </cell>
          <cell r="J159" t="str">
            <v>Guanajuato</v>
          </cell>
          <cell r="K159" t="str">
            <v>México</v>
          </cell>
          <cell r="L159" t="str">
            <v>.</v>
          </cell>
          <cell r="M159">
            <v>30</v>
          </cell>
        </row>
        <row r="160">
          <cell r="A160">
            <v>160</v>
          </cell>
          <cell r="B160" t="str">
            <v>Industrias Unidas, S.A de C.V.</v>
          </cell>
          <cell r="C160" t="str">
            <v>IUN390731NH9</v>
          </cell>
          <cell r="D160" t="str">
            <v>Carretera Panamericana México -Querétaro  Km. 109</v>
          </cell>
          <cell r="F160" t="str">
            <v>S/N</v>
          </cell>
          <cell r="G160" t="str">
            <v>Pasteje</v>
          </cell>
          <cell r="H160">
            <v>50734</v>
          </cell>
          <cell r="I160" t="str">
            <v>Jocotitlán</v>
          </cell>
          <cell r="J160" t="str">
            <v>Estado de México</v>
          </cell>
          <cell r="K160" t="str">
            <v>México</v>
          </cell>
          <cell r="L160" t="str">
            <v>(55) 51793800</v>
          </cell>
          <cell r="M160">
            <v>15</v>
          </cell>
          <cell r="N160" t="str">
            <v>19/03/2015</v>
          </cell>
        </row>
        <row r="161">
          <cell r="A161">
            <v>161</v>
          </cell>
          <cell r="B161" t="str">
            <v>Marindustrias, S.A. de C.V.</v>
          </cell>
          <cell r="C161" t="str">
            <v>MAR9308174P1</v>
          </cell>
          <cell r="D161" t="str">
            <v>Central Oriente</v>
          </cell>
          <cell r="F161">
            <v>5</v>
          </cell>
          <cell r="G161" t="str">
            <v>Parque Industrial Fondeport</v>
          </cell>
          <cell r="H161">
            <v>28219</v>
          </cell>
          <cell r="I161" t="str">
            <v>Manzanillo</v>
          </cell>
          <cell r="J161" t="str">
            <v>Colima, CP 28219</v>
          </cell>
          <cell r="K161" t="str">
            <v>México</v>
          </cell>
          <cell r="L161" t="str">
            <v>.</v>
          </cell>
          <cell r="M161">
            <v>0</v>
          </cell>
          <cell r="N161" t="str">
            <v>12/12/2013</v>
          </cell>
        </row>
        <row r="162">
          <cell r="A162">
            <v>162</v>
          </cell>
          <cell r="B162" t="str">
            <v>Bombas Centrifugas Alemanas, S.A. de C.V.</v>
          </cell>
          <cell r="C162" t="str">
            <v>BCA9307293P1</v>
          </cell>
          <cell r="D162" t="str">
            <v>Autopista Querétaro - Celaya Km. 20</v>
          </cell>
          <cell r="E162" t="str">
            <v>-</v>
          </cell>
          <cell r="F162" t="str">
            <v>-</v>
          </cell>
          <cell r="G162" t="str">
            <v xml:space="preserve"> Amexhé</v>
          </cell>
          <cell r="H162">
            <v>38180</v>
          </cell>
          <cell r="I162" t="str">
            <v>Apaseo el Grande</v>
          </cell>
          <cell r="J162" t="str">
            <v>Guanajuato</v>
          </cell>
          <cell r="K162" t="str">
            <v>México</v>
          </cell>
          <cell r="L162" t="str">
            <v>(442) 2942120</v>
          </cell>
          <cell r="M162">
            <v>0</v>
          </cell>
          <cell r="N162" t="str">
            <v>06/06/2014</v>
          </cell>
        </row>
        <row r="163">
          <cell r="A163">
            <v>163</v>
          </cell>
          <cell r="B163" t="str">
            <v>Compact Mould Mexico S.A. de C.V.</v>
          </cell>
          <cell r="C163" t="str">
            <v>CMM0905077B5</v>
          </cell>
          <cell r="D163" t="str">
            <v>Av. Cantereros</v>
          </cell>
          <cell r="F163">
            <v>16</v>
          </cell>
          <cell r="G163" t="str">
            <v>Parque Industrial Bernardo Quintana</v>
          </cell>
          <cell r="H163">
            <v>76246</v>
          </cell>
          <cell r="I163" t="str">
            <v>El Marqués</v>
          </cell>
          <cell r="J163" t="str">
            <v>Querétaro, CP 76246</v>
          </cell>
          <cell r="K163" t="str">
            <v>México</v>
          </cell>
          <cell r="L163" t="str">
            <v>.</v>
          </cell>
          <cell r="M163">
            <v>0</v>
          </cell>
        </row>
        <row r="164">
          <cell r="A164">
            <v>164</v>
          </cell>
          <cell r="B164" t="str">
            <v>Aplicaciones en Metrología, S.A. de C.V.</v>
          </cell>
          <cell r="C164" t="str">
            <v>AME100814CA5</v>
          </cell>
          <cell r="D164" t="str">
            <v>Blvd. Benito Juárez</v>
          </cell>
          <cell r="E164" t="str">
            <v>4C</v>
          </cell>
          <cell r="F164">
            <v>3857</v>
          </cell>
          <cell r="G164" t="str">
            <v>Fracc. Residencias</v>
          </cell>
          <cell r="H164">
            <v>21280</v>
          </cell>
          <cell r="I164" t="str">
            <v>Mexicali</v>
          </cell>
          <cell r="J164" t="str">
            <v>Baja California</v>
          </cell>
          <cell r="K164" t="str">
            <v>México</v>
          </cell>
          <cell r="L164" t="str">
            <v>(686) 5550088</v>
          </cell>
          <cell r="M164">
            <v>0</v>
          </cell>
          <cell r="N164" t="str">
            <v>29/08/2014</v>
          </cell>
        </row>
        <row r="165">
          <cell r="A165">
            <v>165</v>
          </cell>
          <cell r="B165" t="str">
            <v>The Gund Company Mexico, S. de R.L. de C.V.</v>
          </cell>
          <cell r="C165" t="str">
            <v>GME020514FK3</v>
          </cell>
          <cell r="D165" t="str">
            <v>Av. Santa Rosa del Viterbo</v>
          </cell>
          <cell r="E165" t="str">
            <v>B 4</v>
          </cell>
          <cell r="F165">
            <v>13</v>
          </cell>
          <cell r="G165" t="str">
            <v>Parque Industrial Finsa</v>
          </cell>
          <cell r="H165">
            <v>76246</v>
          </cell>
          <cell r="I165" t="str">
            <v>El Marqués</v>
          </cell>
          <cell r="J165" t="str">
            <v>Querétaro, CP 76246</v>
          </cell>
          <cell r="K165" t="str">
            <v>México</v>
          </cell>
          <cell r="L165" t="str">
            <v>(55) 53652329</v>
          </cell>
          <cell r="M165">
            <v>30</v>
          </cell>
          <cell r="N165" t="str">
            <v>29/04/2015</v>
          </cell>
        </row>
        <row r="166">
          <cell r="A166">
            <v>166</v>
          </cell>
          <cell r="B166" t="str">
            <v>Brose México S.A. de C.V.</v>
          </cell>
          <cell r="C166" t="str">
            <v>BME931001QM7</v>
          </cell>
          <cell r="D166" t="str">
            <v>Calle 2</v>
          </cell>
          <cell r="F166">
            <v>7</v>
          </cell>
          <cell r="G166" t="str">
            <v>Benito Juarez</v>
          </cell>
          <cell r="H166">
            <v>76120</v>
          </cell>
          <cell r="I166" t="str">
            <v>Querétaro</v>
          </cell>
          <cell r="J166" t="str">
            <v>Querétaro</v>
          </cell>
          <cell r="K166" t="str">
            <v>México</v>
          </cell>
          <cell r="L166" t="str">
            <v>.</v>
          </cell>
          <cell r="M166">
            <v>30</v>
          </cell>
        </row>
        <row r="167">
          <cell r="A167">
            <v>167</v>
          </cell>
          <cell r="B167" t="str">
            <v>Progressive Stamping de México S.A. de C.V.</v>
          </cell>
          <cell r="C167" t="str">
            <v>PSM101118J20</v>
          </cell>
          <cell r="D167" t="str">
            <v>Calle 2</v>
          </cell>
          <cell r="F167">
            <v>31</v>
          </cell>
          <cell r="G167" t="str">
            <v>Zona Industrial Benito Juárez</v>
          </cell>
          <cell r="H167">
            <v>76120</v>
          </cell>
          <cell r="I167" t="str">
            <v>Querétaro</v>
          </cell>
          <cell r="J167" t="str">
            <v>Querétaro</v>
          </cell>
          <cell r="K167" t="str">
            <v>México</v>
          </cell>
          <cell r="L167" t="str">
            <v>(442) 2170437</v>
          </cell>
          <cell r="M167">
            <v>0</v>
          </cell>
          <cell r="N167" t="str">
            <v>21/04/2015</v>
          </cell>
        </row>
        <row r="168">
          <cell r="A168">
            <v>168</v>
          </cell>
          <cell r="B168" t="str">
            <v>3D Metrisoft, S.A. de C.V.</v>
          </cell>
          <cell r="C168" t="str">
            <v>TDM060523MP8</v>
          </cell>
          <cell r="D168" t="str">
            <v>Av. Hércules</v>
          </cell>
          <cell r="F168">
            <v>400</v>
          </cell>
          <cell r="G168" t="str">
            <v>Nave 14</v>
          </cell>
          <cell r="H168">
            <v>76230</v>
          </cell>
          <cell r="I168" t="str">
            <v>Santa Rosa Jáuregui</v>
          </cell>
          <cell r="J168" t="str">
            <v>Querétaro, CP 76230</v>
          </cell>
          <cell r="K168" t="str">
            <v>México</v>
          </cell>
          <cell r="L168" t="str">
            <v>(442) 1990573</v>
          </cell>
          <cell r="M168">
            <v>30</v>
          </cell>
        </row>
        <row r="169">
          <cell r="A169">
            <v>169</v>
          </cell>
          <cell r="B169" t="str">
            <v>EagleBurgmann Production Center, S.A. de C.V.</v>
          </cell>
          <cell r="C169" t="str">
            <v>EPC020225IK5</v>
          </cell>
          <cell r="D169" t="str">
            <v>Av. 5 de Febrero</v>
          </cell>
          <cell r="E169" t="str">
            <v>C Bodega 2 y 7</v>
          </cell>
          <cell r="F169">
            <v>1702</v>
          </cell>
          <cell r="G169" t="str">
            <v>Zona Industrial Benito Juárez</v>
          </cell>
          <cell r="H169">
            <v>76120</v>
          </cell>
          <cell r="I169" t="str">
            <v>Querétaro</v>
          </cell>
          <cell r="J169" t="str">
            <v>Querétaro</v>
          </cell>
          <cell r="K169" t="str">
            <v>México</v>
          </cell>
          <cell r="L169" t="str">
            <v>(442) 2204342</v>
          </cell>
          <cell r="M169">
            <v>30</v>
          </cell>
          <cell r="N169" t="str">
            <v>04/05/2015</v>
          </cell>
        </row>
        <row r="170">
          <cell r="A170">
            <v>170</v>
          </cell>
          <cell r="B170" t="str">
            <v>Ferrebaztan, S.A. de C.V.</v>
          </cell>
          <cell r="C170" t="str">
            <v>FER870105RI6</v>
          </cell>
          <cell r="D170" t="str">
            <v>Carretera Panamericana Km. 284</v>
          </cell>
          <cell r="H170">
            <v>38020</v>
          </cell>
          <cell r="I170" t="str">
            <v>Celaya</v>
          </cell>
          <cell r="J170" t="str">
            <v>Guanajuato</v>
          </cell>
          <cell r="K170" t="str">
            <v>México</v>
          </cell>
          <cell r="L170" t="str">
            <v>.</v>
          </cell>
          <cell r="M170">
            <v>0</v>
          </cell>
        </row>
        <row r="171">
          <cell r="A171">
            <v>171</v>
          </cell>
          <cell r="B171" t="str">
            <v>Armando Rodríguez Martínez</v>
          </cell>
          <cell r="C171" t="str">
            <v>ROMA771108IVA</v>
          </cell>
          <cell r="D171" t="str">
            <v>Yuca</v>
          </cell>
          <cell r="E171" t="str">
            <v>Casa 14</v>
          </cell>
          <cell r="F171">
            <v>202</v>
          </cell>
          <cell r="G171" t="str">
            <v>Arboledas</v>
          </cell>
          <cell r="H171">
            <v>76140</v>
          </cell>
          <cell r="I171" t="str">
            <v>Querétaro</v>
          </cell>
          <cell r="J171" t="str">
            <v>Querétaro</v>
          </cell>
          <cell r="K171" t="str">
            <v>México</v>
          </cell>
          <cell r="L171" t="str">
            <v>.</v>
          </cell>
          <cell r="M171">
            <v>0</v>
          </cell>
          <cell r="N171" t="str">
            <v>04/08/2014</v>
          </cell>
        </row>
        <row r="172">
          <cell r="A172">
            <v>172</v>
          </cell>
          <cell r="B172" t="str">
            <v xml:space="preserve">Alteq de Mexico, S.A. de C.V., </v>
          </cell>
          <cell r="D172" t="str">
            <v>Trevino Sur</v>
          </cell>
          <cell r="F172">
            <v>615</v>
          </cell>
          <cell r="G172" t="str">
            <v>Zona Centro</v>
          </cell>
          <cell r="H172">
            <v>66400</v>
          </cell>
          <cell r="I172" t="str">
            <v>San Nicolás de los Garza</v>
          </cell>
          <cell r="J172" t="str">
            <v>Nuevo León,</v>
          </cell>
          <cell r="K172" t="str">
            <v>México</v>
          </cell>
          <cell r="L172" t="str">
            <v>.</v>
          </cell>
          <cell r="M172">
            <v>0</v>
          </cell>
          <cell r="N172" t="str">
            <v>05/06/2014</v>
          </cell>
        </row>
        <row r="173">
          <cell r="A173">
            <v>173</v>
          </cell>
          <cell r="B173" t="str">
            <v>Conmed Labmet, S. de R.L. de C.V.</v>
          </cell>
          <cell r="C173" t="str">
            <v>CLA110408IJ1</v>
          </cell>
          <cell r="D173" t="str">
            <v>Hacienda La Noria</v>
          </cell>
          <cell r="F173">
            <v>15</v>
          </cell>
          <cell r="G173" t="str">
            <v>Mansiones del Valle</v>
          </cell>
          <cell r="H173">
            <v>76185</v>
          </cell>
          <cell r="I173" t="str">
            <v>Querétaro</v>
          </cell>
          <cell r="J173" t="str">
            <v>Querétaro</v>
          </cell>
          <cell r="K173" t="str">
            <v>México</v>
          </cell>
          <cell r="L173" t="str">
            <v>.</v>
          </cell>
          <cell r="M173">
            <v>0</v>
          </cell>
        </row>
        <row r="174">
          <cell r="A174">
            <v>174</v>
          </cell>
          <cell r="B174" t="str">
            <v>Abel Espitia Martinez</v>
          </cell>
          <cell r="C174" t="str">
            <v>EIMA471205ML0</v>
          </cell>
          <cell r="D174" t="str">
            <v xml:space="preserve">Camino antiguo a la estación </v>
          </cell>
          <cell r="F174">
            <v>105</v>
          </cell>
          <cell r="G174" t="str">
            <v>Predio san Ignacio</v>
          </cell>
          <cell r="H174">
            <v>38495</v>
          </cell>
          <cell r="I174" t="str">
            <v>Cortazar</v>
          </cell>
          <cell r="J174" t="str">
            <v>Guanajuato</v>
          </cell>
          <cell r="K174" t="str">
            <v>México</v>
          </cell>
          <cell r="M174">
            <v>0</v>
          </cell>
          <cell r="N174" t="str">
            <v>23/04/2015</v>
          </cell>
          <cell r="O174" t="str">
            <v>MAPRECOR</v>
          </cell>
        </row>
        <row r="175">
          <cell r="A175">
            <v>175</v>
          </cell>
          <cell r="B175" t="str">
            <v>GROB México, S.A. de C.V.</v>
          </cell>
          <cell r="C175" t="str">
            <v>GME000724NL9</v>
          </cell>
          <cell r="D175" t="str">
            <v>Anillo Vial F. Junípero</v>
          </cell>
          <cell r="E175" t="str">
            <v>Nave 6</v>
          </cell>
          <cell r="F175">
            <v>7310</v>
          </cell>
          <cell r="G175" t="str">
            <v>Misión de Concá</v>
          </cell>
          <cell r="H175">
            <v>76149</v>
          </cell>
          <cell r="I175" t="str">
            <v>Querétaro</v>
          </cell>
          <cell r="J175" t="str">
            <v>Querétaro</v>
          </cell>
          <cell r="K175" t="str">
            <v>México</v>
          </cell>
          <cell r="L175" t="str">
            <v>(442) 7136600</v>
          </cell>
          <cell r="M175">
            <v>0</v>
          </cell>
          <cell r="N175" t="str">
            <v>10/04/2014</v>
          </cell>
        </row>
        <row r="176">
          <cell r="A176">
            <v>176</v>
          </cell>
          <cell r="B176" t="str">
            <v>Cie Celaya, S.A.P.I. de C.V.</v>
          </cell>
          <cell r="C176" t="str">
            <v>CCE001027PF6</v>
          </cell>
          <cell r="D176" t="str">
            <v>Av. Norte Cuatro</v>
          </cell>
          <cell r="F176">
            <v>100</v>
          </cell>
          <cell r="G176" t="str">
            <v>Ciudad Industrial</v>
          </cell>
          <cell r="H176">
            <v>38010</v>
          </cell>
          <cell r="I176" t="str">
            <v>Celaya</v>
          </cell>
          <cell r="J176" t="str">
            <v>Guanajuato</v>
          </cell>
          <cell r="K176" t="str">
            <v>México</v>
          </cell>
          <cell r="M176">
            <v>30</v>
          </cell>
          <cell r="N176" t="str">
            <v>03/11/2014</v>
          </cell>
        </row>
        <row r="177">
          <cell r="A177">
            <v>177</v>
          </cell>
          <cell r="B177" t="str">
            <v>Swequipos, S.A. de C.V.</v>
          </cell>
          <cell r="C177" t="str">
            <v>SWE870130TK6</v>
          </cell>
          <cell r="D177" t="str">
            <v>Fernando Montes de Oca</v>
          </cell>
          <cell r="E177" t="str">
            <v>1</v>
          </cell>
          <cell r="F177">
            <v>21</v>
          </cell>
          <cell r="G177" t="str">
            <v>Industrial San Nicolás Tlalnepantla</v>
          </cell>
          <cell r="H177">
            <v>54030</v>
          </cell>
          <cell r="J177" t="str">
            <v>Estado de México</v>
          </cell>
          <cell r="K177" t="str">
            <v>México</v>
          </cell>
          <cell r="L177" t="str">
            <v>.</v>
          </cell>
          <cell r="M177">
            <v>0</v>
          </cell>
        </row>
        <row r="178">
          <cell r="A178">
            <v>178</v>
          </cell>
          <cell r="B178" t="str">
            <v>KSB de México, S.A. de C.V.</v>
          </cell>
          <cell r="C178" t="str">
            <v>KME9501257E0</v>
          </cell>
          <cell r="D178" t="str">
            <v>Av. Peñuelas</v>
          </cell>
          <cell r="F178">
            <v>19</v>
          </cell>
          <cell r="G178" t="str">
            <v>San Pedrito Peñuelas</v>
          </cell>
          <cell r="H178">
            <v>76148</v>
          </cell>
          <cell r="I178" t="str">
            <v>Querétaro</v>
          </cell>
          <cell r="J178" t="str">
            <v>Querétaro</v>
          </cell>
          <cell r="K178" t="str">
            <v>México</v>
          </cell>
          <cell r="L178" t="str">
            <v>(442) 3091000</v>
          </cell>
          <cell r="M178">
            <v>30</v>
          </cell>
          <cell r="N178" t="str">
            <v>07/05/2015</v>
          </cell>
        </row>
        <row r="179">
          <cell r="A179">
            <v>179</v>
          </cell>
          <cell r="B179" t="str">
            <v>Woco Tech de México, S.A. de C.V.</v>
          </cell>
          <cell r="C179" t="str">
            <v>WTM0505199P0</v>
          </cell>
          <cell r="D179" t="str">
            <v>Av. de las Fuentes</v>
          </cell>
          <cell r="F179">
            <v>17</v>
          </cell>
          <cell r="G179" t="str">
            <v>Parque Ind. B. Quintana</v>
          </cell>
          <cell r="H179">
            <v>76246</v>
          </cell>
          <cell r="I179" t="str">
            <v>El Marqués</v>
          </cell>
          <cell r="J179" t="str">
            <v>Querétaro, CP 76246</v>
          </cell>
          <cell r="K179" t="str">
            <v>México</v>
          </cell>
          <cell r="L179" t="str">
            <v>.</v>
          </cell>
          <cell r="M179">
            <v>30</v>
          </cell>
          <cell r="N179" t="str">
            <v>09/07/2014</v>
          </cell>
        </row>
        <row r="180">
          <cell r="A180">
            <v>180</v>
          </cell>
          <cell r="B180" t="str">
            <v>Kolt Technology, S.A. de C.V.</v>
          </cell>
          <cell r="C180" t="str">
            <v>KTE080821C27</v>
          </cell>
          <cell r="D180" t="str">
            <v>Libramiento Sur Poniente Km. 17.9</v>
          </cell>
          <cell r="G180" t="str">
            <v>Los Angeles</v>
          </cell>
          <cell r="H180">
            <v>76090</v>
          </cell>
          <cell r="I180" t="str">
            <v>Corregidora</v>
          </cell>
          <cell r="J180" t="str">
            <v>Querétaro, CP 76090</v>
          </cell>
          <cell r="K180" t="str">
            <v>México</v>
          </cell>
          <cell r="L180" t="str">
            <v>(442) 2256641 / 44</v>
          </cell>
          <cell r="M180">
            <v>15</v>
          </cell>
          <cell r="N180" t="str">
            <v>05/05/2015</v>
          </cell>
        </row>
        <row r="181">
          <cell r="A181">
            <v>181</v>
          </cell>
          <cell r="B181" t="str">
            <v>Puertas y Diseños de Madera, S.A. de C.V.</v>
          </cell>
          <cell r="C181" t="str">
            <v>PDM820525IS3</v>
          </cell>
          <cell r="D181" t="str">
            <v>Manzana 7</v>
          </cell>
          <cell r="E181" t="str">
            <v>Lote 2 y 3</v>
          </cell>
          <cell r="G181" t="str">
            <v>Nuevo Parque Industrial</v>
          </cell>
          <cell r="H181" t="str">
            <v>.</v>
          </cell>
          <cell r="I181" t="str">
            <v>San Juan del Río</v>
          </cell>
          <cell r="J181" t="str">
            <v>Querétaro</v>
          </cell>
          <cell r="K181" t="str">
            <v>México</v>
          </cell>
          <cell r="L181" t="str">
            <v>.</v>
          </cell>
          <cell r="M181">
            <v>0</v>
          </cell>
        </row>
        <row r="182">
          <cell r="A182">
            <v>182</v>
          </cell>
          <cell r="B182" t="str">
            <v>Dongbu Daewoo Electronics Home Appliance de México, S.A. de C.V.</v>
          </cell>
          <cell r="C182" t="str">
            <v>DEH940802D75</v>
          </cell>
          <cell r="D182" t="str">
            <v>Av. Paseo de los Arcos</v>
          </cell>
          <cell r="F182">
            <v>7</v>
          </cell>
          <cell r="G182" t="str">
            <v>Parque Industrial Bernardo Quintana</v>
          </cell>
          <cell r="H182">
            <v>76246</v>
          </cell>
          <cell r="I182" t="str">
            <v>El Marqués</v>
          </cell>
          <cell r="J182" t="str">
            <v>Querétaro, CP 76246</v>
          </cell>
          <cell r="K182" t="str">
            <v>México</v>
          </cell>
          <cell r="L182" t="str">
            <v>.</v>
          </cell>
          <cell r="M182">
            <v>0</v>
          </cell>
          <cell r="N182" t="str">
            <v>23/09/2014</v>
          </cell>
        </row>
        <row r="183">
          <cell r="A183">
            <v>183</v>
          </cell>
          <cell r="B183" t="str">
            <v>Eriez Equipos Magnéticos, S.A. de C.V.</v>
          </cell>
          <cell r="C183" t="str">
            <v>EEM870114JS5</v>
          </cell>
          <cell r="D183" t="str">
            <v>Fernando Montes de Oca</v>
          </cell>
          <cell r="E183" t="str">
            <v>1</v>
          </cell>
          <cell r="F183">
            <v>21</v>
          </cell>
          <cell r="G183" t="str">
            <v>Industrial San Nicolás</v>
          </cell>
          <cell r="H183">
            <v>54030</v>
          </cell>
          <cell r="I183" t="str">
            <v>Tlalnepantla de Baz</v>
          </cell>
          <cell r="J183" t="str">
            <v>Estado de México</v>
          </cell>
          <cell r="K183" t="str">
            <v>México</v>
          </cell>
          <cell r="L183" t="str">
            <v>(55) 53219800</v>
          </cell>
          <cell r="M183">
            <v>0</v>
          </cell>
        </row>
        <row r="184">
          <cell r="A184">
            <v>184</v>
          </cell>
          <cell r="B184" t="str">
            <v>Gat México, S.A. de C.V.</v>
          </cell>
          <cell r="C184" t="str">
            <v>GME090225HNA</v>
          </cell>
          <cell r="D184" t="str">
            <v>Carretera Panamericana Km. 284</v>
          </cell>
          <cell r="F184" t="str">
            <v>S/N</v>
          </cell>
          <cell r="G184" t="str">
            <v>2da. Fracción de Crespo</v>
          </cell>
          <cell r="H184">
            <v>38110</v>
          </cell>
          <cell r="I184" t="str">
            <v>Celaya</v>
          </cell>
          <cell r="J184" t="str">
            <v>Guanajuato</v>
          </cell>
          <cell r="K184" t="str">
            <v>México</v>
          </cell>
          <cell r="L184" t="str">
            <v>(461) 6110413</v>
          </cell>
          <cell r="M184">
            <v>30</v>
          </cell>
          <cell r="N184" t="str">
            <v>23/04/2015</v>
          </cell>
        </row>
        <row r="185">
          <cell r="A185">
            <v>185</v>
          </cell>
          <cell r="B185" t="str">
            <v>Cotromma, S.A. de C.V.</v>
          </cell>
          <cell r="C185" t="str">
            <v>COT090227KK8</v>
          </cell>
          <cell r="D185" t="str">
            <v>Río Nilo</v>
          </cell>
          <cell r="F185">
            <v>65</v>
          </cell>
          <cell r="G185" t="str">
            <v>Sin Colonia</v>
          </cell>
          <cell r="H185">
            <v>38150</v>
          </cell>
          <cell r="I185" t="str">
            <v>El Sauz</v>
          </cell>
          <cell r="J185" t="str">
            <v>Guanajuato</v>
          </cell>
          <cell r="K185" t="str">
            <v>México</v>
          </cell>
          <cell r="L185" t="str">
            <v>.</v>
          </cell>
          <cell r="M185">
            <v>0</v>
          </cell>
        </row>
        <row r="186">
          <cell r="A186">
            <v>186</v>
          </cell>
          <cell r="B186" t="str">
            <v>Mas Precisa, S.A. de C.V.</v>
          </cell>
          <cell r="C186" t="str">
            <v>MPR970724975</v>
          </cell>
          <cell r="D186" t="str">
            <v xml:space="preserve"> Av. 17  de Mayo</v>
          </cell>
          <cell r="E186" t="str">
            <v>1</v>
          </cell>
          <cell r="F186">
            <v>75</v>
          </cell>
          <cell r="G186" t="str">
            <v>San Bartolo Atepehuacan</v>
          </cell>
          <cell r="H186">
            <v>7750</v>
          </cell>
          <cell r="I186" t="str">
            <v>Deleg. Gustavo A. Madero</v>
          </cell>
          <cell r="J186" t="str">
            <v>Distrito Federal</v>
          </cell>
          <cell r="K186" t="str">
            <v>México</v>
          </cell>
          <cell r="L186" t="str">
            <v>.</v>
          </cell>
          <cell r="M186">
            <v>0</v>
          </cell>
        </row>
        <row r="187">
          <cell r="A187">
            <v>187</v>
          </cell>
          <cell r="B187" t="str">
            <v>Industrias de Mecánica Aplicada, S.A. de C.V.</v>
          </cell>
          <cell r="C187" t="str">
            <v>IMA800428IG2</v>
          </cell>
          <cell r="D187" t="str">
            <v>Benigno Perez</v>
          </cell>
          <cell r="F187" t="str">
            <v>22A</v>
          </cell>
          <cell r="G187" t="str">
            <v>Ex. Hda. de Xalpa</v>
          </cell>
          <cell r="H187">
            <v>54680</v>
          </cell>
          <cell r="I187" t="str">
            <v>Huehuetoca</v>
          </cell>
          <cell r="J187" t="str">
            <v>Estado de México</v>
          </cell>
          <cell r="K187" t="str">
            <v>México</v>
          </cell>
          <cell r="L187" t="str">
            <v>.</v>
          </cell>
          <cell r="M187">
            <v>0</v>
          </cell>
        </row>
        <row r="188">
          <cell r="A188">
            <v>188</v>
          </cell>
          <cell r="B188" t="str">
            <v>Herramientas Profesionales Beta, S.A. de C.V.</v>
          </cell>
          <cell r="C188" t="str">
            <v>HPB020416382</v>
          </cell>
          <cell r="D188" t="str">
            <v>Gutierrez Najera</v>
          </cell>
          <cell r="E188" t="str">
            <v>22</v>
          </cell>
          <cell r="F188">
            <v>74</v>
          </cell>
          <cell r="G188" t="str">
            <v>Centro</v>
          </cell>
          <cell r="H188">
            <v>76000</v>
          </cell>
          <cell r="I188" t="str">
            <v>Querétaro</v>
          </cell>
          <cell r="J188" t="str">
            <v>Querétaro</v>
          </cell>
          <cell r="K188" t="str">
            <v>México</v>
          </cell>
          <cell r="L188" t="str">
            <v>(442) 3081095</v>
          </cell>
          <cell r="M188">
            <v>0</v>
          </cell>
        </row>
        <row r="189">
          <cell r="A189">
            <v>189</v>
          </cell>
          <cell r="B189" t="str">
            <v>Inmetmatic, S.A. de C.V.</v>
          </cell>
          <cell r="C189" t="str">
            <v>INM060424AP3</v>
          </cell>
          <cell r="D189" t="str">
            <v>Av. Santa Fé</v>
          </cell>
          <cell r="F189">
            <v>12</v>
          </cell>
          <cell r="G189" t="str">
            <v>Parque Industrial Opcion</v>
          </cell>
          <cell r="H189">
            <v>37980</v>
          </cell>
          <cell r="I189" t="str">
            <v>San José Iturbide</v>
          </cell>
          <cell r="J189" t="str">
            <v>Guanajuato</v>
          </cell>
          <cell r="K189" t="str">
            <v>México</v>
          </cell>
          <cell r="L189" t="str">
            <v>.</v>
          </cell>
          <cell r="M189">
            <v>0</v>
          </cell>
          <cell r="N189" t="str">
            <v>27/05/2014</v>
          </cell>
        </row>
        <row r="190">
          <cell r="A190">
            <v>190</v>
          </cell>
          <cell r="B190" t="str">
            <v>Empresas Suarez, S.A. de C.V.</v>
          </cell>
          <cell r="C190" t="str">
            <v>ESU920302BM7</v>
          </cell>
          <cell r="D190" t="str">
            <v>Av. México - Japón</v>
          </cell>
          <cell r="F190">
            <v>156</v>
          </cell>
          <cell r="G190" t="str">
            <v>Ciudad Industrial</v>
          </cell>
          <cell r="H190">
            <v>38010</v>
          </cell>
          <cell r="I190" t="str">
            <v>Celaya</v>
          </cell>
          <cell r="J190" t="str">
            <v>Guanajuato</v>
          </cell>
          <cell r="K190" t="str">
            <v>México</v>
          </cell>
          <cell r="L190" t="str">
            <v>(461) 6116455</v>
          </cell>
          <cell r="M190">
            <v>0</v>
          </cell>
        </row>
        <row r="191">
          <cell r="A191">
            <v>191</v>
          </cell>
          <cell r="B191" t="str">
            <v>Wurth Elektronik México, S.A. de C.V.</v>
          </cell>
          <cell r="C191" t="str">
            <v>WEM061031LV0</v>
          </cell>
          <cell r="D191" t="str">
            <v>Calle Río Duero</v>
          </cell>
          <cell r="F191">
            <v>1122</v>
          </cell>
          <cell r="G191" t="str">
            <v>Parque Tecnoindustrial Castro del Río</v>
          </cell>
          <cell r="H191">
            <v>36810</v>
          </cell>
          <cell r="I191" t="str">
            <v>Irapuato</v>
          </cell>
          <cell r="J191" t="str">
            <v>Guanajuato</v>
          </cell>
          <cell r="K191" t="str">
            <v>México</v>
          </cell>
          <cell r="L191" t="str">
            <v>.</v>
          </cell>
          <cell r="M191">
            <v>30</v>
          </cell>
          <cell r="N191" t="str">
            <v>12/02/2014</v>
          </cell>
        </row>
        <row r="192">
          <cell r="A192">
            <v>192</v>
          </cell>
          <cell r="B192" t="str">
            <v>Alba Edna Hernández Coleote</v>
          </cell>
          <cell r="C192" t="str">
            <v>HECA871226NW9</v>
          </cell>
          <cell r="D192" t="str">
            <v>Cerro del Mercado</v>
          </cell>
          <cell r="F192">
            <v>6</v>
          </cell>
          <cell r="G192" t="str">
            <v>Malintzin</v>
          </cell>
          <cell r="H192">
            <v>72210</v>
          </cell>
          <cell r="I192" t="str">
            <v>Puebla</v>
          </cell>
          <cell r="J192" t="str">
            <v>Puebla, CP 72210</v>
          </cell>
          <cell r="K192" t="str">
            <v>México</v>
          </cell>
          <cell r="L192" t="str">
            <v>(222) 8872807</v>
          </cell>
          <cell r="M192">
            <v>0</v>
          </cell>
          <cell r="N192" t="str">
            <v>19/02/2015</v>
          </cell>
        </row>
        <row r="193">
          <cell r="A193">
            <v>193</v>
          </cell>
          <cell r="B193" t="str">
            <v>Bombas Accesorios y Maniobras, S.A. de C.V.</v>
          </cell>
          <cell r="C193" t="str">
            <v>BAM021219SR4</v>
          </cell>
          <cell r="D193" t="str">
            <v>Av. Irrigación</v>
          </cell>
          <cell r="E193" t="str">
            <v>Local 23-C</v>
          </cell>
          <cell r="F193">
            <v>103</v>
          </cell>
          <cell r="G193" t="str">
            <v>Exelaris</v>
          </cell>
          <cell r="H193">
            <v>38015</v>
          </cell>
          <cell r="I193" t="str">
            <v>Celaya</v>
          </cell>
          <cell r="J193" t="str">
            <v>Guanajuato</v>
          </cell>
          <cell r="K193" t="str">
            <v>México</v>
          </cell>
          <cell r="L193" t="str">
            <v>(461) 6133330</v>
          </cell>
          <cell r="M193">
            <v>30</v>
          </cell>
          <cell r="N193" t="str">
            <v>15/04/2015</v>
          </cell>
        </row>
        <row r="194">
          <cell r="A194">
            <v>194</v>
          </cell>
          <cell r="B194" t="str">
            <v>Monroe México, S.A. de C.V.</v>
          </cell>
          <cell r="C194" t="str">
            <v>MME9212188B5</v>
          </cell>
          <cell r="D194" t="str">
            <v>Av. Poniente 4</v>
          </cell>
          <cell r="F194">
            <v>118</v>
          </cell>
          <cell r="G194" t="str">
            <v>Ciudad Industrial</v>
          </cell>
          <cell r="H194">
            <v>38010</v>
          </cell>
          <cell r="I194" t="str">
            <v>Celaya</v>
          </cell>
          <cell r="J194" t="str">
            <v>Guanajuato</v>
          </cell>
          <cell r="K194" t="str">
            <v>México</v>
          </cell>
          <cell r="L194" t="str">
            <v>(461) 6186500</v>
          </cell>
          <cell r="M194">
            <v>30</v>
          </cell>
          <cell r="N194" t="str">
            <v>16/10/2014</v>
          </cell>
        </row>
        <row r="195">
          <cell r="A195">
            <v>195</v>
          </cell>
          <cell r="B195" t="str">
            <v>Nacional de Cobre, S.A. de C.V.</v>
          </cell>
          <cell r="C195" t="str">
            <v>NCO790613NL3</v>
          </cell>
          <cell r="D195" t="str">
            <v>Poniente 134</v>
          </cell>
          <cell r="E195" t="str">
            <v>2° Piso</v>
          </cell>
          <cell r="F195">
            <v>719</v>
          </cell>
          <cell r="G195" t="str">
            <v>Industrial Vallejo</v>
          </cell>
          <cell r="H195">
            <v>2300</v>
          </cell>
          <cell r="I195" t="str">
            <v>Azcapotzalco</v>
          </cell>
          <cell r="J195" t="str">
            <v>Distrito Federal</v>
          </cell>
          <cell r="K195" t="str">
            <v>México</v>
          </cell>
          <cell r="M195">
            <v>30</v>
          </cell>
          <cell r="N195" t="str">
            <v>15/04/2015</v>
          </cell>
        </row>
        <row r="196">
          <cell r="A196">
            <v>196</v>
          </cell>
          <cell r="B196" t="str">
            <v>Watlow de México, S.A. de C.V.</v>
          </cell>
          <cell r="C196" t="str">
            <v>WME9407136F6</v>
          </cell>
          <cell r="D196" t="str">
            <v>Cto. El Marqués Norte</v>
          </cell>
          <cell r="E196" t="str">
            <v>A</v>
          </cell>
          <cell r="F196">
            <v>44</v>
          </cell>
          <cell r="G196" t="str">
            <v>Parque Industrial El Marqués - El Colorado</v>
          </cell>
          <cell r="H196">
            <v>76246</v>
          </cell>
          <cell r="I196" t="str">
            <v>El Marqués</v>
          </cell>
          <cell r="J196" t="str">
            <v>Querétaro.</v>
          </cell>
          <cell r="K196" t="str">
            <v>México</v>
          </cell>
          <cell r="L196" t="str">
            <v>(442) 2562200</v>
          </cell>
          <cell r="M196">
            <v>30</v>
          </cell>
          <cell r="N196" t="str">
            <v>09/04/2015</v>
          </cell>
        </row>
        <row r="197">
          <cell r="A197">
            <v>197</v>
          </cell>
          <cell r="B197" t="str">
            <v>Manufacturas SEGAC, S.A. de C.V.</v>
          </cell>
          <cell r="C197" t="str">
            <v>MSE970821SI3</v>
          </cell>
          <cell r="D197" t="str">
            <v>Plaza Capuchinas</v>
          </cell>
          <cell r="F197">
            <v>107</v>
          </cell>
          <cell r="G197" t="str">
            <v>Plazas del Sol</v>
          </cell>
          <cell r="H197">
            <v>76099</v>
          </cell>
          <cell r="I197" t="str">
            <v>Querétaro</v>
          </cell>
          <cell r="J197" t="str">
            <v>Querétaro</v>
          </cell>
          <cell r="K197" t="str">
            <v>México</v>
          </cell>
          <cell r="M197">
            <v>30</v>
          </cell>
          <cell r="N197" t="str">
            <v>08/05/2015</v>
          </cell>
        </row>
        <row r="198">
          <cell r="A198">
            <v>198</v>
          </cell>
          <cell r="B198" t="str">
            <v>Simca Grupo Industrial, S.A. de C.V.</v>
          </cell>
          <cell r="C198" t="str">
            <v>SGI040825NL2</v>
          </cell>
          <cell r="D198" t="str">
            <v>Cajeros</v>
          </cell>
          <cell r="F198">
            <v>45</v>
          </cell>
          <cell r="G198" t="str">
            <v>El Sifon</v>
          </cell>
          <cell r="H198">
            <v>9400</v>
          </cell>
          <cell r="I198" t="str">
            <v>Deleg. Iztapalapa</v>
          </cell>
          <cell r="J198" t="str">
            <v>Distrito Federal</v>
          </cell>
          <cell r="K198" t="str">
            <v>México</v>
          </cell>
          <cell r="L198" t="str">
            <v>.</v>
          </cell>
          <cell r="M198">
            <v>0</v>
          </cell>
        </row>
        <row r="199">
          <cell r="A199">
            <v>199</v>
          </cell>
          <cell r="B199" t="str">
            <v>Industrias Dinamek , S.A. de C.V.</v>
          </cell>
          <cell r="C199" t="str">
            <v>IDI891208JB4</v>
          </cell>
          <cell r="D199" t="str">
            <v>San Juan de los Lagos</v>
          </cell>
          <cell r="F199">
            <v>3986</v>
          </cell>
          <cell r="G199" t="str">
            <v>Los Altos</v>
          </cell>
          <cell r="H199">
            <v>66370</v>
          </cell>
          <cell r="I199" t="str">
            <v>Monterrey</v>
          </cell>
          <cell r="J199" t="str">
            <v>Nuevo León, CP 66370</v>
          </cell>
          <cell r="K199" t="str">
            <v>México</v>
          </cell>
          <cell r="L199" t="str">
            <v>(81) 13659000</v>
          </cell>
          <cell r="M199">
            <v>0</v>
          </cell>
        </row>
        <row r="200">
          <cell r="A200">
            <v>200</v>
          </cell>
          <cell r="B200" t="str">
            <v>Seprocal, S.A. de C.V.</v>
          </cell>
          <cell r="C200" t="str">
            <v>-</v>
          </cell>
          <cell r="D200" t="str">
            <v>Panorámica</v>
          </cell>
          <cell r="E200" t="str">
            <v>-</v>
          </cell>
          <cell r="F200">
            <v>7</v>
          </cell>
          <cell r="G200" t="str">
            <v>Huertas la Joya</v>
          </cell>
          <cell r="H200">
            <v>76137</v>
          </cell>
          <cell r="I200" t="str">
            <v>Querétaro</v>
          </cell>
          <cell r="J200" t="str">
            <v>Querétaro</v>
          </cell>
          <cell r="K200" t="str">
            <v>México</v>
          </cell>
          <cell r="N200" t="str">
            <v>13/02/2015</v>
          </cell>
        </row>
        <row r="201">
          <cell r="A201">
            <v>201</v>
          </cell>
          <cell r="B201" t="str">
            <v>Bodegas  Alfer, S.A. de C.V.</v>
          </cell>
          <cell r="C201" t="str">
            <v>BAL961213533</v>
          </cell>
          <cell r="D201" t="str">
            <v>Blvd. Macario Gaxiola</v>
          </cell>
          <cell r="E201" t="str">
            <v>Nte.</v>
          </cell>
          <cell r="F201">
            <v>755</v>
          </cell>
          <cell r="G201" t="str">
            <v>Fracc. El Parque</v>
          </cell>
          <cell r="H201">
            <v>81259</v>
          </cell>
          <cell r="I201" t="str">
            <v>Los Mochis</v>
          </cell>
          <cell r="J201" t="str">
            <v>Sinaloa, CP 81259</v>
          </cell>
          <cell r="K201" t="str">
            <v>México</v>
          </cell>
          <cell r="L201" t="str">
            <v>.</v>
          </cell>
          <cell r="M201">
            <v>30</v>
          </cell>
        </row>
        <row r="202">
          <cell r="A202">
            <v>202</v>
          </cell>
          <cell r="B202" t="str">
            <v>Axon' Interconex, S.A. de C.V.</v>
          </cell>
          <cell r="C202" t="str">
            <v>AIN060214PN9</v>
          </cell>
          <cell r="D202" t="str">
            <v>Av. Peñuelas</v>
          </cell>
          <cell r="F202" t="str">
            <v>26A</v>
          </cell>
          <cell r="G202" t="str">
            <v>Industrial San Pedrito Peñuelas</v>
          </cell>
          <cell r="H202">
            <v>76148</v>
          </cell>
          <cell r="I202" t="str">
            <v>Querétaro</v>
          </cell>
          <cell r="J202" t="str">
            <v>Querétaro</v>
          </cell>
          <cell r="K202" t="str">
            <v>México</v>
          </cell>
          <cell r="L202" t="str">
            <v>(442) 2152713</v>
          </cell>
          <cell r="M202">
            <v>0</v>
          </cell>
        </row>
        <row r="203">
          <cell r="A203">
            <v>203</v>
          </cell>
          <cell r="B203" t="str">
            <v>Zanini de México, S.A. de C.V.</v>
          </cell>
          <cell r="C203" t="str">
            <v>ZME970416BG1</v>
          </cell>
          <cell r="D203" t="str">
            <v>Av. La Cañada</v>
          </cell>
          <cell r="E203" t="str">
            <v>Lote 5</v>
          </cell>
          <cell r="F203">
            <v>49</v>
          </cell>
          <cell r="G203" t="str">
            <v>Parque Industrial Finsa</v>
          </cell>
          <cell r="H203">
            <v>76246</v>
          </cell>
          <cell r="I203" t="str">
            <v>El Marqués</v>
          </cell>
          <cell r="J203" t="str">
            <v>Querétaro</v>
          </cell>
          <cell r="K203" t="str">
            <v>México</v>
          </cell>
          <cell r="L203" t="str">
            <v>.</v>
          </cell>
          <cell r="M203">
            <v>30</v>
          </cell>
        </row>
        <row r="204">
          <cell r="A204">
            <v>204</v>
          </cell>
          <cell r="B204" t="str">
            <v>Juan Manuel Ramírez López</v>
          </cell>
          <cell r="C204" t="str">
            <v>RALJ490328BU9</v>
          </cell>
          <cell r="D204" t="str">
            <v>Av. Morelos Norte</v>
          </cell>
          <cell r="E204" t="str">
            <v>6</v>
          </cell>
          <cell r="F204">
            <v>49</v>
          </cell>
          <cell r="G204" t="str">
            <v>San Pedro Ahuacatlán</v>
          </cell>
          <cell r="H204">
            <v>76810</v>
          </cell>
          <cell r="I204" t="str">
            <v>San Juan del Río</v>
          </cell>
          <cell r="J204" t="str">
            <v>Querétaro, CP 76810</v>
          </cell>
          <cell r="K204" t="str">
            <v>México</v>
          </cell>
          <cell r="L204" t="str">
            <v>.</v>
          </cell>
          <cell r="M204">
            <v>0</v>
          </cell>
        </row>
        <row r="205">
          <cell r="A205">
            <v>205</v>
          </cell>
          <cell r="B205" t="str">
            <v>Prettl Electric de México, S.A. de C.V.</v>
          </cell>
          <cell r="C205" t="str">
            <v>PEB060831943</v>
          </cell>
          <cell r="D205" t="str">
            <v>Libramiento Empalme Escobedo</v>
          </cell>
          <cell r="F205">
            <v>50</v>
          </cell>
          <cell r="G205" t="str">
            <v>.</v>
          </cell>
          <cell r="H205">
            <v>38200</v>
          </cell>
          <cell r="I205" t="str">
            <v>Comonfort</v>
          </cell>
          <cell r="J205" t="str">
            <v>Guanajuato</v>
          </cell>
          <cell r="K205" t="str">
            <v>México</v>
          </cell>
          <cell r="L205" t="str">
            <v>(412) 1563900</v>
          </cell>
          <cell r="M205">
            <v>0</v>
          </cell>
        </row>
        <row r="206">
          <cell r="A206">
            <v>206</v>
          </cell>
          <cell r="B206" t="str">
            <v>Industrial Corona de México, S.A. de C.V.</v>
          </cell>
          <cell r="C206" t="str">
            <v>ICM8403079C4</v>
          </cell>
          <cell r="D206" t="str">
            <v>Av. Tolteca</v>
          </cell>
          <cell r="F206">
            <v>151</v>
          </cell>
          <cell r="G206" t="str">
            <v>San Pedro de los Pinos</v>
          </cell>
          <cell r="H206">
            <v>1180</v>
          </cell>
          <cell r="J206" t="str">
            <v>Distrito Federal</v>
          </cell>
          <cell r="K206" t="str">
            <v>México</v>
          </cell>
          <cell r="L206" t="str">
            <v>(55) 52732364</v>
          </cell>
          <cell r="M206">
            <v>0</v>
          </cell>
          <cell r="N206" t="str">
            <v>20/11/2014</v>
          </cell>
        </row>
        <row r="207">
          <cell r="A207">
            <v>207</v>
          </cell>
          <cell r="B207" t="str">
            <v>GW Plastics Mexicana, S. de R.L. de C.V.</v>
          </cell>
          <cell r="C207" t="str">
            <v>GPM050509983</v>
          </cell>
          <cell r="D207" t="str">
            <v>Cto. del Marqués Norte</v>
          </cell>
          <cell r="F207" t="str">
            <v>23a</v>
          </cell>
          <cell r="G207" t="str">
            <v>Parque Industrial el Marqués</v>
          </cell>
          <cell r="H207">
            <v>76246</v>
          </cell>
          <cell r="I207" t="str">
            <v>El Marqués</v>
          </cell>
          <cell r="J207" t="str">
            <v>Querétaro, CP 76246</v>
          </cell>
          <cell r="K207" t="str">
            <v>México</v>
          </cell>
          <cell r="L207" t="str">
            <v>(442) 2531069</v>
          </cell>
          <cell r="M207">
            <v>30</v>
          </cell>
          <cell r="N207" t="str">
            <v>17/04/2015</v>
          </cell>
        </row>
        <row r="208">
          <cell r="A208">
            <v>208</v>
          </cell>
          <cell r="B208" t="str">
            <v>Thermotech, S.A. de C.V.</v>
          </cell>
          <cell r="C208" t="str">
            <v>THE000411HX0</v>
          </cell>
          <cell r="D208" t="str">
            <v>Av. La Griega</v>
          </cell>
          <cell r="F208">
            <v>121</v>
          </cell>
          <cell r="G208" t="str">
            <v>Parque Industrial Querétaro</v>
          </cell>
          <cell r="H208">
            <v>76220</v>
          </cell>
          <cell r="I208" t="str">
            <v>Santa Rosa Jáuregui</v>
          </cell>
          <cell r="J208" t="str">
            <v>Querétaro, CP 76220</v>
          </cell>
          <cell r="K208" t="str">
            <v>México</v>
          </cell>
          <cell r="L208" t="str">
            <v>.</v>
          </cell>
          <cell r="M208">
            <v>30</v>
          </cell>
        </row>
        <row r="209">
          <cell r="A209">
            <v>209</v>
          </cell>
          <cell r="B209" t="str">
            <v>Grupo de Metrología CLAM, S.A. de C.V.</v>
          </cell>
          <cell r="C209" t="str">
            <v>GMC030214LA2</v>
          </cell>
          <cell r="D209" t="str">
            <v>Calle Mision de Santiago</v>
          </cell>
          <cell r="F209">
            <v>15</v>
          </cell>
          <cell r="G209" t="str">
            <v>Las Misones</v>
          </cell>
          <cell r="H209">
            <v>53140</v>
          </cell>
          <cell r="I209" t="str">
            <v>Naucalpan de Juárez</v>
          </cell>
          <cell r="J209" t="str">
            <v>Estado de México</v>
          </cell>
          <cell r="K209" t="str">
            <v>México</v>
          </cell>
          <cell r="L209" t="str">
            <v>(55) 53436204</v>
          </cell>
          <cell r="M209">
            <v>30</v>
          </cell>
          <cell r="N209" t="str">
            <v>21/04/2015</v>
          </cell>
        </row>
        <row r="210">
          <cell r="A210">
            <v>210</v>
          </cell>
          <cell r="B210" t="str">
            <v>Jorge de Jesús Cobian Ordoñez</v>
          </cell>
          <cell r="C210" t="str">
            <v>COOJ5603127F4</v>
          </cell>
          <cell r="D210" t="str">
            <v>Carretera Federal Cuernavaca Cuautla Km. 11</v>
          </cell>
          <cell r="G210" t="str">
            <v>Cuauchiles</v>
          </cell>
          <cell r="H210">
            <v>62578</v>
          </cell>
          <cell r="I210" t="str">
            <v>Jiutepec</v>
          </cell>
          <cell r="J210" t="str">
            <v>Morelos, CP 62578</v>
          </cell>
          <cell r="K210" t="str">
            <v>México</v>
          </cell>
          <cell r="L210" t="str">
            <v>.</v>
          </cell>
          <cell r="M210">
            <v>0</v>
          </cell>
        </row>
        <row r="211">
          <cell r="A211">
            <v>211</v>
          </cell>
          <cell r="B211" t="str">
            <v>Engranes y cuchillas BETMA, S.A. de C.V.</v>
          </cell>
          <cell r="C211" t="str">
            <v>ECB0010279I2</v>
          </cell>
          <cell r="D211" t="str">
            <v xml:space="preserve">Carretera Querétaro - San Luis Potosí  Rosal 9 Km. 20.5
</v>
          </cell>
          <cell r="G211" t="str">
            <v>Las Rosas</v>
          </cell>
          <cell r="H211">
            <v>76220</v>
          </cell>
          <cell r="I211" t="str">
            <v>Santa Rosa Jáuregui</v>
          </cell>
          <cell r="J211" t="str">
            <v>Querétaro, CP 76220</v>
          </cell>
          <cell r="K211" t="str">
            <v>México</v>
          </cell>
          <cell r="L211" t="str">
            <v>.</v>
          </cell>
          <cell r="M211">
            <v>0</v>
          </cell>
          <cell r="N211" t="str">
            <v>21/04/2014</v>
          </cell>
        </row>
        <row r="212">
          <cell r="A212">
            <v>212</v>
          </cell>
          <cell r="B212" t="str">
            <v>Asesoría y Servicios Integrales en Calibración, S.C.</v>
          </cell>
          <cell r="C212" t="str">
            <v>ASI970120U23</v>
          </cell>
          <cell r="D212" t="str">
            <v>Colima</v>
          </cell>
          <cell r="E212" t="str">
            <v>B</v>
          </cell>
          <cell r="F212">
            <v>11</v>
          </cell>
          <cell r="G212" t="str">
            <v>San Lorenzo Tepaltitlan</v>
          </cell>
          <cell r="H212">
            <v>50010</v>
          </cell>
          <cell r="I212" t="str">
            <v>Toluca</v>
          </cell>
          <cell r="J212" t="str">
            <v>Estado de México</v>
          </cell>
          <cell r="K212" t="str">
            <v>México</v>
          </cell>
          <cell r="L212" t="str">
            <v>(722) 2720277</v>
          </cell>
          <cell r="M212">
            <v>0</v>
          </cell>
          <cell r="N212" t="str">
            <v>25/02/2015</v>
          </cell>
        </row>
        <row r="213">
          <cell r="A213">
            <v>213</v>
          </cell>
          <cell r="B213" t="str">
            <v>Farma Envases, S.A. de C.V.</v>
          </cell>
          <cell r="C213" t="str">
            <v>FEN851119FR8</v>
          </cell>
          <cell r="D213" t="str">
            <v>Cto. El Marqués Norte</v>
          </cell>
          <cell r="E213" t="str">
            <v>Lote 19 20  Mz. VIII</v>
          </cell>
          <cell r="F213">
            <v>43</v>
          </cell>
          <cell r="G213" t="str">
            <v>Parque Industrial El Márques</v>
          </cell>
          <cell r="H213">
            <v>76246</v>
          </cell>
          <cell r="I213" t="str">
            <v>El Marqués</v>
          </cell>
          <cell r="J213" t="str">
            <v xml:space="preserve">Querétaro, </v>
          </cell>
          <cell r="K213" t="str">
            <v>México</v>
          </cell>
          <cell r="L213" t="str">
            <v>.</v>
          </cell>
          <cell r="M213">
            <v>30</v>
          </cell>
          <cell r="N213" t="str">
            <v>01/08/2014</v>
          </cell>
        </row>
        <row r="214">
          <cell r="A214">
            <v>214</v>
          </cell>
          <cell r="B214" t="str">
            <v>Fortumaq, S.A. de C.V.</v>
          </cell>
          <cell r="C214" t="str">
            <v>FOR050307E68</v>
          </cell>
          <cell r="D214" t="str">
            <v>Salvador Díaz Mirón</v>
          </cell>
          <cell r="F214">
            <v>16</v>
          </cell>
          <cell r="G214" t="str">
            <v>Santa Ana Zapotitlan</v>
          </cell>
          <cell r="H214">
            <v>13210</v>
          </cell>
          <cell r="I214" t="str">
            <v>Tlahuac</v>
          </cell>
          <cell r="J214" t="str">
            <v>Distrito Federal, CP 13210</v>
          </cell>
          <cell r="K214" t="str">
            <v>México</v>
          </cell>
          <cell r="L214" t="str">
            <v>.</v>
          </cell>
          <cell r="M214">
            <v>0</v>
          </cell>
        </row>
        <row r="215">
          <cell r="A215">
            <v>215</v>
          </cell>
          <cell r="B215" t="str">
            <v>Wiesauplast de México, S. de R.L. de C.V.</v>
          </cell>
          <cell r="C215" t="str">
            <v>WPM050505IV4</v>
          </cell>
          <cell r="D215" t="str">
            <v>Av. Santa Fé</v>
          </cell>
          <cell r="F215">
            <v>15</v>
          </cell>
          <cell r="G215" t="str">
            <v>Parque Industrial Opción</v>
          </cell>
          <cell r="H215">
            <v>37980</v>
          </cell>
          <cell r="I215" t="str">
            <v>San José Iturbide</v>
          </cell>
          <cell r="J215" t="str">
            <v>Guanajuato, CP 37980</v>
          </cell>
          <cell r="K215" t="str">
            <v>México</v>
          </cell>
          <cell r="L215" t="str">
            <v>(419) 1090414</v>
          </cell>
          <cell r="M215">
            <v>30</v>
          </cell>
          <cell r="N215" t="str">
            <v>05/05/2015</v>
          </cell>
        </row>
        <row r="216">
          <cell r="A216">
            <v>216</v>
          </cell>
          <cell r="B216" t="str">
            <v>Resortes y Partes, S.A. de C.V.</v>
          </cell>
          <cell r="C216" t="str">
            <v>RPA741011JK8</v>
          </cell>
          <cell r="D216" t="str">
            <v>Calle Leibnitz</v>
          </cell>
          <cell r="F216">
            <v>205</v>
          </cell>
          <cell r="G216" t="str">
            <v>Anzures</v>
          </cell>
          <cell r="H216">
            <v>11590</v>
          </cell>
          <cell r="J216" t="str">
            <v>Distrito Federal, CP 11590</v>
          </cell>
          <cell r="K216" t="str">
            <v>México</v>
          </cell>
          <cell r="L216" t="str">
            <v>(55) 53587366</v>
          </cell>
          <cell r="M216">
            <v>0</v>
          </cell>
        </row>
        <row r="217">
          <cell r="A217">
            <v>217</v>
          </cell>
          <cell r="B217" t="str">
            <v>Valeo Sistemas Eléctricos, S.A. de C.V.</v>
          </cell>
          <cell r="C217" t="str">
            <v>VSE941206BT0</v>
          </cell>
          <cell r="D217" t="str">
            <v>Carretera México - Piedras Negras, Km 416</v>
          </cell>
          <cell r="F217">
            <v>3900</v>
          </cell>
          <cell r="G217" t="str">
            <v>Zona Industrial del Potosí</v>
          </cell>
          <cell r="H217">
            <v>78395</v>
          </cell>
          <cell r="I217" t="str">
            <v>San Luis Potosí</v>
          </cell>
          <cell r="J217" t="str">
            <v>San Luis Potosí, CP 78395</v>
          </cell>
          <cell r="K217" t="str">
            <v>México</v>
          </cell>
          <cell r="M217">
            <v>0</v>
          </cell>
          <cell r="N217" t="str">
            <v>27/04/2015</v>
          </cell>
        </row>
        <row r="218">
          <cell r="A218">
            <v>218</v>
          </cell>
          <cell r="B218" t="str">
            <v>Martin Gallardo Teran</v>
          </cell>
          <cell r="C218" t="str">
            <v>GATM6509239S0</v>
          </cell>
          <cell r="D218" t="str">
            <v>El Freno</v>
          </cell>
          <cell r="F218">
            <v>202</v>
          </cell>
          <cell r="G218" t="str">
            <v>Lomas de Santiago</v>
          </cell>
          <cell r="H218">
            <v>78170</v>
          </cell>
          <cell r="I218" t="str">
            <v>San Luis Potosí</v>
          </cell>
          <cell r="J218" t="str">
            <v>San Luis Potosí, CP 78170</v>
          </cell>
          <cell r="K218" t="str">
            <v>México</v>
          </cell>
          <cell r="L218" t="str">
            <v>.</v>
          </cell>
          <cell r="M218">
            <v>0</v>
          </cell>
        </row>
        <row r="219">
          <cell r="A219">
            <v>219</v>
          </cell>
          <cell r="B219" t="str">
            <v>Frigus Bohn, S.A. de C.V.</v>
          </cell>
          <cell r="C219" t="str">
            <v>FBO931125PX5</v>
          </cell>
          <cell r="D219" t="str">
            <v>Acceso II, Calle 2</v>
          </cell>
          <cell r="F219">
            <v>48</v>
          </cell>
          <cell r="G219" t="str">
            <v>Parque Industrial Benito Juárez</v>
          </cell>
          <cell r="H219">
            <v>76120</v>
          </cell>
          <cell r="I219" t="str">
            <v>Querétaro</v>
          </cell>
          <cell r="J219" t="str">
            <v>Querétaro</v>
          </cell>
          <cell r="K219" t="str">
            <v>México</v>
          </cell>
          <cell r="L219" t="str">
            <v>(442) 2964561</v>
          </cell>
          <cell r="M219">
            <v>0</v>
          </cell>
        </row>
        <row r="220">
          <cell r="A220">
            <v>220</v>
          </cell>
          <cell r="B220" t="str">
            <v>SouthWest United Galnik, S.A. de C.V.</v>
          </cell>
          <cell r="C220" t="str">
            <v>SUG0910213S6</v>
          </cell>
          <cell r="D220" t="str">
            <v>Avenido de la Luz Acceso II</v>
          </cell>
          <cell r="E220" t="str">
            <v>Nave 16</v>
          </cell>
          <cell r="F220">
            <v>24</v>
          </cell>
          <cell r="G220" t="str">
            <v>Zona Industrial Benito Juárez</v>
          </cell>
          <cell r="H220">
            <v>76120</v>
          </cell>
          <cell r="I220" t="str">
            <v>Querétaro</v>
          </cell>
          <cell r="J220" t="str">
            <v>Querétaro</v>
          </cell>
          <cell r="K220" t="str">
            <v>México</v>
          </cell>
          <cell r="L220" t="str">
            <v>.</v>
          </cell>
          <cell r="M220">
            <v>0</v>
          </cell>
        </row>
        <row r="221">
          <cell r="A221">
            <v>221</v>
          </cell>
          <cell r="B221" t="str">
            <v>MYMA Solumeca, S.A. de C.V.</v>
          </cell>
          <cell r="C221" t="str">
            <v>SOL0804194T3</v>
          </cell>
          <cell r="D221" t="str">
            <v>Carr. Sahagún Mex</v>
          </cell>
          <cell r="F221" t="str">
            <v>16 Racc 3</v>
          </cell>
          <cell r="G221" t="str">
            <v>Fracc. Industrial Sahagún</v>
          </cell>
          <cell r="H221">
            <v>43998</v>
          </cell>
          <cell r="I221" t="str">
            <v>Sahagún Tepeapulco</v>
          </cell>
          <cell r="J221" t="str">
            <v>Hidalgo, CP 43998</v>
          </cell>
          <cell r="K221" t="str">
            <v>México</v>
          </cell>
          <cell r="L221" t="str">
            <v>.</v>
          </cell>
          <cell r="M221">
            <v>0</v>
          </cell>
          <cell r="N221" t="str">
            <v>30/10/2014</v>
          </cell>
        </row>
        <row r="222">
          <cell r="A222">
            <v>222</v>
          </cell>
          <cell r="B222" t="str">
            <v>Comisión Federal de Electricidad</v>
          </cell>
          <cell r="C222" t="str">
            <v>CFE370814QI0</v>
          </cell>
          <cell r="D222" t="str">
            <v>Avenida Paseo de la Reforma</v>
          </cell>
          <cell r="F222">
            <v>164</v>
          </cell>
          <cell r="G222" t="str">
            <v>Juárez</v>
          </cell>
          <cell r="H222">
            <v>6600</v>
          </cell>
          <cell r="I222" t="str">
            <v>Deleg. Cuauhtemoc</v>
          </cell>
          <cell r="J222" t="str">
            <v>Distrito Federal, CP 6600</v>
          </cell>
          <cell r="K222" t="str">
            <v>México</v>
          </cell>
          <cell r="M222">
            <v>0</v>
          </cell>
          <cell r="N222" t="str">
            <v>13/03/2015</v>
          </cell>
        </row>
        <row r="223">
          <cell r="A223">
            <v>223</v>
          </cell>
          <cell r="B223" t="str">
            <v>Metecno, S.A. de C.V.</v>
          </cell>
          <cell r="C223" t="str">
            <v>MET001004LX0</v>
          </cell>
          <cell r="D223" t="str">
            <v>Av. Mesa de León</v>
          </cell>
          <cell r="F223">
            <v>116</v>
          </cell>
          <cell r="G223" t="str">
            <v>Parque Industrial Querétaro</v>
          </cell>
          <cell r="H223" t="str">
            <v>.</v>
          </cell>
          <cell r="I223" t="str">
            <v>Santa Rosa Jáuregui</v>
          </cell>
          <cell r="J223" t="str">
            <v>Querétaro</v>
          </cell>
          <cell r="K223" t="str">
            <v>México</v>
          </cell>
          <cell r="L223" t="str">
            <v>.</v>
          </cell>
          <cell r="M223">
            <v>30</v>
          </cell>
        </row>
        <row r="224">
          <cell r="A224">
            <v>224</v>
          </cell>
          <cell r="B224" t="str">
            <v>Vinittor´s, S.A. de C.V.</v>
          </cell>
          <cell r="C224" t="str">
            <v>VIN101013EKO</v>
          </cell>
          <cell r="D224" t="str">
            <v>Av. Francia</v>
          </cell>
          <cell r="F224">
            <v>84</v>
          </cell>
          <cell r="G224" t="str">
            <v>Residencial del Valle</v>
          </cell>
          <cell r="H224" t="str">
            <v>.</v>
          </cell>
          <cell r="I224" t="str">
            <v>San Juan del Río</v>
          </cell>
          <cell r="J224" t="str">
            <v>Querétaro</v>
          </cell>
          <cell r="K224" t="str">
            <v>México</v>
          </cell>
          <cell r="L224" t="str">
            <v>(427) 4889049</v>
          </cell>
          <cell r="M224">
            <v>0</v>
          </cell>
        </row>
        <row r="225">
          <cell r="A225">
            <v>225</v>
          </cell>
          <cell r="B225" t="str">
            <v>María del Carmen López Franco</v>
          </cell>
          <cell r="C225" t="str">
            <v>LOFC610805E39</v>
          </cell>
          <cell r="D225" t="str">
            <v>Acceso III</v>
          </cell>
          <cell r="E225" t="str">
            <v>2</v>
          </cell>
          <cell r="F225">
            <v>42</v>
          </cell>
          <cell r="G225" t="str">
            <v>Fraccionamiento Industrial Benito Juárez</v>
          </cell>
          <cell r="H225">
            <v>76120</v>
          </cell>
          <cell r="I225" t="str">
            <v>Querétaro</v>
          </cell>
          <cell r="J225" t="str">
            <v>Querétaro</v>
          </cell>
          <cell r="K225" t="str">
            <v>México</v>
          </cell>
          <cell r="M225">
            <v>0</v>
          </cell>
          <cell r="N225" t="str">
            <v>13/04/2015</v>
          </cell>
        </row>
        <row r="226">
          <cell r="A226">
            <v>226</v>
          </cell>
          <cell r="B226" t="str">
            <v>Laboratorios Cryopharma, S.A. de C.V.</v>
          </cell>
          <cell r="C226" t="str">
            <v>LCR640311740</v>
          </cell>
          <cell r="D226" t="str">
            <v>Carretera Guadalajara - Morelia Km. 22.5</v>
          </cell>
          <cell r="G226" t="str">
            <v>Tlajomulco de Zuñiga</v>
          </cell>
          <cell r="H226">
            <v>45640</v>
          </cell>
          <cell r="I226" t="str">
            <v>Tlajomulco de Zuñiga</v>
          </cell>
          <cell r="J226" t="str">
            <v>Jalisco, CP 45640</v>
          </cell>
          <cell r="K226" t="str">
            <v>México</v>
          </cell>
          <cell r="L226" t="str">
            <v>(33) 32830000</v>
          </cell>
          <cell r="M226">
            <v>0</v>
          </cell>
        </row>
        <row r="227">
          <cell r="A227">
            <v>227</v>
          </cell>
          <cell r="B227" t="str">
            <v>Electrónica Clarion, S.A. de C.V.</v>
          </cell>
          <cell r="C227" t="str">
            <v>ECL831108M87</v>
          </cell>
          <cell r="D227" t="str">
            <v>Av. Nueve</v>
          </cell>
          <cell r="F227" t="str">
            <v>Oriente 3</v>
          </cell>
          <cell r="G227" t="str">
            <v>Zona Industrial Valle de Oro</v>
          </cell>
          <cell r="H227">
            <v>76803</v>
          </cell>
          <cell r="I227" t="str">
            <v>San Juan del Río</v>
          </cell>
          <cell r="J227" t="str">
            <v>Querétaro, CP 76800</v>
          </cell>
          <cell r="K227" t="str">
            <v>México</v>
          </cell>
          <cell r="L227" t="str">
            <v>(427) 2718800</v>
          </cell>
          <cell r="M227">
            <v>0</v>
          </cell>
        </row>
        <row r="228">
          <cell r="A228">
            <v>228</v>
          </cell>
          <cell r="B228" t="str">
            <v>Tekfor México, S.A. de C.V.</v>
          </cell>
          <cell r="C228" t="str">
            <v>TME100127BW0</v>
          </cell>
          <cell r="D228" t="str">
            <v>Río Danubio</v>
          </cell>
          <cell r="F228">
            <v>625</v>
          </cell>
          <cell r="G228" t="str">
            <v>Parque Tecnoindustrial Castro del Río</v>
          </cell>
          <cell r="H228">
            <v>36815</v>
          </cell>
          <cell r="I228" t="str">
            <v>Irapuato</v>
          </cell>
          <cell r="J228" t="str">
            <v>Guanajuato, CP 36815</v>
          </cell>
          <cell r="K228" t="str">
            <v>México</v>
          </cell>
          <cell r="L228" t="str">
            <v>(462) 1663317</v>
          </cell>
          <cell r="M228">
            <v>45</v>
          </cell>
          <cell r="N228" t="str">
            <v>05/05/2015</v>
          </cell>
        </row>
        <row r="229">
          <cell r="A229">
            <v>229</v>
          </cell>
          <cell r="B229" t="str">
            <v>Tecnología Neumática Industrial de Querétaro, S.A. de C.V.</v>
          </cell>
          <cell r="C229" t="str">
            <v>TNI080818AY6</v>
          </cell>
          <cell r="D229" t="str">
            <v>Blvd. Bernardo Quintana</v>
          </cell>
          <cell r="E229" t="str">
            <v>L 14</v>
          </cell>
          <cell r="F229">
            <v>630</v>
          </cell>
          <cell r="G229" t="str">
            <v>Lomas de San Pablo</v>
          </cell>
          <cell r="H229">
            <v>76130</v>
          </cell>
          <cell r="I229" t="str">
            <v>Querétaro</v>
          </cell>
          <cell r="J229" t="str">
            <v>Querétaro</v>
          </cell>
          <cell r="K229" t="str">
            <v>México</v>
          </cell>
          <cell r="L229" t="str">
            <v>(442) 1959480</v>
          </cell>
          <cell r="M229">
            <v>0</v>
          </cell>
        </row>
        <row r="230">
          <cell r="A230">
            <v>230</v>
          </cell>
          <cell r="B230" t="str">
            <v>Covers and Felt de México, S.A. de .C.V.</v>
          </cell>
          <cell r="C230" t="str">
            <v>CFM060216AG5</v>
          </cell>
          <cell r="D230" t="str">
            <v>Cataratas</v>
          </cell>
          <cell r="E230" t="str">
            <v>Bodega 1</v>
          </cell>
          <cell r="F230">
            <v>14</v>
          </cell>
          <cell r="G230" t="str">
            <v>Parque Ind. La Noria</v>
          </cell>
          <cell r="H230">
            <v>76246</v>
          </cell>
          <cell r="I230" t="str">
            <v>El Marqués</v>
          </cell>
          <cell r="J230" t="str">
            <v>Querétaro, CP 76246</v>
          </cell>
          <cell r="K230" t="str">
            <v>México</v>
          </cell>
          <cell r="L230" t="str">
            <v>(442) 2774812</v>
          </cell>
          <cell r="M230">
            <v>0</v>
          </cell>
        </row>
        <row r="231">
          <cell r="A231">
            <v>231</v>
          </cell>
          <cell r="B231" t="str">
            <v>Gestión Integral de las Mediciones, S.C.</v>
          </cell>
          <cell r="C231" t="str">
            <v>GIM 0907178M3</v>
          </cell>
          <cell r="D231" t="str">
            <v>Horacio Gaytan</v>
          </cell>
          <cell r="F231">
            <v>5750</v>
          </cell>
          <cell r="G231" t="str">
            <v>Paseos del  Sol  3ra. Sección</v>
          </cell>
          <cell r="H231">
            <v>45079</v>
          </cell>
          <cell r="I231" t="str">
            <v>Zapopan</v>
          </cell>
          <cell r="J231" t="str">
            <v>Jalisco, CP 45079</v>
          </cell>
          <cell r="K231" t="str">
            <v>México</v>
          </cell>
          <cell r="L231" t="str">
            <v>(33) 36317080</v>
          </cell>
          <cell r="M231">
            <v>0</v>
          </cell>
        </row>
        <row r="232">
          <cell r="A232">
            <v>232</v>
          </cell>
          <cell r="B232" t="str">
            <v>Suministros Diversos Industriales, S.A. de C.V.</v>
          </cell>
          <cell r="C232" t="str">
            <v>SDI010807HE5</v>
          </cell>
          <cell r="D232" t="str">
            <v>Juan de la Barrera</v>
          </cell>
          <cell r="F232">
            <v>11</v>
          </cell>
          <cell r="G232" t="str">
            <v>Niños Héroes</v>
          </cell>
          <cell r="H232">
            <v>76010</v>
          </cell>
          <cell r="I232" t="str">
            <v>Querétaro</v>
          </cell>
          <cell r="J232" t="str">
            <v>Querétaro</v>
          </cell>
          <cell r="K232" t="str">
            <v>México</v>
          </cell>
          <cell r="L232" t="str">
            <v>(442) 2422380</v>
          </cell>
          <cell r="M232">
            <v>0</v>
          </cell>
        </row>
        <row r="233">
          <cell r="A233">
            <v>233</v>
          </cell>
          <cell r="B233" t="str">
            <v>Artecola México, S.A. de C.V.</v>
          </cell>
          <cell r="C233" t="str">
            <v>AME831130HL1</v>
          </cell>
          <cell r="D233" t="str">
            <v>Calzada de las Armas</v>
          </cell>
          <cell r="F233">
            <v>120</v>
          </cell>
          <cell r="G233" t="str">
            <v>Facc. Industrial las Armas</v>
          </cell>
          <cell r="H233">
            <v>54080</v>
          </cell>
          <cell r="I233" t="str">
            <v>Tlalnepantla de Baz</v>
          </cell>
          <cell r="J233" t="str">
            <v>Estado de México, CP 54080</v>
          </cell>
          <cell r="K233" t="str">
            <v>México</v>
          </cell>
          <cell r="L233" t="str">
            <v>.</v>
          </cell>
          <cell r="M233">
            <v>0</v>
          </cell>
          <cell r="N233" t="str">
            <v>29/01/2014</v>
          </cell>
        </row>
        <row r="234">
          <cell r="A234">
            <v>234</v>
          </cell>
          <cell r="B234" t="str">
            <v>Auto Cast México, S.A. de C.V.</v>
          </cell>
          <cell r="C234" t="str">
            <v>ACM0803287B2</v>
          </cell>
          <cell r="D234" t="str">
            <v>Av. de las Fuentes</v>
          </cell>
          <cell r="F234">
            <v>9</v>
          </cell>
          <cell r="G234" t="str">
            <v>Parque Industrial Bernardo Quintana</v>
          </cell>
          <cell r="H234">
            <v>76246</v>
          </cell>
          <cell r="I234" t="str">
            <v>El Marqués</v>
          </cell>
          <cell r="J234" t="str">
            <v>Querétaro, CP 76246</v>
          </cell>
          <cell r="K234" t="str">
            <v>México</v>
          </cell>
          <cell r="L234" t="str">
            <v>(442) 2235500</v>
          </cell>
          <cell r="M234">
            <v>30</v>
          </cell>
          <cell r="N234" t="str">
            <v>30/04/2015</v>
          </cell>
        </row>
        <row r="235">
          <cell r="A235">
            <v>235</v>
          </cell>
          <cell r="B235" t="str">
            <v>Ruben Ramirez Sanchez</v>
          </cell>
          <cell r="C235" t="str">
            <v>RASR800702382</v>
          </cell>
          <cell r="D235" t="str">
            <v>José Ma. Morelos Norte</v>
          </cell>
          <cell r="E235" t="str">
            <v>4</v>
          </cell>
          <cell r="F235">
            <v>49</v>
          </cell>
          <cell r="G235" t="str">
            <v>San Pedro Ahuacatlan</v>
          </cell>
          <cell r="H235">
            <v>76810</v>
          </cell>
          <cell r="I235" t="str">
            <v>San Juan del Río</v>
          </cell>
          <cell r="J235" t="str">
            <v>Querétaro, CP 76810</v>
          </cell>
          <cell r="K235" t="str">
            <v>México</v>
          </cell>
          <cell r="L235" t="str">
            <v>(427) 2648679</v>
          </cell>
          <cell r="M235">
            <v>0</v>
          </cell>
          <cell r="N235" t="str">
            <v>15/04/2015</v>
          </cell>
          <cell r="O235" t="str">
            <v>daniela.ramsa@yahoo.com.mx</v>
          </cell>
        </row>
        <row r="236">
          <cell r="A236">
            <v>236</v>
          </cell>
          <cell r="B236" t="str">
            <v>Esteves Dwd México, S. de R.L. de C.V.</v>
          </cell>
          <cell r="C236" t="str">
            <v>EDM9201078F2</v>
          </cell>
          <cell r="D236" t="str">
            <v>C/John F. Kennedy</v>
          </cell>
          <cell r="F236">
            <v>104</v>
          </cell>
          <cell r="G236" t="str">
            <v>Felipe Carrillo Puerto - Zona Industrial Benito Juarez</v>
          </cell>
          <cell r="H236">
            <v>76138</v>
          </cell>
          <cell r="I236" t="str">
            <v>Querétaro</v>
          </cell>
          <cell r="J236" t="str">
            <v>Querétaro</v>
          </cell>
          <cell r="K236" t="str">
            <v>México</v>
          </cell>
          <cell r="L236" t="str">
            <v>(442) 2177758</v>
          </cell>
          <cell r="M236">
            <v>0</v>
          </cell>
          <cell r="N236" t="str">
            <v>21/07/2014</v>
          </cell>
        </row>
        <row r="237">
          <cell r="A237">
            <v>237</v>
          </cell>
          <cell r="B237" t="str">
            <v>Olsa Sistemas de Iluminación Automotriz, S. de R.L. de C.V.</v>
          </cell>
          <cell r="C237" t="str">
            <v>OSI110103Q79</v>
          </cell>
          <cell r="D237" t="str">
            <v>Avenida de Las Fuentes</v>
          </cell>
          <cell r="E237" t="str">
            <v>C</v>
          </cell>
          <cell r="F237">
            <v>74</v>
          </cell>
          <cell r="G237" t="str">
            <v>Parque Industrial FINSA</v>
          </cell>
          <cell r="H237">
            <v>76246</v>
          </cell>
          <cell r="I237" t="str">
            <v>El Marqués</v>
          </cell>
          <cell r="J237" t="str">
            <v>Querétaro, CP 76246</v>
          </cell>
          <cell r="K237" t="str">
            <v>México</v>
          </cell>
          <cell r="M237">
            <v>30</v>
          </cell>
          <cell r="N237" t="str">
            <v>27/04/2015</v>
          </cell>
        </row>
        <row r="238">
          <cell r="A238">
            <v>238</v>
          </cell>
          <cell r="B238" t="str">
            <v>Obara México, S. de R.L. de C.V.</v>
          </cell>
          <cell r="C238" t="str">
            <v>OME021010563</v>
          </cell>
          <cell r="D238" t="str">
            <v>Roberto Díaz Rodríquez</v>
          </cell>
          <cell r="F238">
            <v>212</v>
          </cell>
          <cell r="G238" t="str">
            <v>Cd. Industrial</v>
          </cell>
          <cell r="H238">
            <v>20290</v>
          </cell>
          <cell r="I238" t="str">
            <v>Aguascalientes</v>
          </cell>
          <cell r="J238" t="str">
            <v>Aguascalientes, CP 20290</v>
          </cell>
          <cell r="K238" t="str">
            <v>México</v>
          </cell>
          <cell r="L238" t="str">
            <v>.</v>
          </cell>
          <cell r="M238">
            <v>30</v>
          </cell>
          <cell r="N238" t="str">
            <v>23/06/2014</v>
          </cell>
        </row>
        <row r="239">
          <cell r="A239">
            <v>239</v>
          </cell>
          <cell r="B239" t="str">
            <v>Implementos Neumáticos, S. A. de C. V.</v>
          </cell>
          <cell r="C239" t="str">
            <v>-</v>
          </cell>
          <cell r="D239" t="str">
            <v>Pirineos</v>
          </cell>
          <cell r="E239" t="str">
            <v>Bodega 50</v>
          </cell>
          <cell r="F239">
            <v>515</v>
          </cell>
          <cell r="G239" t="str">
            <v>Micro Parque Santiago</v>
          </cell>
          <cell r="H239">
            <v>76220</v>
          </cell>
          <cell r="I239" t="str">
            <v>Querétaro</v>
          </cell>
          <cell r="J239" t="str">
            <v>Querétaro</v>
          </cell>
          <cell r="K239" t="str">
            <v>México</v>
          </cell>
          <cell r="L239" t="str">
            <v>(442) 2095154</v>
          </cell>
          <cell r="M239">
            <v>0</v>
          </cell>
        </row>
        <row r="240">
          <cell r="A240">
            <v>240</v>
          </cell>
          <cell r="B240" t="str">
            <v>Kalibrix GmbH</v>
          </cell>
          <cell r="C240" t="str">
            <v>XEXX010101000</v>
          </cell>
          <cell r="D240" t="str">
            <v>Industriestrasse 2c, 14943 Luckenwalde</v>
          </cell>
          <cell r="H240" t="str">
            <v>.</v>
          </cell>
          <cell r="K240" t="str">
            <v>Germany</v>
          </cell>
          <cell r="L240" t="str">
            <v>.</v>
          </cell>
          <cell r="M240">
            <v>0</v>
          </cell>
        </row>
        <row r="241">
          <cell r="A241">
            <v>241</v>
          </cell>
          <cell r="B241" t="str">
            <v>Rob Neal Moreno Aburto</v>
          </cell>
          <cell r="C241" t="str">
            <v>MOAR780918KV2</v>
          </cell>
          <cell r="D241" t="str">
            <v>Acceso II</v>
          </cell>
          <cell r="F241">
            <v>34</v>
          </cell>
          <cell r="G241" t="str">
            <v>Zona Industrial Benito Juárez</v>
          </cell>
          <cell r="H241">
            <v>76120</v>
          </cell>
          <cell r="I241" t="str">
            <v>Querétaro</v>
          </cell>
          <cell r="J241" t="str">
            <v>Querétaro</v>
          </cell>
          <cell r="K241" t="str">
            <v>México</v>
          </cell>
          <cell r="L241" t="str">
            <v>.</v>
          </cell>
          <cell r="M241">
            <v>0</v>
          </cell>
        </row>
        <row r="242">
          <cell r="A242">
            <v>242</v>
          </cell>
          <cell r="B242" t="str">
            <v>Elimco Prettl Aerospace, S.A. de C.V.</v>
          </cell>
          <cell r="C242" t="str">
            <v>EPA080219T6A</v>
          </cell>
          <cell r="D242" t="str">
            <v>Carretera libre a Celaya Km. 8.6</v>
          </cell>
          <cell r="G242" t="str">
            <v>Fracc. Ind. Balvanera</v>
          </cell>
          <cell r="H242">
            <v>76908</v>
          </cell>
          <cell r="I242" t="str">
            <v>Corregidora</v>
          </cell>
          <cell r="J242" t="str">
            <v>Querétaro, CP 76908</v>
          </cell>
          <cell r="K242" t="str">
            <v>México</v>
          </cell>
          <cell r="L242" t="str">
            <v>(442) 1929140</v>
          </cell>
          <cell r="M242">
            <v>30</v>
          </cell>
          <cell r="N242" t="str">
            <v>27/04/2015</v>
          </cell>
        </row>
        <row r="243">
          <cell r="A243">
            <v>243</v>
          </cell>
          <cell r="B243" t="str">
            <v>Hutchinson Autopartes México, S.A. de C.V.</v>
          </cell>
          <cell r="C243" t="str">
            <v>HAM830922IC4</v>
          </cell>
          <cell r="D243" t="str">
            <v>Carretera Panamericana Km. 288.5</v>
          </cell>
          <cell r="E243" t="str">
            <v>-</v>
          </cell>
          <cell r="F243" t="str">
            <v>-</v>
          </cell>
          <cell r="G243" t="str">
            <v>Tramo el Chinaco y Cortazar</v>
          </cell>
          <cell r="H243">
            <v>38300</v>
          </cell>
          <cell r="I243" t="str">
            <v>Cortazar</v>
          </cell>
          <cell r="J243" t="str">
            <v>Guanajuato,</v>
          </cell>
          <cell r="K243" t="str">
            <v>México</v>
          </cell>
          <cell r="L243" t="str">
            <v>.</v>
          </cell>
          <cell r="M243">
            <v>0</v>
          </cell>
        </row>
        <row r="244">
          <cell r="A244">
            <v>244</v>
          </cell>
          <cell r="B244" t="str">
            <v>Gomsa Automotriz Xalapa, S.A. de C.V.</v>
          </cell>
          <cell r="C244" t="str">
            <v>GAX920803QM3</v>
          </cell>
          <cell r="D244" t="str">
            <v>Av.  Xalapa</v>
          </cell>
          <cell r="F244">
            <v>195</v>
          </cell>
          <cell r="G244" t="str">
            <v>Unidad Magisterial</v>
          </cell>
          <cell r="H244">
            <v>91010</v>
          </cell>
          <cell r="I244" t="str">
            <v>Xalapa</v>
          </cell>
          <cell r="J244" t="str">
            <v>Veracruz, CP 91010</v>
          </cell>
          <cell r="K244" t="str">
            <v>México</v>
          </cell>
          <cell r="L244" t="str">
            <v>(228) 8144841</v>
          </cell>
          <cell r="M244">
            <v>0</v>
          </cell>
        </row>
        <row r="245">
          <cell r="A245">
            <v>245</v>
          </cell>
          <cell r="B245" t="str">
            <v>GETRAG Americas GmbH</v>
          </cell>
          <cell r="C245" t="str">
            <v>XEXX010101000</v>
          </cell>
          <cell r="D245" t="str">
            <v>Schulzengraben 20  8200</v>
          </cell>
          <cell r="G245" t="str">
            <v>Schaffhausen</v>
          </cell>
          <cell r="H245" t="str">
            <v>.</v>
          </cell>
          <cell r="K245" t="str">
            <v>Switzerland</v>
          </cell>
          <cell r="L245" t="str">
            <v>.</v>
          </cell>
          <cell r="M245">
            <v>30</v>
          </cell>
        </row>
        <row r="246">
          <cell r="A246">
            <v>246</v>
          </cell>
          <cell r="B246" t="str">
            <v>Eurotranciatura México, S.A. de C.V.</v>
          </cell>
          <cell r="D246" t="str">
            <v>Avenida La Noria, Km.28.5 Carretera Qro.</v>
          </cell>
          <cell r="F246">
            <v>201</v>
          </cell>
          <cell r="G246" t="str">
            <v>Parque Industrial Querétaro</v>
          </cell>
          <cell r="H246">
            <v>76220</v>
          </cell>
          <cell r="I246" t="str">
            <v>Santa Rosa Jáuregui</v>
          </cell>
          <cell r="J246" t="str">
            <v>Querétaro</v>
          </cell>
          <cell r="K246" t="str">
            <v>México</v>
          </cell>
          <cell r="L246" t="str">
            <v>(442)1535300</v>
          </cell>
          <cell r="M246">
            <v>60</v>
          </cell>
          <cell r="N246" t="str">
            <v>07/02/2014</v>
          </cell>
        </row>
        <row r="247">
          <cell r="A247">
            <v>247</v>
          </cell>
          <cell r="B247" t="str">
            <v>Almacenes Vaca, S.A. de .C.V</v>
          </cell>
          <cell r="C247" t="str">
            <v>AVA930112UV8</v>
          </cell>
          <cell r="D247" t="str">
            <v>Av. San Miguel de Allende</v>
          </cell>
          <cell r="E247" t="str">
            <v>A</v>
          </cell>
          <cell r="F247">
            <v>827</v>
          </cell>
          <cell r="G247" t="str">
            <v>Ciudad Industrial</v>
          </cell>
          <cell r="H247">
            <v>36541</v>
          </cell>
          <cell r="I247" t="str">
            <v>Irapuato</v>
          </cell>
          <cell r="J247" t="str">
            <v>Guanajuato, CP 36541</v>
          </cell>
          <cell r="K247" t="str">
            <v>México</v>
          </cell>
          <cell r="L247" t="str">
            <v>(462) 6226109</v>
          </cell>
          <cell r="M247">
            <v>0</v>
          </cell>
        </row>
        <row r="248">
          <cell r="A248">
            <v>248</v>
          </cell>
          <cell r="B248" t="str">
            <v>Sodexho México, S.A. de C.V.</v>
          </cell>
          <cell r="C248" t="str">
            <v>SME970514963</v>
          </cell>
          <cell r="D248" t="str">
            <v>Calle Cordoba Piso 6</v>
          </cell>
          <cell r="F248">
            <v>46</v>
          </cell>
          <cell r="G248" t="str">
            <v>Roma</v>
          </cell>
          <cell r="H248">
            <v>6700</v>
          </cell>
          <cell r="J248" t="str">
            <v>Distrito Federal, CP 6700</v>
          </cell>
          <cell r="K248" t="str">
            <v>México</v>
          </cell>
          <cell r="L248" t="str">
            <v>.</v>
          </cell>
          <cell r="M248">
            <v>0</v>
          </cell>
        </row>
        <row r="249">
          <cell r="A249">
            <v>249</v>
          </cell>
          <cell r="B249" t="str">
            <v>PBL América, S. de R.L. de C.V.</v>
          </cell>
          <cell r="C249" t="str">
            <v>PAM060802LK1</v>
          </cell>
          <cell r="D249" t="str">
            <v>Av. del Marqués</v>
          </cell>
          <cell r="F249">
            <v>7</v>
          </cell>
          <cell r="G249" t="str">
            <v>Parque Industrial Bernardo Quintana</v>
          </cell>
          <cell r="H249">
            <v>76246</v>
          </cell>
          <cell r="I249" t="str">
            <v>El Marqués</v>
          </cell>
          <cell r="J249" t="str">
            <v>Querétaro, CP 76246</v>
          </cell>
          <cell r="K249" t="str">
            <v>México</v>
          </cell>
          <cell r="L249" t="str">
            <v>(442) 2216157</v>
          </cell>
          <cell r="M249">
            <v>0</v>
          </cell>
          <cell r="N249" t="str">
            <v>05/12/2013</v>
          </cell>
        </row>
        <row r="250">
          <cell r="A250">
            <v>250</v>
          </cell>
          <cell r="B250" t="str">
            <v>Diocon Professional Services, S.C.</v>
          </cell>
          <cell r="C250" t="str">
            <v>DPS100608BW8</v>
          </cell>
          <cell r="D250" t="str">
            <v>Condado de Cuenca</v>
          </cell>
          <cell r="F250">
            <v>116</v>
          </cell>
          <cell r="G250" t="str">
            <v>El Condado</v>
          </cell>
          <cell r="H250">
            <v>37218</v>
          </cell>
          <cell r="I250" t="str">
            <v>León</v>
          </cell>
          <cell r="J250" t="str">
            <v>Guanajuato, CP 37218</v>
          </cell>
          <cell r="K250" t="str">
            <v>México</v>
          </cell>
          <cell r="L250" t="str">
            <v>.</v>
          </cell>
          <cell r="M250">
            <v>0</v>
          </cell>
        </row>
        <row r="251">
          <cell r="A251">
            <v>251</v>
          </cell>
          <cell r="B251" t="str">
            <v>3H Empaque y Cartón, S. de R.L. de C.V.</v>
          </cell>
          <cell r="D251" t="str">
            <v>Carretera a Tlacote</v>
          </cell>
          <cell r="F251">
            <v>414</v>
          </cell>
          <cell r="G251" t="str">
            <v>Residencial Italia</v>
          </cell>
          <cell r="H251">
            <v>76131</v>
          </cell>
          <cell r="I251" t="str">
            <v>Querétaro</v>
          </cell>
          <cell r="J251" t="str">
            <v>Querétaro</v>
          </cell>
          <cell r="K251" t="str">
            <v>México</v>
          </cell>
          <cell r="L251" t="str">
            <v>.</v>
          </cell>
          <cell r="M251">
            <v>0</v>
          </cell>
        </row>
        <row r="252">
          <cell r="A252">
            <v>252</v>
          </cell>
          <cell r="B252" t="str">
            <v>Alejandra Medina Varas de Valdes</v>
          </cell>
          <cell r="C252" t="str">
            <v>MEVA710519JV8</v>
          </cell>
          <cell r="D252" t="str">
            <v>Nápoles</v>
          </cell>
          <cell r="F252">
            <v>284</v>
          </cell>
          <cell r="G252" t="str">
            <v>Las Mercedes</v>
          </cell>
          <cell r="H252" t="str">
            <v>.</v>
          </cell>
          <cell r="I252" t="str">
            <v>San Luis Potosí</v>
          </cell>
          <cell r="J252" t="str">
            <v>San Luis Potosí</v>
          </cell>
          <cell r="K252" t="str">
            <v>México</v>
          </cell>
          <cell r="L252" t="str">
            <v>(444) 8245704</v>
          </cell>
          <cell r="M252">
            <v>0</v>
          </cell>
        </row>
        <row r="253">
          <cell r="A253">
            <v>253</v>
          </cell>
          <cell r="B253" t="str">
            <v>María Elena  García Juárez</v>
          </cell>
          <cell r="C253" t="str">
            <v>GAJE810716CN3</v>
          </cell>
          <cell r="D253" t="str">
            <v>Calle 4</v>
          </cell>
          <cell r="F253">
            <v>137</v>
          </cell>
          <cell r="G253" t="str">
            <v>Santa María Magdalena</v>
          </cell>
          <cell r="H253">
            <v>76200</v>
          </cell>
          <cell r="I253" t="str">
            <v>Querétaro</v>
          </cell>
          <cell r="J253" t="str">
            <v>Querétaro</v>
          </cell>
          <cell r="K253" t="str">
            <v>México</v>
          </cell>
          <cell r="L253" t="str">
            <v>(442) 7132716</v>
          </cell>
          <cell r="M253">
            <v>0</v>
          </cell>
        </row>
        <row r="254">
          <cell r="A254">
            <v>254</v>
          </cell>
          <cell r="B254" t="str">
            <v>Estampados Industriales, S.A. de C.V</v>
          </cell>
          <cell r="C254" t="str">
            <v>EIN010116EK8</v>
          </cell>
          <cell r="D254" t="str">
            <v>Av. 3 Oriente</v>
          </cell>
          <cell r="E254" t="str">
            <v>A</v>
          </cell>
          <cell r="F254">
            <v>7</v>
          </cell>
          <cell r="G254" t="str">
            <v>Fraccionamiento Industrial Valle de Oro</v>
          </cell>
          <cell r="H254">
            <v>76802</v>
          </cell>
          <cell r="I254" t="str">
            <v>San Juan del Río</v>
          </cell>
          <cell r="J254" t="str">
            <v>Querétaro, CP 76802</v>
          </cell>
          <cell r="K254" t="str">
            <v>México</v>
          </cell>
          <cell r="L254" t="str">
            <v>(427) 2713747</v>
          </cell>
          <cell r="M254">
            <v>0</v>
          </cell>
          <cell r="N254" t="str">
            <v>19/02/2015</v>
          </cell>
        </row>
        <row r="255">
          <cell r="A255">
            <v>255</v>
          </cell>
          <cell r="B255" t="str">
            <v>Nuberu, S.A. de C.V.</v>
          </cell>
          <cell r="C255" t="str">
            <v>NUB040510U66</v>
          </cell>
          <cell r="D255" t="str">
            <v>Norte 35</v>
          </cell>
          <cell r="E255" t="str">
            <v>Local 2</v>
          </cell>
          <cell r="F255">
            <v>930</v>
          </cell>
          <cell r="G255" t="str">
            <v>Industrial Vallejo</v>
          </cell>
          <cell r="H255">
            <v>2300</v>
          </cell>
          <cell r="I255" t="str">
            <v>Deleg. Atzcapotzalco</v>
          </cell>
          <cell r="J255" t="str">
            <v>Distrito Federal, CP 2300</v>
          </cell>
          <cell r="K255" t="str">
            <v>México</v>
          </cell>
          <cell r="L255" t="str">
            <v>.</v>
          </cell>
          <cell r="M255">
            <v>0</v>
          </cell>
          <cell r="N255" t="str">
            <v>16/12/2013</v>
          </cell>
        </row>
        <row r="256">
          <cell r="A256">
            <v>256</v>
          </cell>
          <cell r="B256" t="str">
            <v>Hino Motors Manufacturing México, S.A de C.V</v>
          </cell>
          <cell r="C256" t="str">
            <v>HMM080813574</v>
          </cell>
          <cell r="D256" t="str">
            <v>Circuito Mexiamora Sur</v>
          </cell>
          <cell r="F256">
            <v>302</v>
          </cell>
          <cell r="G256" t="str">
            <v>Parque Industrial Santa Fé</v>
          </cell>
          <cell r="H256">
            <v>36275</v>
          </cell>
          <cell r="I256" t="str">
            <v>Silao</v>
          </cell>
          <cell r="J256" t="str">
            <v>Guanajuato, CP 36275</v>
          </cell>
          <cell r="K256" t="str">
            <v>México</v>
          </cell>
          <cell r="L256" t="str">
            <v>.</v>
          </cell>
          <cell r="M256">
            <v>15</v>
          </cell>
          <cell r="N256" t="str">
            <v>19/11/2013</v>
          </cell>
        </row>
        <row r="257">
          <cell r="A257">
            <v>257</v>
          </cell>
          <cell r="B257" t="str">
            <v>Análisis por Instrumentos y Software para CMMs, S.A. de C.V.</v>
          </cell>
          <cell r="C257" t="str">
            <v>AIS050228QNA</v>
          </cell>
          <cell r="D257" t="str">
            <v>27 Poniente</v>
          </cell>
          <cell r="E257" t="str">
            <v>103</v>
          </cell>
          <cell r="F257">
            <v>507</v>
          </cell>
          <cell r="G257" t="str">
            <v>Chulavista</v>
          </cell>
          <cell r="H257">
            <v>72420</v>
          </cell>
          <cell r="I257" t="str">
            <v>Puebla</v>
          </cell>
          <cell r="J257" t="str">
            <v>Puebla, CP 72420</v>
          </cell>
          <cell r="K257" t="str">
            <v>México</v>
          </cell>
          <cell r="L257" t="str">
            <v>(222) 2437955</v>
          </cell>
          <cell r="M257">
            <v>0</v>
          </cell>
          <cell r="N257" t="str">
            <v>25/09/2014</v>
          </cell>
          <cell r="O257" t="str">
            <v>SPORTE METROLOGY</v>
          </cell>
        </row>
        <row r="258">
          <cell r="A258">
            <v>258</v>
          </cell>
          <cell r="B258" t="str">
            <v>Esther Negrete Solorzano</v>
          </cell>
          <cell r="C258" t="str">
            <v>NESE500221MM4</v>
          </cell>
          <cell r="D258" t="str">
            <v>Tierra de Fuego</v>
          </cell>
          <cell r="E258" t="str">
            <v>Lote 19</v>
          </cell>
          <cell r="G258" t="str">
            <v>Las Américas</v>
          </cell>
          <cell r="H258">
            <v>36524</v>
          </cell>
          <cell r="I258" t="str">
            <v>Irapuato</v>
          </cell>
          <cell r="J258" t="str">
            <v>Guanajuato, CP 36524</v>
          </cell>
          <cell r="K258" t="str">
            <v>México</v>
          </cell>
          <cell r="L258" t="str">
            <v xml:space="preserve">(462)1452278	</v>
          </cell>
          <cell r="M258">
            <v>30</v>
          </cell>
        </row>
        <row r="259">
          <cell r="A259">
            <v>259</v>
          </cell>
          <cell r="B259" t="str">
            <v>Compañia Plástica Internacional, S.A. de C.V.</v>
          </cell>
          <cell r="C259" t="str">
            <v>PIN070208QKA</v>
          </cell>
          <cell r="D259" t="str">
            <v>Calle Oriente 3</v>
          </cell>
          <cell r="F259">
            <v>105</v>
          </cell>
          <cell r="G259" t="str">
            <v>Cd. Industrial</v>
          </cell>
          <cell r="H259">
            <v>38010</v>
          </cell>
          <cell r="I259" t="str">
            <v>Celaya</v>
          </cell>
          <cell r="J259" t="str">
            <v>Guanajuato, CP 38010</v>
          </cell>
          <cell r="K259" t="str">
            <v>México</v>
          </cell>
          <cell r="L259" t="str">
            <v>.</v>
          </cell>
          <cell r="M259">
            <v>15</v>
          </cell>
          <cell r="N259" t="str">
            <v>11/12/2014</v>
          </cell>
        </row>
        <row r="260">
          <cell r="A260">
            <v>260</v>
          </cell>
          <cell r="B260" t="str">
            <v>PCC Aerostructures México, S.A. de C.V.</v>
          </cell>
          <cell r="C260" t="str">
            <v>HDM110110UD4</v>
          </cell>
          <cell r="D260" t="str">
            <v xml:space="preserve">Carretera Estatal 200 Querétaro - Tequisquiapan Km. 22 + 547 </v>
          </cell>
          <cell r="E260" t="str">
            <v>D 1</v>
          </cell>
          <cell r="G260" t="str">
            <v>Parque Aeroespacial Querétaro</v>
          </cell>
          <cell r="H260">
            <v>76278</v>
          </cell>
          <cell r="I260" t="str">
            <v>Colón</v>
          </cell>
          <cell r="J260" t="str">
            <v>Querétaro</v>
          </cell>
          <cell r="K260" t="str">
            <v>México</v>
          </cell>
          <cell r="L260" t="str">
            <v>(442) 7135600</v>
          </cell>
          <cell r="M260">
            <v>45</v>
          </cell>
          <cell r="N260" t="str">
            <v>27/04/2015</v>
          </cell>
        </row>
        <row r="261">
          <cell r="A261">
            <v>261</v>
          </cell>
          <cell r="B261" t="str">
            <v>Mess Servicios Metrológicos, S. de R.L. de C.V.</v>
          </cell>
          <cell r="C261" t="str">
            <v>MSM0912029D5</v>
          </cell>
          <cell r="D261" t="str">
            <v>Acceso III Nave 10</v>
          </cell>
          <cell r="E261" t="str">
            <v>-</v>
          </cell>
          <cell r="F261" t="str">
            <v>16A</v>
          </cell>
          <cell r="G261" t="str">
            <v>Parque Industrial Benito Juárez</v>
          </cell>
          <cell r="H261">
            <v>76120</v>
          </cell>
          <cell r="I261" t="str">
            <v>Querétaro</v>
          </cell>
          <cell r="J261" t="str">
            <v>Querétaro</v>
          </cell>
          <cell r="K261" t="str">
            <v>México</v>
          </cell>
          <cell r="M261">
            <v>15</v>
          </cell>
          <cell r="N261" t="str">
            <v>06/05/2015</v>
          </cell>
        </row>
        <row r="262">
          <cell r="A262">
            <v>262</v>
          </cell>
          <cell r="B262" t="str">
            <v>PTI Dos Diversified Outsourcing Solutions, S.de R.L. de C.V.</v>
          </cell>
          <cell r="C262" t="str">
            <v>PDD050317EE5</v>
          </cell>
          <cell r="D262" t="str">
            <v>Av. Fresno</v>
          </cell>
          <cell r="F262">
            <v>233</v>
          </cell>
          <cell r="G262" t="str">
            <v>Parque Ind. y de Negocios Las Colinas</v>
          </cell>
          <cell r="H262">
            <v>36270</v>
          </cell>
          <cell r="I262" t="str">
            <v>Silao</v>
          </cell>
          <cell r="J262" t="str">
            <v>Guanajuato, CP 36270</v>
          </cell>
          <cell r="K262" t="str">
            <v>México</v>
          </cell>
          <cell r="L262" t="str">
            <v>.</v>
          </cell>
          <cell r="M262">
            <v>0</v>
          </cell>
        </row>
        <row r="263">
          <cell r="A263">
            <v>263</v>
          </cell>
          <cell r="B263" t="str">
            <v>Enfil de México, S.A. de C.V.</v>
          </cell>
          <cell r="C263" t="str">
            <v>EME980420TB9</v>
          </cell>
          <cell r="D263" t="str">
            <v>Luis Vega y Monroy</v>
          </cell>
          <cell r="E263" t="str">
            <v>E</v>
          </cell>
          <cell r="F263" t="str">
            <v>228  1</v>
          </cell>
          <cell r="G263" t="str">
            <v>Balaustradas</v>
          </cell>
          <cell r="H263">
            <v>76079</v>
          </cell>
          <cell r="I263" t="str">
            <v>Querétaro</v>
          </cell>
          <cell r="J263" t="str">
            <v>Querétaro</v>
          </cell>
          <cell r="K263" t="str">
            <v>México</v>
          </cell>
          <cell r="L263" t="str">
            <v>(442) 2230739</v>
          </cell>
          <cell r="M263">
            <v>0</v>
          </cell>
        </row>
        <row r="264">
          <cell r="A264">
            <v>264</v>
          </cell>
          <cell r="B264" t="str">
            <v>Rufina Ledezma Gutierrez</v>
          </cell>
          <cell r="C264" t="str">
            <v>LEGR5704057I1</v>
          </cell>
          <cell r="D264" t="str">
            <v>Santos Degollado</v>
          </cell>
          <cell r="F264">
            <v>27</v>
          </cell>
          <cell r="G264" t="str">
            <v>Fatima</v>
          </cell>
          <cell r="H264">
            <v>76806</v>
          </cell>
          <cell r="I264" t="str">
            <v>San Juan del Río</v>
          </cell>
          <cell r="J264" t="str">
            <v>Querétaro</v>
          </cell>
          <cell r="K264" t="str">
            <v>México</v>
          </cell>
          <cell r="L264" t="str">
            <v>(427) 2727991</v>
          </cell>
          <cell r="M264">
            <v>0</v>
          </cell>
          <cell r="N264" t="str">
            <v>22/01/2015</v>
          </cell>
        </row>
        <row r="265">
          <cell r="A265">
            <v>265</v>
          </cell>
          <cell r="B265" t="str">
            <v>Grupo American Industries, S.A. de C.V.</v>
          </cell>
          <cell r="C265" t="str">
            <v>GAI020902FG4</v>
          </cell>
          <cell r="D265" t="str">
            <v>Circuito el Marqués Norte  - Carretera México-Querétaro Km. 195.5</v>
          </cell>
          <cell r="F265">
            <v>50</v>
          </cell>
          <cell r="G265" t="str">
            <v>Parque Industrial el Marqués</v>
          </cell>
          <cell r="H265">
            <v>76246</v>
          </cell>
          <cell r="I265" t="str">
            <v>El Marqués</v>
          </cell>
          <cell r="J265" t="str">
            <v>Querétaro, CP 76246</v>
          </cell>
          <cell r="K265" t="str">
            <v>México</v>
          </cell>
          <cell r="L265" t="str">
            <v>.</v>
          </cell>
          <cell r="M265">
            <v>0</v>
          </cell>
        </row>
        <row r="266">
          <cell r="A266">
            <v>266</v>
          </cell>
          <cell r="B266" t="str">
            <v>Fuji Seal Packaging de México, S.A. de C.V.</v>
          </cell>
          <cell r="C266" t="str">
            <v>FSP081001N10</v>
          </cell>
          <cell r="D266" t="str">
            <v>Av. Río San Lorenzo</v>
          </cell>
          <cell r="F266">
            <v>670</v>
          </cell>
          <cell r="G266" t="str">
            <v>Parque Industrial Castro del Río</v>
          </cell>
          <cell r="H266">
            <v>36810</v>
          </cell>
          <cell r="I266" t="str">
            <v>Irapuato</v>
          </cell>
          <cell r="J266" t="str">
            <v>Guanajuato, 36810</v>
          </cell>
          <cell r="K266" t="str">
            <v>México</v>
          </cell>
          <cell r="L266" t="str">
            <v>.</v>
          </cell>
          <cell r="M266">
            <v>0</v>
          </cell>
        </row>
        <row r="267">
          <cell r="A267">
            <v>267</v>
          </cell>
          <cell r="B267" t="str">
            <v>Protecto Querétaro, S.A. de C.V.</v>
          </cell>
          <cell r="C267" t="str">
            <v>PQU1003241R6</v>
          </cell>
          <cell r="D267" t="str">
            <v>Calle 18 de Julio</v>
          </cell>
          <cell r="F267" t="str">
            <v>Lote 4</v>
          </cell>
          <cell r="G267" t="str">
            <v>Independencia</v>
          </cell>
          <cell r="H267">
            <v>76147</v>
          </cell>
          <cell r="I267" t="str">
            <v>Querétaro</v>
          </cell>
          <cell r="J267" t="str">
            <v>Querétaro</v>
          </cell>
          <cell r="K267" t="str">
            <v>México</v>
          </cell>
          <cell r="L267" t="str">
            <v>(442) 2467350 y 51</v>
          </cell>
          <cell r="M267">
            <v>0</v>
          </cell>
          <cell r="N267" t="str">
            <v>09/01/2015</v>
          </cell>
        </row>
        <row r="268">
          <cell r="A268">
            <v>268</v>
          </cell>
          <cell r="B268" t="str">
            <v>Senoplast, S.A. de C.V.</v>
          </cell>
          <cell r="C268" t="str">
            <v>SEN9904073M3</v>
          </cell>
          <cell r="D268" t="str">
            <v>La Noria</v>
          </cell>
          <cell r="F268">
            <v>123</v>
          </cell>
          <cell r="G268" t="str">
            <v>Parque Industrial Querétaro</v>
          </cell>
          <cell r="H268">
            <v>76220</v>
          </cell>
          <cell r="I268" t="str">
            <v>Santa Rosa Jáuregui</v>
          </cell>
          <cell r="J268" t="str">
            <v>Querétaro, CP 76220</v>
          </cell>
          <cell r="K268" t="str">
            <v>México</v>
          </cell>
          <cell r="L268" t="str">
            <v>(442) 2159348</v>
          </cell>
          <cell r="M268">
            <v>30</v>
          </cell>
          <cell r="N268" t="str">
            <v>20/04/2015</v>
          </cell>
        </row>
        <row r="269">
          <cell r="A269">
            <v>269</v>
          </cell>
          <cell r="B269" t="str">
            <v>Juan Héctor Salgado Ramírez</v>
          </cell>
          <cell r="C269" t="str">
            <v>SARJ7006245H8</v>
          </cell>
          <cell r="D269" t="str">
            <v>Chetumal</v>
          </cell>
          <cell r="E269" t="str">
            <v>D Mz. 1</v>
          </cell>
          <cell r="F269" t="str">
            <v>Lote 64</v>
          </cell>
          <cell r="G269" t="str">
            <v>Bonito -Tultitlán</v>
          </cell>
          <cell r="H269">
            <v>54930</v>
          </cell>
          <cell r="I269" t="str">
            <v>Tultitlán</v>
          </cell>
          <cell r="J269" t="str">
            <v>Estado de México, CP 54930</v>
          </cell>
          <cell r="K269" t="str">
            <v>México</v>
          </cell>
          <cell r="L269" t="str">
            <v>(55) 58846141</v>
          </cell>
          <cell r="M269">
            <v>0</v>
          </cell>
        </row>
        <row r="270">
          <cell r="A270">
            <v>270</v>
          </cell>
          <cell r="B270" t="str">
            <v>PSL de México, S.A. de C.V.</v>
          </cell>
          <cell r="C270" t="str">
            <v>PME020716I39</v>
          </cell>
          <cell r="D270" t="str">
            <v>Oriente 4</v>
          </cell>
          <cell r="F270">
            <v>3</v>
          </cell>
          <cell r="G270" t="str">
            <v>Nuevo Parque Industrial</v>
          </cell>
          <cell r="H270">
            <v>76806</v>
          </cell>
          <cell r="I270" t="str">
            <v>San Juan del Río</v>
          </cell>
          <cell r="J270" t="str">
            <v>Querétaro, CP 76806</v>
          </cell>
          <cell r="K270" t="str">
            <v>México</v>
          </cell>
          <cell r="L270" t="str">
            <v>(427) 1011009</v>
          </cell>
          <cell r="M270">
            <v>0</v>
          </cell>
        </row>
        <row r="271">
          <cell r="A271">
            <v>271</v>
          </cell>
          <cell r="B271" t="str">
            <v>Motores John Deere, S.A. de C.V.</v>
          </cell>
          <cell r="C271" t="str">
            <v>MJD960223MV9</v>
          </cell>
          <cell r="D271" t="str">
            <v>Carretera a Mieleras Km. 6.5</v>
          </cell>
          <cell r="F271" t="str">
            <v>S/N</v>
          </cell>
          <cell r="H271">
            <v>27400</v>
          </cell>
          <cell r="I271" t="str">
            <v>Torreón</v>
          </cell>
          <cell r="J271" t="str">
            <v>Coahuila, CP 27400</v>
          </cell>
          <cell r="K271" t="str">
            <v>México</v>
          </cell>
          <cell r="L271" t="str">
            <v>.</v>
          </cell>
          <cell r="M271">
            <v>15</v>
          </cell>
          <cell r="N271" t="str">
            <v>13/01/2014</v>
          </cell>
        </row>
        <row r="272">
          <cell r="A272">
            <v>272</v>
          </cell>
          <cell r="B272" t="str">
            <v>Irritec Mexico Sistemas de Riego, S.A. de C.V.</v>
          </cell>
          <cell r="C272" t="str">
            <v>SME010313H63</v>
          </cell>
          <cell r="D272" t="str">
            <v>Av. de la Noria</v>
          </cell>
          <cell r="F272">
            <v>117</v>
          </cell>
          <cell r="G272" t="str">
            <v>Parque Industrial Querétaro</v>
          </cell>
          <cell r="H272">
            <v>76220</v>
          </cell>
          <cell r="I272" t="str">
            <v>Querétaro</v>
          </cell>
          <cell r="J272" t="str">
            <v>Querétaro</v>
          </cell>
          <cell r="K272" t="str">
            <v>México</v>
          </cell>
          <cell r="L272" t="str">
            <v>(442) 2409163</v>
          </cell>
          <cell r="M272">
            <v>0</v>
          </cell>
        </row>
        <row r="273">
          <cell r="A273">
            <v>273</v>
          </cell>
          <cell r="B273" t="str">
            <v>Comercializadora Gab, S.A. de C.V.</v>
          </cell>
          <cell r="C273" t="str">
            <v>CGA9606142C5</v>
          </cell>
          <cell r="D273" t="str">
            <v>Carretera Panamericana Km. 291-1</v>
          </cell>
          <cell r="G273" t="str">
            <v>La Fortaleza</v>
          </cell>
          <cell r="H273">
            <v>38300</v>
          </cell>
          <cell r="I273" t="str">
            <v>Cortazar</v>
          </cell>
          <cell r="J273" t="str">
            <v>Guanajuato, CP 38300</v>
          </cell>
          <cell r="K273" t="str">
            <v>México</v>
          </cell>
          <cell r="L273" t="str">
            <v>(461) 6110424</v>
          </cell>
          <cell r="M273">
            <v>0</v>
          </cell>
        </row>
        <row r="274">
          <cell r="A274">
            <v>274</v>
          </cell>
          <cell r="B274" t="str">
            <v>Marivel García Pérez</v>
          </cell>
          <cell r="C274" t="str">
            <v>GAPM740522N69</v>
          </cell>
          <cell r="D274" t="str">
            <v>Av. 5 de Febrero</v>
          </cell>
          <cell r="F274">
            <v>236</v>
          </cell>
          <cell r="G274" t="str">
            <v>San Pablo</v>
          </cell>
          <cell r="H274">
            <v>76130</v>
          </cell>
          <cell r="I274" t="str">
            <v>Querétaro</v>
          </cell>
          <cell r="J274" t="str">
            <v>Querétaro</v>
          </cell>
          <cell r="K274" t="str">
            <v>México</v>
          </cell>
          <cell r="L274" t="str">
            <v>(442) 2170871</v>
          </cell>
          <cell r="M274">
            <v>0</v>
          </cell>
          <cell r="N274" t="str">
            <v>11/12/2013</v>
          </cell>
        </row>
        <row r="275">
          <cell r="A275">
            <v>275</v>
          </cell>
          <cell r="B275" t="str">
            <v>Star SU Federal de México, S. de R.L. de C.V.</v>
          </cell>
          <cell r="C275" t="str">
            <v>SSF0807228P9</v>
          </cell>
          <cell r="D275" t="str">
            <v>Acceso V</v>
          </cell>
          <cell r="E275" t="str">
            <v>Nave 20</v>
          </cell>
          <cell r="F275" t="str">
            <v>115A</v>
          </cell>
          <cell r="G275" t="str">
            <v>Desarrollo La Montaña 2000 Secc.III</v>
          </cell>
          <cell r="H275">
            <v>76150</v>
          </cell>
          <cell r="I275" t="str">
            <v>Querétaro</v>
          </cell>
          <cell r="J275" t="str">
            <v>Querétaro</v>
          </cell>
          <cell r="K275" t="str">
            <v>México</v>
          </cell>
          <cell r="M275">
            <v>0</v>
          </cell>
          <cell r="N275" t="str">
            <v>19/03/2015</v>
          </cell>
        </row>
        <row r="276">
          <cell r="A276">
            <v>276</v>
          </cell>
          <cell r="B276" t="str">
            <v>Carlos Iván Tiscareño Ruiz</v>
          </cell>
          <cell r="C276" t="str">
            <v>TIRC740130218</v>
          </cell>
          <cell r="D276" t="str">
            <v>Santa María de Jesús Sacramentado Venegas de la Torre</v>
          </cell>
          <cell r="F276">
            <v>113</v>
          </cell>
          <cell r="G276" t="str">
            <v>Misión de Santa Lucía</v>
          </cell>
          <cell r="H276">
            <v>20298</v>
          </cell>
          <cell r="I276" t="str">
            <v>Aguascalientes</v>
          </cell>
          <cell r="J276" t="str">
            <v>Aguascalientes, CP 20298</v>
          </cell>
          <cell r="K276" t="str">
            <v>México</v>
          </cell>
          <cell r="L276" t="str">
            <v>.</v>
          </cell>
          <cell r="M276">
            <v>0</v>
          </cell>
        </row>
        <row r="277">
          <cell r="A277">
            <v>277</v>
          </cell>
          <cell r="B277" t="str">
            <v>Triumph Group-México, S. de R.L. de C.V.</v>
          </cell>
          <cell r="C277" t="str">
            <v>TGR090512IVA</v>
          </cell>
          <cell r="D277" t="str">
            <v>Blvd. Morelos</v>
          </cell>
          <cell r="F277">
            <v>1100</v>
          </cell>
          <cell r="G277" t="str">
            <v>Calera</v>
          </cell>
          <cell r="H277">
            <v>98500</v>
          </cell>
          <cell r="J277" t="str">
            <v>Zacatecas, CP 98500</v>
          </cell>
          <cell r="K277" t="str">
            <v>México</v>
          </cell>
          <cell r="L277" t="str">
            <v>.</v>
          </cell>
          <cell r="M277">
            <v>0</v>
          </cell>
        </row>
        <row r="278">
          <cell r="A278">
            <v>278</v>
          </cell>
          <cell r="B278" t="str">
            <v>Transportes Seguros GEGM, S.A. de C.V.</v>
          </cell>
          <cell r="C278" t="str">
            <v>TSG900301AH9</v>
          </cell>
          <cell r="D278" t="str">
            <v>Carretera a Tlacote Km. 14.5</v>
          </cell>
          <cell r="G278" t="str">
            <v>Tlacote el Bajo</v>
          </cell>
          <cell r="H278">
            <v>76230</v>
          </cell>
          <cell r="I278" t="str">
            <v>Querétaro</v>
          </cell>
          <cell r="J278" t="str">
            <v>Querétaro</v>
          </cell>
          <cell r="K278" t="str">
            <v>México</v>
          </cell>
          <cell r="L278" t="str">
            <v>.</v>
          </cell>
          <cell r="M278">
            <v>0</v>
          </cell>
        </row>
        <row r="279">
          <cell r="A279">
            <v>279</v>
          </cell>
          <cell r="B279" t="str">
            <v>Tamez Manufacturas y Servicios S. de R.L. de C.V.</v>
          </cell>
          <cell r="C279" t="str">
            <v>TMS0808113C2</v>
          </cell>
          <cell r="D279" t="str">
            <v>Av. Manantiales</v>
          </cell>
          <cell r="E279" t="str">
            <v xml:space="preserve"> Bodega E</v>
          </cell>
          <cell r="F279">
            <v>11</v>
          </cell>
          <cell r="G279" t="str">
            <v>Parque Industrial Bernardo Quintana</v>
          </cell>
          <cell r="H279">
            <v>76246</v>
          </cell>
          <cell r="I279" t="str">
            <v>El Marqués</v>
          </cell>
          <cell r="J279" t="str">
            <v>Querétaro, CP 76246</v>
          </cell>
          <cell r="K279" t="str">
            <v>México</v>
          </cell>
          <cell r="L279" t="str">
            <v>.</v>
          </cell>
          <cell r="M279">
            <v>0</v>
          </cell>
        </row>
        <row r="280">
          <cell r="A280">
            <v>280</v>
          </cell>
          <cell r="B280" t="str">
            <v>Datwyler Sealing Technologies México, S. de R.L. de C.V.</v>
          </cell>
          <cell r="C280" t="str">
            <v>DRM080310E12</v>
          </cell>
          <cell r="D280" t="str">
            <v>Paseo de las Colinas</v>
          </cell>
          <cell r="F280">
            <v>602</v>
          </cell>
          <cell r="G280" t="str">
            <v>Parque Industrial y de negocios las Colinas</v>
          </cell>
          <cell r="H280">
            <v>36270</v>
          </cell>
          <cell r="I280" t="str">
            <v>Silao</v>
          </cell>
          <cell r="J280" t="str">
            <v>Guanajuato, CP 36270</v>
          </cell>
          <cell r="K280" t="str">
            <v>México</v>
          </cell>
          <cell r="L280" t="str">
            <v>(472) 1035000</v>
          </cell>
          <cell r="M280">
            <v>60</v>
          </cell>
          <cell r="N280" t="str">
            <v>05/02/2015</v>
          </cell>
        </row>
        <row r="281">
          <cell r="A281">
            <v>281</v>
          </cell>
          <cell r="B281" t="str">
            <v>Control y Medición del Centro, S. de R.L. de C.V.</v>
          </cell>
          <cell r="C281" t="str">
            <v>CMC090728257</v>
          </cell>
          <cell r="D281" t="str">
            <v>Av. Vía Gustavo Baz Prada</v>
          </cell>
          <cell r="E281" t="str">
            <v>B</v>
          </cell>
          <cell r="F281">
            <v>3315</v>
          </cell>
          <cell r="G281" t="str">
            <v>Tlanepantla Centro</v>
          </cell>
          <cell r="H281">
            <v>54000</v>
          </cell>
          <cell r="I281" t="str">
            <v>Tlalnepantla de Baz</v>
          </cell>
          <cell r="J281" t="str">
            <v>Estado de México, CP 54000</v>
          </cell>
          <cell r="K281" t="str">
            <v>México</v>
          </cell>
          <cell r="L281" t="str">
            <v>.</v>
          </cell>
          <cell r="M281">
            <v>0</v>
          </cell>
          <cell r="N281" t="str">
            <v>22/08/2014</v>
          </cell>
        </row>
        <row r="282">
          <cell r="A282">
            <v>282</v>
          </cell>
          <cell r="B282" t="str">
            <v>Gelpharma, S.A. de C.V.</v>
          </cell>
          <cell r="C282" t="str">
            <v>GEL000105756</v>
          </cell>
          <cell r="D282" t="str">
            <v>Madero</v>
          </cell>
          <cell r="F282">
            <v>5908</v>
          </cell>
          <cell r="G282" t="str">
            <v>Jocotan</v>
          </cell>
          <cell r="H282">
            <v>45017</v>
          </cell>
          <cell r="I282" t="str">
            <v>Zapopan</v>
          </cell>
          <cell r="J282" t="str">
            <v>Jalisco,</v>
          </cell>
          <cell r="K282" t="str">
            <v>México</v>
          </cell>
          <cell r="L282" t="str">
            <v>.</v>
          </cell>
          <cell r="M282">
            <v>0</v>
          </cell>
          <cell r="N282" t="str">
            <v>25/03/2014</v>
          </cell>
        </row>
        <row r="283">
          <cell r="A283">
            <v>283</v>
          </cell>
          <cell r="B283" t="str">
            <v>S&amp;C Electric Mexicana, S. de R .L. de C .V.</v>
          </cell>
          <cell r="C283" t="str">
            <v>SEM020410154</v>
          </cell>
          <cell r="D283" t="str">
            <v>Jesús María Romo</v>
          </cell>
          <cell r="F283">
            <v>143</v>
          </cell>
          <cell r="G283" t="str">
            <v>Cd. Industrial</v>
          </cell>
          <cell r="H283">
            <v>20290</v>
          </cell>
          <cell r="I283" t="str">
            <v>Aguascalientes</v>
          </cell>
          <cell r="J283" t="str">
            <v>Aguascalientes, CP 20290</v>
          </cell>
          <cell r="K283" t="str">
            <v>México</v>
          </cell>
          <cell r="L283" t="str">
            <v>.</v>
          </cell>
          <cell r="M283">
            <v>30</v>
          </cell>
          <cell r="N283" t="str">
            <v>01/11/2013</v>
          </cell>
        </row>
        <row r="284">
          <cell r="A284">
            <v>284</v>
          </cell>
          <cell r="B284" t="str">
            <v>Plásticos Bandrex, S.A. de C.V.</v>
          </cell>
          <cell r="C284" t="str">
            <v>PBA940503BJ3</v>
          </cell>
          <cell r="D284" t="str">
            <v>Soleras</v>
          </cell>
          <cell r="E284" t="str">
            <v>3</v>
          </cell>
          <cell r="F284">
            <v>100</v>
          </cell>
          <cell r="G284" t="str">
            <v>Jocotan</v>
          </cell>
          <cell r="H284">
            <v>45017</v>
          </cell>
          <cell r="I284" t="str">
            <v>Zapopan</v>
          </cell>
          <cell r="J284" t="str">
            <v>Jalisco, CP 45017</v>
          </cell>
          <cell r="K284" t="str">
            <v>México</v>
          </cell>
          <cell r="M284">
            <v>0</v>
          </cell>
          <cell r="N284" t="str">
            <v>16/04/2015</v>
          </cell>
        </row>
        <row r="285">
          <cell r="A285">
            <v>285</v>
          </cell>
          <cell r="B285" t="str">
            <v>Gerardo Alan Zamora Azua</v>
          </cell>
          <cell r="C285" t="str">
            <v>ZAAG760820RV2</v>
          </cell>
          <cell r="D285" t="str">
            <v>Primero de Mayo</v>
          </cell>
          <cell r="E285" t="str">
            <v>Edificio A 401</v>
          </cell>
          <cell r="F285">
            <v>159</v>
          </cell>
          <cell r="G285" t="str">
            <v>San Pedro de los Pinos</v>
          </cell>
          <cell r="H285">
            <v>3800</v>
          </cell>
          <cell r="I285" t="str">
            <v>Deleg. Benito Juárez</v>
          </cell>
          <cell r="J285" t="str">
            <v>Distrito Federal, CP 3800</v>
          </cell>
          <cell r="K285" t="str">
            <v>México</v>
          </cell>
          <cell r="M285">
            <v>30</v>
          </cell>
          <cell r="N285" t="str">
            <v>28/04/2015</v>
          </cell>
        </row>
        <row r="286">
          <cell r="A286">
            <v>286</v>
          </cell>
          <cell r="B286" t="str">
            <v>Relats México, S.A. de C.V.</v>
          </cell>
          <cell r="C286" t="str">
            <v>RLE100216JP6</v>
          </cell>
          <cell r="D286" t="str">
            <v>Circuito San Javier</v>
          </cell>
          <cell r="F286">
            <v>107</v>
          </cell>
          <cell r="G286" t="str">
            <v>Puerto Interior</v>
          </cell>
          <cell r="H286">
            <v>36275</v>
          </cell>
          <cell r="I286" t="str">
            <v>Silao</v>
          </cell>
          <cell r="J286" t="str">
            <v>Guanajuato, CP 36275</v>
          </cell>
          <cell r="K286" t="str">
            <v>México</v>
          </cell>
          <cell r="L286" t="str">
            <v>(472) 7489100</v>
          </cell>
          <cell r="M286">
            <v>0</v>
          </cell>
          <cell r="N286" t="str">
            <v>25/03/2015</v>
          </cell>
        </row>
        <row r="287">
          <cell r="A287">
            <v>287</v>
          </cell>
          <cell r="B287" t="str">
            <v>Popapre, S.A. de C.V.</v>
          </cell>
          <cell r="C287" t="str">
            <v>POP0205208S8</v>
          </cell>
          <cell r="D287" t="str">
            <v>Alfonso Mtz. Dominguez</v>
          </cell>
          <cell r="F287" t="str">
            <v>S/N</v>
          </cell>
          <cell r="G287" t="str">
            <v>Cuauhtemoc</v>
          </cell>
          <cell r="H287">
            <v>65600</v>
          </cell>
          <cell r="I287" t="str">
            <v>Hidalgo</v>
          </cell>
          <cell r="J287" t="str">
            <v>Nuevo León, CP 65600</v>
          </cell>
          <cell r="K287" t="str">
            <v>México</v>
          </cell>
          <cell r="L287" t="str">
            <v>(829) 2860290</v>
          </cell>
          <cell r="M287">
            <v>0</v>
          </cell>
        </row>
        <row r="288">
          <cell r="A288">
            <v>288</v>
          </cell>
          <cell r="B288" t="str">
            <v>GSN Maquinaria - Servicios - CNC, S.A. de C.V.</v>
          </cell>
          <cell r="C288" t="str">
            <v>GMA0708153R1</v>
          </cell>
          <cell r="D288" t="str">
            <v>Ecuador</v>
          </cell>
          <cell r="F288">
            <v>4</v>
          </cell>
          <cell r="G288" t="str">
            <v>Lomas de Querétaro</v>
          </cell>
          <cell r="H288">
            <v>76190</v>
          </cell>
          <cell r="I288" t="str">
            <v>Querétaro</v>
          </cell>
          <cell r="J288" t="str">
            <v>Querétaro</v>
          </cell>
          <cell r="K288" t="str">
            <v>México</v>
          </cell>
          <cell r="L288" t="str">
            <v>(442) 2095145</v>
          </cell>
          <cell r="M288">
            <v>0</v>
          </cell>
        </row>
        <row r="289">
          <cell r="A289">
            <v>289</v>
          </cell>
          <cell r="B289" t="str">
            <v>Calibración e Inspecciones Ceisa, S.A. de C.V.</v>
          </cell>
          <cell r="C289" t="str">
            <v>CIC080125TQ1</v>
          </cell>
          <cell r="D289" t="str">
            <v>Calle Espíritu Santo</v>
          </cell>
          <cell r="F289">
            <v>604</v>
          </cell>
          <cell r="G289" t="str">
            <v>Divina Providencia</v>
          </cell>
          <cell r="H289">
            <v>96536</v>
          </cell>
          <cell r="I289" t="str">
            <v>Coatzacoalcos</v>
          </cell>
          <cell r="J289" t="str">
            <v>Veracruz, CP 96536</v>
          </cell>
          <cell r="K289" t="str">
            <v>México</v>
          </cell>
          <cell r="L289" t="str">
            <v>(921) 2183417</v>
          </cell>
          <cell r="M289">
            <v>0</v>
          </cell>
        </row>
        <row r="290">
          <cell r="A290">
            <v>290</v>
          </cell>
          <cell r="B290" t="str">
            <v>Ilpea, S. de R.L. de C.V.</v>
          </cell>
          <cell r="C290" t="str">
            <v>ILP040422F37</v>
          </cell>
          <cell r="D290" t="str">
            <v>Calle 3</v>
          </cell>
          <cell r="E290" t="str">
            <v>A</v>
          </cell>
          <cell r="F290">
            <v>20</v>
          </cell>
          <cell r="G290" t="str">
            <v>Zona Industrial Benito Juárez</v>
          </cell>
          <cell r="H290">
            <v>76120</v>
          </cell>
          <cell r="I290" t="str">
            <v>Querétaro</v>
          </cell>
          <cell r="J290" t="str">
            <v>Querétaro</v>
          </cell>
          <cell r="K290" t="str">
            <v>México</v>
          </cell>
          <cell r="M290">
            <v>0</v>
          </cell>
          <cell r="N290" t="str">
            <v>28/08/2014</v>
          </cell>
        </row>
        <row r="291">
          <cell r="A291">
            <v>291</v>
          </cell>
          <cell r="B291" t="str">
            <v>Maquinados y Estampados Nacionales Automotrices, S.A. de C.V.</v>
          </cell>
          <cell r="C291" t="str">
            <v>MEN9106285E3</v>
          </cell>
          <cell r="D291" t="str">
            <v>Calle B</v>
          </cell>
          <cell r="E291" t="str">
            <v>Lote 9</v>
          </cell>
          <cell r="G291" t="str">
            <v>La Reforma, Parque Industrial Canacintra</v>
          </cell>
          <cell r="H291">
            <v>42186</v>
          </cell>
          <cell r="I291" t="str">
            <v>Mineral de la Reforma</v>
          </cell>
          <cell r="J291" t="str">
            <v>Hidalgo</v>
          </cell>
          <cell r="K291" t="str">
            <v>México</v>
          </cell>
          <cell r="L291" t="str">
            <v>(771) 7171420</v>
          </cell>
          <cell r="M291">
            <v>0</v>
          </cell>
          <cell r="N291" t="str">
            <v>27/04/2015</v>
          </cell>
          <cell r="Q291" t="str">
            <v>MAENA</v>
          </cell>
        </row>
        <row r="292">
          <cell r="A292">
            <v>292</v>
          </cell>
          <cell r="B292" t="str">
            <v>Pressen Metal Components de Querétaro, S.A.</v>
          </cell>
          <cell r="C292" t="str">
            <v>PMC020919II8</v>
          </cell>
          <cell r="D292" t="str">
            <v>Roberto Ruiz Obregon</v>
          </cell>
          <cell r="F292">
            <v>3</v>
          </cell>
          <cell r="G292" t="str">
            <v>Fracc. Parques Industriales</v>
          </cell>
          <cell r="H292">
            <v>76150</v>
          </cell>
          <cell r="I292" t="str">
            <v>Querétaro</v>
          </cell>
          <cell r="J292" t="str">
            <v>Querétaro</v>
          </cell>
          <cell r="K292" t="str">
            <v>México</v>
          </cell>
          <cell r="L292" t="str">
            <v>(442) 2101419</v>
          </cell>
          <cell r="M292">
            <v>0</v>
          </cell>
        </row>
        <row r="293">
          <cell r="A293">
            <v>293</v>
          </cell>
          <cell r="B293" t="str">
            <v>Servilamina Summit Mexicana, S.A. de C.V.</v>
          </cell>
          <cell r="C293" t="str">
            <v>SSM9211259G6</v>
          </cell>
          <cell r="D293" t="str">
            <v>Acceso III</v>
          </cell>
          <cell r="E293" t="str">
            <v>A</v>
          </cell>
          <cell r="F293">
            <v>15</v>
          </cell>
          <cell r="G293" t="str">
            <v>Zona Industrial Benito Juárez</v>
          </cell>
          <cell r="H293">
            <v>76120</v>
          </cell>
          <cell r="I293" t="str">
            <v>Querétaro</v>
          </cell>
          <cell r="J293" t="str">
            <v>Querétaro</v>
          </cell>
          <cell r="K293" t="str">
            <v>México</v>
          </cell>
          <cell r="L293" t="str">
            <v>(442) 1538100</v>
          </cell>
          <cell r="M293">
            <v>30</v>
          </cell>
          <cell r="N293" t="str">
            <v>07/05/2015</v>
          </cell>
        </row>
        <row r="294">
          <cell r="A294">
            <v>294</v>
          </cell>
          <cell r="B294" t="str">
            <v>Eugenio Layseca Yarza</v>
          </cell>
          <cell r="C294" t="str">
            <v>LAYE580518S66</v>
          </cell>
          <cell r="D294" t="str">
            <v>Camino Real</v>
          </cell>
          <cell r="F294" t="str">
            <v>S/N</v>
          </cell>
          <cell r="G294" t="str">
            <v>Cuarto Centenario</v>
          </cell>
          <cell r="H294">
            <v>76837</v>
          </cell>
          <cell r="I294" t="str">
            <v>San Juan del Río</v>
          </cell>
          <cell r="J294" t="str">
            <v>Querétaro, CP 76837</v>
          </cell>
          <cell r="K294" t="str">
            <v>México</v>
          </cell>
          <cell r="L294" t="str">
            <v>(427) 1011037</v>
          </cell>
          <cell r="M294">
            <v>0</v>
          </cell>
          <cell r="N294" t="str">
            <v>16/04/2015</v>
          </cell>
        </row>
        <row r="295">
          <cell r="A295">
            <v>295</v>
          </cell>
          <cell r="B295" t="str">
            <v>Mónica Viviana Rodríguez Frías</v>
          </cell>
          <cell r="C295" t="str">
            <v>ROFM740207QX9</v>
          </cell>
          <cell r="D295" t="str">
            <v>Mar Mediterráneo</v>
          </cell>
          <cell r="F295">
            <v>15</v>
          </cell>
          <cell r="G295" t="str">
            <v>Las Hadas</v>
          </cell>
          <cell r="H295">
            <v>76160</v>
          </cell>
          <cell r="I295" t="str">
            <v>Querétaro</v>
          </cell>
          <cell r="J295" t="str">
            <v>Querétaro</v>
          </cell>
          <cell r="K295" t="str">
            <v>México</v>
          </cell>
          <cell r="L295" t="str">
            <v>.</v>
          </cell>
          <cell r="M295">
            <v>0</v>
          </cell>
        </row>
        <row r="296">
          <cell r="A296">
            <v>296</v>
          </cell>
          <cell r="B296" t="str">
            <v>PrintPack Packaging de México, S.A. de C.V.</v>
          </cell>
          <cell r="C296" t="str">
            <v>PPM9410117P6</v>
          </cell>
          <cell r="D296" t="str">
            <v>Av. de las Fuentes</v>
          </cell>
          <cell r="F296">
            <v>37</v>
          </cell>
          <cell r="G296" t="str">
            <v>Parque Industrial Finsa</v>
          </cell>
          <cell r="H296">
            <v>76246</v>
          </cell>
          <cell r="I296" t="str">
            <v>Querétaro</v>
          </cell>
          <cell r="J296" t="str">
            <v>Querétaro</v>
          </cell>
          <cell r="K296" t="str">
            <v>México</v>
          </cell>
          <cell r="L296" t="str">
            <v>(442) 1532500</v>
          </cell>
          <cell r="M296">
            <v>0</v>
          </cell>
        </row>
        <row r="297">
          <cell r="A297">
            <v>297</v>
          </cell>
          <cell r="B297" t="str">
            <v>Safran Aircraft Engines Services Americas</v>
          </cell>
          <cell r="D297" t="str">
            <v>Carretera Estatal 200 Km. 22</v>
          </cell>
          <cell r="E297" t="str">
            <v>B1</v>
          </cell>
          <cell r="G297" t="str">
            <v>Parque Aeroespacial Querétaro</v>
          </cell>
          <cell r="H297">
            <v>76278</v>
          </cell>
          <cell r="I297" t="str">
            <v>Colón</v>
          </cell>
          <cell r="J297" t="str">
            <v>Querétaro</v>
          </cell>
          <cell r="K297" t="str">
            <v>México</v>
          </cell>
          <cell r="L297" t="str">
            <v>(442) 2965600</v>
          </cell>
          <cell r="M297">
            <v>30</v>
          </cell>
          <cell r="N297" t="str">
            <v>13/01/2015</v>
          </cell>
          <cell r="O297" t="str">
            <v>SNECMA AMERICA</v>
          </cell>
        </row>
        <row r="298">
          <cell r="A298">
            <v>298</v>
          </cell>
          <cell r="B298" t="str">
            <v>Bolsas Plásticas de Querétaro, S. de R.L. de C.V.</v>
          </cell>
          <cell r="C298" t="str">
            <v>BPQ980929GC3</v>
          </cell>
          <cell r="D298" t="str">
            <v>Carretera México - Querétaro Km. 198.6</v>
          </cell>
          <cell r="G298" t="str">
            <v>El Carmen</v>
          </cell>
          <cell r="H298">
            <v>76250</v>
          </cell>
          <cell r="I298" t="str">
            <v>El Marqués</v>
          </cell>
          <cell r="J298" t="str">
            <v>Querétaro, CP 76250</v>
          </cell>
          <cell r="K298" t="str">
            <v>México</v>
          </cell>
          <cell r="M298">
            <v>0</v>
          </cell>
          <cell r="N298" t="str">
            <v>14/01/2015</v>
          </cell>
        </row>
        <row r="299">
          <cell r="A299">
            <v>299</v>
          </cell>
          <cell r="B299" t="str">
            <v>Genaro Islas Rivero</v>
          </cell>
          <cell r="C299" t="str">
            <v>IARG570314NK7</v>
          </cell>
          <cell r="D299" t="str">
            <v>Primavera</v>
          </cell>
          <cell r="F299">
            <v>162</v>
          </cell>
          <cell r="G299" t="str">
            <v>Viveros Xalostoc</v>
          </cell>
          <cell r="H299">
            <v>55340</v>
          </cell>
          <cell r="I299" t="str">
            <v>Ecatepec</v>
          </cell>
          <cell r="J299" t="str">
            <v>Estado de México, CP 55340</v>
          </cell>
          <cell r="K299" t="str">
            <v>México</v>
          </cell>
          <cell r="L299" t="str">
            <v>.</v>
          </cell>
          <cell r="M299">
            <v>0</v>
          </cell>
        </row>
        <row r="300">
          <cell r="A300">
            <v>300</v>
          </cell>
          <cell r="B300" t="str">
            <v>Harada Industries (México), S.A. de C.V.</v>
          </cell>
          <cell r="C300" t="str">
            <v>HIM930928N45</v>
          </cell>
          <cell r="D300" t="str">
            <v>Av. Central Carretera a Tequisquiapan Km. 3.1</v>
          </cell>
          <cell r="G300" t="str">
            <v>Zona Industrial Valle de Oro</v>
          </cell>
          <cell r="H300">
            <v>76803</v>
          </cell>
          <cell r="I300" t="str">
            <v>San Juan del Río</v>
          </cell>
          <cell r="J300" t="str">
            <v>Querétaro, CP 76803</v>
          </cell>
          <cell r="K300" t="str">
            <v>México</v>
          </cell>
          <cell r="M300">
            <v>30</v>
          </cell>
          <cell r="N300" t="str">
            <v>18/03/2015</v>
          </cell>
        </row>
        <row r="301">
          <cell r="A301">
            <v>301</v>
          </cell>
          <cell r="B301" t="str">
            <v>María Otilia Gutiérrez Rodríguez</v>
          </cell>
          <cell r="C301" t="str">
            <v>GURO5412133I2</v>
          </cell>
          <cell r="D301" t="str">
            <v>Otoño</v>
          </cell>
          <cell r="F301">
            <v>23</v>
          </cell>
          <cell r="G301" t="str">
            <v>Infonavit San Cayetano</v>
          </cell>
          <cell r="H301">
            <v>76807</v>
          </cell>
          <cell r="I301" t="str">
            <v>San Juan del Río</v>
          </cell>
          <cell r="J301" t="str">
            <v>Querétaro, CP 76807</v>
          </cell>
          <cell r="K301" t="str">
            <v>México</v>
          </cell>
          <cell r="L301" t="str">
            <v>(427) 1294459</v>
          </cell>
          <cell r="M301">
            <v>0</v>
          </cell>
        </row>
        <row r="302">
          <cell r="A302">
            <v>302</v>
          </cell>
          <cell r="B302" t="str">
            <v>Tesa SA  Instruments et systémes de mesure</v>
          </cell>
          <cell r="C302" t="str">
            <v>XEXX010101000</v>
          </cell>
          <cell r="D302" t="str">
            <v>Bugnon 38 - CH-1020  Renens</v>
          </cell>
          <cell r="F302">
            <v>1</v>
          </cell>
          <cell r="G302" t="str">
            <v>.</v>
          </cell>
          <cell r="H302" t="str">
            <v>.</v>
          </cell>
          <cell r="K302" t="str">
            <v>Zwitzerland</v>
          </cell>
          <cell r="L302" t="str">
            <v>0041216331600</v>
          </cell>
          <cell r="M302">
            <v>0</v>
          </cell>
        </row>
        <row r="303">
          <cell r="A303">
            <v>303</v>
          </cell>
          <cell r="B303" t="str">
            <v>Empacadora Celaya, S.A. de C.V.</v>
          </cell>
          <cell r="C303" t="str">
            <v>ECE830923MJ2</v>
          </cell>
          <cell r="D303" t="str">
            <v>Av. México - Japón</v>
          </cell>
          <cell r="F303">
            <v>116</v>
          </cell>
          <cell r="G303" t="str">
            <v>Cd. Industrial</v>
          </cell>
          <cell r="H303">
            <v>38010</v>
          </cell>
          <cell r="I303" t="str">
            <v>Celaya</v>
          </cell>
          <cell r="J303" t="str">
            <v>Guanajuato, CP 38010</v>
          </cell>
          <cell r="K303" t="str">
            <v>México</v>
          </cell>
          <cell r="L303" t="str">
            <v>.</v>
          </cell>
          <cell r="M303">
            <v>0</v>
          </cell>
        </row>
        <row r="304">
          <cell r="A304">
            <v>304</v>
          </cell>
          <cell r="B304" t="str">
            <v>Jafra Manufacturing, S.A. de C.V.</v>
          </cell>
          <cell r="C304" t="str">
            <v>JMA0904211G3</v>
          </cell>
          <cell r="D304" t="str">
            <v>Av. La Estacada</v>
          </cell>
          <cell r="F304">
            <v>201</v>
          </cell>
          <cell r="G304" t="str">
            <v>Parque Industrial Querétaro</v>
          </cell>
          <cell r="H304">
            <v>76220</v>
          </cell>
          <cell r="I304" t="str">
            <v>Santa Rosa Jáuregui</v>
          </cell>
          <cell r="J304" t="str">
            <v>Querétaro, CP 76220</v>
          </cell>
          <cell r="K304" t="str">
            <v>México</v>
          </cell>
          <cell r="L304" t="str">
            <v>(442) 101 5000</v>
          </cell>
          <cell r="M304">
            <v>30</v>
          </cell>
        </row>
        <row r="305">
          <cell r="A305">
            <v>305</v>
          </cell>
          <cell r="B305" t="str">
            <v>Productos Altec, S. A. de C. V</v>
          </cell>
          <cell r="C305" t="str">
            <v>PAL080714HS4</v>
          </cell>
          <cell r="D305" t="str">
            <v>Oriente 10</v>
          </cell>
          <cell r="F305">
            <v>5</v>
          </cell>
          <cell r="G305" t="str">
            <v>Nuevo Parque Industrial</v>
          </cell>
          <cell r="H305">
            <v>76809</v>
          </cell>
          <cell r="I305" t="str">
            <v>San Juan del Río</v>
          </cell>
          <cell r="J305" t="str">
            <v>Querétaro, CP 76809</v>
          </cell>
          <cell r="K305" t="str">
            <v>México</v>
          </cell>
          <cell r="L305" t="str">
            <v>(427) 2724275</v>
          </cell>
          <cell r="M305">
            <v>0</v>
          </cell>
        </row>
        <row r="306">
          <cell r="A306">
            <v>306</v>
          </cell>
          <cell r="B306" t="str">
            <v>Eaton Industries, S. de R.L. de C.V.</v>
          </cell>
          <cell r="C306" t="str">
            <v>EIN0306306H6</v>
          </cell>
          <cell r="D306" t="str">
            <v>Carretera Aguascalientes - Villa Hidalgo Km. 1.8</v>
          </cell>
          <cell r="G306" t="str">
            <v>Santa Cruz de la Presa</v>
          </cell>
          <cell r="H306">
            <v>20317</v>
          </cell>
          <cell r="I306" t="str">
            <v>Aguascalientes</v>
          </cell>
          <cell r="J306" t="str">
            <v>Aguascalientes, CP 20317</v>
          </cell>
          <cell r="K306" t="str">
            <v>México</v>
          </cell>
          <cell r="L306" t="str">
            <v>.</v>
          </cell>
          <cell r="M306">
            <v>30</v>
          </cell>
          <cell r="N306" t="str">
            <v>31/07/2014</v>
          </cell>
        </row>
        <row r="307">
          <cell r="A307">
            <v>307</v>
          </cell>
          <cell r="B307" t="str">
            <v>Luis Fernando Morales Arcaute</v>
          </cell>
          <cell r="C307" t="str">
            <v>MOAL550824HC4</v>
          </cell>
          <cell r="D307" t="str">
            <v>Esperanza Mccormick</v>
          </cell>
          <cell r="F307">
            <v>40</v>
          </cell>
          <cell r="G307" t="str">
            <v>La Era</v>
          </cell>
          <cell r="H307">
            <v>76150</v>
          </cell>
          <cell r="I307" t="str">
            <v>Querétaro</v>
          </cell>
          <cell r="J307" t="str">
            <v>Querétaro</v>
          </cell>
          <cell r="K307" t="str">
            <v>México</v>
          </cell>
          <cell r="L307" t="str">
            <v>.</v>
          </cell>
          <cell r="M307">
            <v>0</v>
          </cell>
        </row>
        <row r="308">
          <cell r="A308">
            <v>308</v>
          </cell>
          <cell r="B308" t="str">
            <v>Plenco de México, S. de R.L. de C.V.</v>
          </cell>
          <cell r="C308" t="str">
            <v>PME980820LM0</v>
          </cell>
          <cell r="D308" t="str">
            <v xml:space="preserve">Av. de la Montaña  </v>
          </cell>
          <cell r="E308" t="str">
            <v>Gafon 4</v>
          </cell>
          <cell r="F308">
            <v>112</v>
          </cell>
          <cell r="G308" t="str">
            <v>Parque Industrial Querétaro</v>
          </cell>
          <cell r="H308">
            <v>76220</v>
          </cell>
          <cell r="I308" t="str">
            <v>Querétaro</v>
          </cell>
          <cell r="J308" t="str">
            <v>Querétaro</v>
          </cell>
          <cell r="K308" t="str">
            <v>México</v>
          </cell>
          <cell r="M308">
            <v>0</v>
          </cell>
          <cell r="N308" t="str">
            <v>12/03/2015</v>
          </cell>
        </row>
        <row r="309">
          <cell r="A309">
            <v>309</v>
          </cell>
          <cell r="B309" t="str">
            <v>CGR de México, S.A. de C.V.</v>
          </cell>
          <cell r="C309" t="str">
            <v>CME030429I94</v>
          </cell>
          <cell r="D309" t="str">
            <v>Calle Sin Nombre</v>
          </cell>
          <cell r="F309">
            <v>7</v>
          </cell>
          <cell r="G309" t="str">
            <v>Fracc. Ind. Balvanera</v>
          </cell>
          <cell r="H309">
            <v>76920</v>
          </cell>
          <cell r="I309" t="str">
            <v>Corregidora</v>
          </cell>
          <cell r="J309" t="str">
            <v>Querétaro</v>
          </cell>
          <cell r="K309" t="str">
            <v>México</v>
          </cell>
          <cell r="M309">
            <v>30</v>
          </cell>
          <cell r="N309" t="str">
            <v>24/04/2015</v>
          </cell>
        </row>
        <row r="310">
          <cell r="A310">
            <v>310</v>
          </cell>
          <cell r="B310" t="str">
            <v>Corporación Industrial Multico, S.A.de C.V.</v>
          </cell>
          <cell r="C310" t="str">
            <v>CIM891213CJ1</v>
          </cell>
          <cell r="D310" t="str">
            <v>Libramiento Esq. Insurgentes</v>
          </cell>
          <cell r="F310" t="str">
            <v>SN</v>
          </cell>
          <cell r="G310" t="str">
            <v>.</v>
          </cell>
          <cell r="H310">
            <v>36900</v>
          </cell>
          <cell r="I310" t="str">
            <v>Penjamo</v>
          </cell>
          <cell r="J310" t="str">
            <v>Guanajuato</v>
          </cell>
          <cell r="K310" t="str">
            <v>México</v>
          </cell>
          <cell r="L310" t="str">
            <v>(469) 6920345</v>
          </cell>
          <cell r="M310">
            <v>0</v>
          </cell>
        </row>
        <row r="311">
          <cell r="A311">
            <v>311</v>
          </cell>
          <cell r="B311" t="str">
            <v>Etalons, S.A. de C.V.</v>
          </cell>
          <cell r="C311" t="str">
            <v>ETA1201235R7</v>
          </cell>
          <cell r="D311" t="str">
            <v>Sierra del Fraile</v>
          </cell>
          <cell r="F311">
            <v>117</v>
          </cell>
          <cell r="G311" t="str">
            <v>Arroyo Seco</v>
          </cell>
          <cell r="H311">
            <v>64740</v>
          </cell>
          <cell r="I311" t="str">
            <v>Monterrey</v>
          </cell>
          <cell r="J311" t="str">
            <v>Nuevo León</v>
          </cell>
          <cell r="K311" t="str">
            <v>México</v>
          </cell>
          <cell r="L311" t="str">
            <v>.</v>
          </cell>
          <cell r="M311">
            <v>30</v>
          </cell>
        </row>
        <row r="312">
          <cell r="A312">
            <v>312</v>
          </cell>
          <cell r="B312" t="str">
            <v>Johnan de México, S.A. de C.V.</v>
          </cell>
          <cell r="C312" t="str">
            <v>JME081023A4A</v>
          </cell>
          <cell r="D312" t="str">
            <v>Av. Eucalipto</v>
          </cell>
          <cell r="F312">
            <v>240</v>
          </cell>
          <cell r="G312" t="str">
            <v>Parque Industrial y de Negocios Las Colinas</v>
          </cell>
          <cell r="H312">
            <v>36270</v>
          </cell>
          <cell r="I312" t="str">
            <v>Silao</v>
          </cell>
          <cell r="J312" t="str">
            <v>Guanajuato, CP 36270</v>
          </cell>
          <cell r="K312" t="str">
            <v>México</v>
          </cell>
          <cell r="L312" t="str">
            <v>(472) 7238400</v>
          </cell>
          <cell r="M312">
            <v>30</v>
          </cell>
          <cell r="N312" t="str">
            <v>29/04/2015</v>
          </cell>
        </row>
        <row r="313">
          <cell r="A313">
            <v>313</v>
          </cell>
          <cell r="B313" t="str">
            <v>Martinrea Developments de México, S.A. de C.V.</v>
          </cell>
          <cell r="C313" t="str">
            <v>MDM9305078I0</v>
          </cell>
          <cell r="D313" t="str">
            <v>Carretera Ant Arteaga</v>
          </cell>
          <cell r="F313">
            <v>2653</v>
          </cell>
          <cell r="G313" t="str">
            <v>La Aurora</v>
          </cell>
          <cell r="H313">
            <v>25298</v>
          </cell>
          <cell r="I313" t="str">
            <v>Saltillo</v>
          </cell>
          <cell r="J313" t="str">
            <v>Coahuila, CP 25298</v>
          </cell>
          <cell r="K313" t="str">
            <v>México</v>
          </cell>
          <cell r="L313" t="str">
            <v>.</v>
          </cell>
          <cell r="M313">
            <v>30</v>
          </cell>
        </row>
        <row r="314">
          <cell r="A314">
            <v>314</v>
          </cell>
          <cell r="B314" t="str">
            <v>A. E. Petsche Company, S. de R.L. de C.V.</v>
          </cell>
          <cell r="C314" t="str">
            <v>APE060221TVA</v>
          </cell>
          <cell r="D314" t="str">
            <v>Carretera Querétaro - Tequisquiapan Km 22.547</v>
          </cell>
          <cell r="E314" t="str">
            <v>E</v>
          </cell>
          <cell r="G314" t="str">
            <v>Parque Aeroespacial</v>
          </cell>
          <cell r="H314">
            <v>76270</v>
          </cell>
          <cell r="I314" t="str">
            <v>Colón</v>
          </cell>
          <cell r="J314" t="str">
            <v>Querétaro, CP 76270</v>
          </cell>
          <cell r="K314" t="str">
            <v>México</v>
          </cell>
          <cell r="L314" t="str">
            <v>.</v>
          </cell>
          <cell r="M314">
            <v>0</v>
          </cell>
          <cell r="N314" t="str">
            <v>28/08/2014</v>
          </cell>
        </row>
        <row r="315">
          <cell r="A315">
            <v>316</v>
          </cell>
          <cell r="B315" t="str">
            <v>Linamar Driveline Systems México, S. de R.L. de C.V.</v>
          </cell>
          <cell r="C315" t="str">
            <v>LDS070518PT3</v>
          </cell>
          <cell r="D315" t="str">
            <v>Blvd. Michigan</v>
          </cell>
          <cell r="F315">
            <v>1</v>
          </cell>
          <cell r="G315" t="str">
            <v>Parque Industrial Río Grande</v>
          </cell>
          <cell r="H315">
            <v>88186</v>
          </cell>
          <cell r="I315" t="str">
            <v xml:space="preserve">Nuevo Laredo, </v>
          </cell>
          <cell r="J315" t="str">
            <v>Tamaulipas</v>
          </cell>
          <cell r="K315" t="str">
            <v>México</v>
          </cell>
          <cell r="L315" t="str">
            <v>.</v>
          </cell>
          <cell r="M315">
            <v>0</v>
          </cell>
        </row>
        <row r="316">
          <cell r="A316">
            <v>317</v>
          </cell>
          <cell r="B316" t="str">
            <v>Protecva, S.A. de C.V.</v>
          </cell>
          <cell r="C316" t="str">
            <v>PRO060919BB2</v>
          </cell>
          <cell r="D316" t="str">
            <v>Acueducto</v>
          </cell>
          <cell r="F316">
            <v>16</v>
          </cell>
          <cell r="G316" t="str">
            <v>Parque Industrial Bernardo Quintana</v>
          </cell>
          <cell r="H316">
            <v>76246</v>
          </cell>
          <cell r="I316" t="str">
            <v>El Marqués</v>
          </cell>
          <cell r="J316" t="str">
            <v>Querétaro, CP 76246</v>
          </cell>
          <cell r="K316" t="str">
            <v>México</v>
          </cell>
          <cell r="L316" t="str">
            <v>(442) 2205415</v>
          </cell>
          <cell r="M316">
            <v>0</v>
          </cell>
          <cell r="N316" t="str">
            <v>16/12/2014</v>
          </cell>
        </row>
        <row r="317">
          <cell r="A317">
            <v>318</v>
          </cell>
          <cell r="B317" t="str">
            <v>Pablo Olvera Arana</v>
          </cell>
          <cell r="C317" t="str">
            <v>OEAP560913EX7</v>
          </cell>
          <cell r="D317" t="str">
            <v>Av. Marqués de la Maceyra</v>
          </cell>
          <cell r="F317">
            <v>111</v>
          </cell>
          <cell r="G317" t="str">
            <v>Lomas del Marqués</v>
          </cell>
          <cell r="H317">
            <v>76146</v>
          </cell>
          <cell r="I317" t="str">
            <v>Querétaro</v>
          </cell>
          <cell r="J317" t="str">
            <v>Querétaro</v>
          </cell>
          <cell r="K317" t="str">
            <v>México</v>
          </cell>
          <cell r="L317" t="str">
            <v>.</v>
          </cell>
          <cell r="M317">
            <v>0</v>
          </cell>
        </row>
        <row r="318">
          <cell r="A318">
            <v>319</v>
          </cell>
          <cell r="B318" t="str">
            <v>Capstan de México, S.A. de C.V.</v>
          </cell>
          <cell r="C318" t="str">
            <v>CME951214TB7</v>
          </cell>
          <cell r="D318" t="str">
            <v>Carretera a Guadalajara El Castillo Km. 11.5</v>
          </cell>
          <cell r="H318">
            <v>45685</v>
          </cell>
          <cell r="I318" t="str">
            <v>El Salto</v>
          </cell>
          <cell r="J318" t="str">
            <v>Jalisco, CP 45685</v>
          </cell>
          <cell r="K318" t="str">
            <v>México</v>
          </cell>
          <cell r="L318" t="str">
            <v>.</v>
          </cell>
          <cell r="M318">
            <v>0</v>
          </cell>
        </row>
        <row r="319">
          <cell r="A319">
            <v>320</v>
          </cell>
          <cell r="B319" t="str">
            <v>Convertidora de Papel del Bajío, S.A. de C.V.</v>
          </cell>
          <cell r="C319" t="str">
            <v>CPB060106AQ5</v>
          </cell>
          <cell r="D319" t="str">
            <v>Cto. El Marqués Sur</v>
          </cell>
          <cell r="F319">
            <v>13</v>
          </cell>
          <cell r="G319" t="str">
            <v>Parque Industrial el Marqués</v>
          </cell>
          <cell r="H319">
            <v>76246</v>
          </cell>
          <cell r="I319" t="str">
            <v>El Marqués</v>
          </cell>
          <cell r="J319" t="str">
            <v>Querétaro, CP 76246</v>
          </cell>
          <cell r="K319" t="str">
            <v>México</v>
          </cell>
          <cell r="L319" t="str">
            <v>(442) 1925950</v>
          </cell>
          <cell r="M319">
            <v>0</v>
          </cell>
        </row>
        <row r="320">
          <cell r="A320">
            <v>321</v>
          </cell>
          <cell r="B320" t="str">
            <v>Hirotec México, S.A. de C.V.</v>
          </cell>
          <cell r="C320" t="str">
            <v>HME980330SL3</v>
          </cell>
          <cell r="D320" t="str">
            <v>Carretera Panamericana Km. 5.5</v>
          </cell>
          <cell r="E320" t="str">
            <v>L-C</v>
          </cell>
          <cell r="F320" t="str">
            <v>2-A</v>
          </cell>
          <cell r="G320" t="str">
            <v>Parque Industrial Silao,  Tramo Silao-Irapuato</v>
          </cell>
          <cell r="H320">
            <v>36100</v>
          </cell>
          <cell r="I320" t="str">
            <v>Silao</v>
          </cell>
          <cell r="J320" t="str">
            <v>Guanajuato,</v>
          </cell>
          <cell r="K320" t="str">
            <v>México</v>
          </cell>
          <cell r="L320" t="str">
            <v>(472) 7227100</v>
          </cell>
          <cell r="M320">
            <v>15</v>
          </cell>
          <cell r="N320" t="str">
            <v>15/04/2015</v>
          </cell>
        </row>
        <row r="321">
          <cell r="A321">
            <v>322</v>
          </cell>
          <cell r="B321" t="str">
            <v>ITA Industria de Tuberías Aeronáuticas México, S.A. de C.V.</v>
          </cell>
          <cell r="C321" t="str">
            <v>ITA111109JL6</v>
          </cell>
          <cell r="D321" t="str">
            <v>Acceso IV</v>
          </cell>
          <cell r="E321" t="str">
            <v>B</v>
          </cell>
          <cell r="F321">
            <v>6</v>
          </cell>
          <cell r="G321" t="str">
            <v>Zona Industrial Benito Juárez</v>
          </cell>
          <cell r="H321">
            <v>76120</v>
          </cell>
          <cell r="I321" t="str">
            <v>Querétaro</v>
          </cell>
          <cell r="J321" t="str">
            <v>Querétaro</v>
          </cell>
          <cell r="K321" t="str">
            <v>México</v>
          </cell>
          <cell r="L321" t="str">
            <v>(442) 2963900</v>
          </cell>
          <cell r="M321">
            <v>30</v>
          </cell>
        </row>
        <row r="322">
          <cell r="A322">
            <v>323</v>
          </cell>
          <cell r="B322" t="str">
            <v>Rocío Balderas Saavedra</v>
          </cell>
          <cell r="C322" t="str">
            <v>BASR7707066M2</v>
          </cell>
          <cell r="D322" t="str">
            <v>Av. de la Luz</v>
          </cell>
          <cell r="F322">
            <v>133</v>
          </cell>
          <cell r="G322" t="str">
            <v>Satelite</v>
          </cell>
          <cell r="H322">
            <v>76110</v>
          </cell>
          <cell r="I322" t="str">
            <v>Querétaro</v>
          </cell>
          <cell r="J322" t="str">
            <v>Querétaro</v>
          </cell>
          <cell r="K322" t="str">
            <v>México</v>
          </cell>
          <cell r="L322" t="str">
            <v>.</v>
          </cell>
          <cell r="M322">
            <v>0</v>
          </cell>
        </row>
        <row r="323">
          <cell r="A323">
            <v>324</v>
          </cell>
          <cell r="B323" t="str">
            <v>Mondragon Assembly, S.A. de C.V.</v>
          </cell>
          <cell r="C323" t="str">
            <v>GMA021001IS1</v>
          </cell>
          <cell r="D323" t="str">
            <v>Cto. El Marqués Norte</v>
          </cell>
          <cell r="E323" t="str">
            <v>Nave B</v>
          </cell>
          <cell r="F323">
            <v>2</v>
          </cell>
          <cell r="G323" t="str">
            <v>Parque Industrial El Marqués</v>
          </cell>
          <cell r="H323">
            <v>76246</v>
          </cell>
          <cell r="I323" t="str">
            <v>El Marqués</v>
          </cell>
          <cell r="J323" t="str">
            <v>Querétaro, CP 76246</v>
          </cell>
          <cell r="K323" t="str">
            <v>México</v>
          </cell>
          <cell r="L323" t="str">
            <v>(442) 1924200</v>
          </cell>
          <cell r="M323">
            <v>30</v>
          </cell>
        </row>
        <row r="324">
          <cell r="A324">
            <v>325</v>
          </cell>
          <cell r="B324" t="str">
            <v>Cristal Plas Soluciones, S.A. de C.V.</v>
          </cell>
          <cell r="C324" t="str">
            <v>CPS090917MX2</v>
          </cell>
          <cell r="D324" t="str">
            <v>Av. de las Misiones</v>
          </cell>
          <cell r="E324" t="str">
            <v>19</v>
          </cell>
          <cell r="F324">
            <v>1</v>
          </cell>
          <cell r="G324" t="str">
            <v>Parque Industrial Bernardo Quintana</v>
          </cell>
          <cell r="H324">
            <v>76246</v>
          </cell>
          <cell r="I324" t="str">
            <v>Querétaro</v>
          </cell>
          <cell r="J324" t="str">
            <v>Querétaro</v>
          </cell>
          <cell r="K324" t="str">
            <v>México</v>
          </cell>
          <cell r="M324">
            <v>0</v>
          </cell>
          <cell r="N324" t="str">
            <v>12/03/2015</v>
          </cell>
        </row>
        <row r="325">
          <cell r="A325">
            <v>326</v>
          </cell>
          <cell r="B325" t="str">
            <v xml:space="preserve">
RDCM, S. de R.L. de C.V.
</v>
          </cell>
          <cell r="C325" t="str">
            <v>RDC070320K75</v>
          </cell>
          <cell r="D325" t="str">
            <v>Av. Río San Lorenzo</v>
          </cell>
          <cell r="F325">
            <v>2152</v>
          </cell>
          <cell r="G325" t="str">
            <v>Parque Tecnoindustrial Castro del Río</v>
          </cell>
          <cell r="H325">
            <v>36810</v>
          </cell>
          <cell r="I325" t="str">
            <v>Irapuato</v>
          </cell>
          <cell r="J325" t="str">
            <v xml:space="preserve">Guanajuato, </v>
          </cell>
          <cell r="K325" t="str">
            <v>México</v>
          </cell>
          <cell r="L325" t="str">
            <v>(462) 166000</v>
          </cell>
          <cell r="M325">
            <v>8</v>
          </cell>
          <cell r="N325" t="str">
            <v>18/12/2013</v>
          </cell>
        </row>
        <row r="326">
          <cell r="A326">
            <v>327</v>
          </cell>
          <cell r="B326" t="str">
            <v>Manuel Juárez Arvizu</v>
          </cell>
          <cell r="C326" t="str">
            <v>JUAM6112114F8</v>
          </cell>
          <cell r="D326" t="str">
            <v>Rodolfo Piña Soria</v>
          </cell>
          <cell r="F326">
            <v>108</v>
          </cell>
          <cell r="G326" t="str">
            <v>Zona Centro</v>
          </cell>
          <cell r="H326">
            <v>38160</v>
          </cell>
          <cell r="I326" t="str">
            <v>Apaseo el Grande</v>
          </cell>
          <cell r="J326" t="str">
            <v>Guanajuato, CP 36810</v>
          </cell>
          <cell r="K326" t="str">
            <v>México</v>
          </cell>
          <cell r="L326" t="str">
            <v>(413) 1584178</v>
          </cell>
          <cell r="M326">
            <v>0</v>
          </cell>
        </row>
        <row r="327">
          <cell r="A327">
            <v>328</v>
          </cell>
          <cell r="B327" t="str">
            <v>Calidad en Precisión Querétaro, S.A. de C.V.</v>
          </cell>
          <cell r="C327" t="str">
            <v>CPQ030616SM7</v>
          </cell>
          <cell r="D327" t="str">
            <v>Acceso B</v>
          </cell>
          <cell r="E327" t="str">
            <v>-</v>
          </cell>
          <cell r="F327">
            <v>2</v>
          </cell>
          <cell r="G327" t="str">
            <v>Industrial Jurica Esquina Calle Uno</v>
          </cell>
          <cell r="H327">
            <v>76120</v>
          </cell>
          <cell r="I327" t="str">
            <v>Querétaro</v>
          </cell>
          <cell r="J327" t="str">
            <v>Querétaro</v>
          </cell>
          <cell r="K327" t="str">
            <v>México</v>
          </cell>
          <cell r="L327" t="str">
            <v>.</v>
          </cell>
          <cell r="M327">
            <v>0</v>
          </cell>
        </row>
        <row r="328">
          <cell r="A328">
            <v>329</v>
          </cell>
          <cell r="B328" t="str">
            <v>AAM Maquiladora México, S. de R.L. de C.V.</v>
          </cell>
          <cell r="C328" t="str">
            <v>AMM060130M44</v>
          </cell>
          <cell r="D328" t="str">
            <v>Av. Comerciantes</v>
          </cell>
          <cell r="F328">
            <v>1300</v>
          </cell>
          <cell r="G328" t="str">
            <v>Parque Industrial FIPASI</v>
          </cell>
          <cell r="H328">
            <v>36100</v>
          </cell>
          <cell r="I328" t="str">
            <v>Silao</v>
          </cell>
          <cell r="J328" t="str">
            <v xml:space="preserve">Guanajuato, </v>
          </cell>
          <cell r="K328" t="str">
            <v>México</v>
          </cell>
          <cell r="L328" t="str">
            <v>.</v>
          </cell>
          <cell r="M328">
            <v>30</v>
          </cell>
        </row>
        <row r="329">
          <cell r="A329">
            <v>330</v>
          </cell>
          <cell r="B329" t="str">
            <v>Alberto Miramon Medina</v>
          </cell>
          <cell r="C329" t="str">
            <v>MIMA800202IG1</v>
          </cell>
          <cell r="D329" t="str">
            <v>Av. Guadalupe Victoria</v>
          </cell>
          <cell r="F329">
            <v>124</v>
          </cell>
          <cell r="G329" t="str">
            <v>Cuautepec de Madero</v>
          </cell>
          <cell r="H329">
            <v>7200</v>
          </cell>
          <cell r="I329" t="str">
            <v>Deleg. Gustavo a Madero</v>
          </cell>
          <cell r="J329" t="str">
            <v>Distrito Federal, CP 7200</v>
          </cell>
          <cell r="K329" t="str">
            <v>México</v>
          </cell>
          <cell r="L329" t="str">
            <v>.</v>
          </cell>
          <cell r="M329">
            <v>15</v>
          </cell>
        </row>
        <row r="330">
          <cell r="A330">
            <v>331</v>
          </cell>
          <cell r="B330" t="str">
            <v>Hundson Garden Products, S.A. de C.V.</v>
          </cell>
          <cell r="C330" t="str">
            <v>HGP040402IP7</v>
          </cell>
          <cell r="D330" t="str">
            <v>Km. 3.5 ant. Carretera a Tequisquiapan</v>
          </cell>
          <cell r="F330" t="str">
            <v>S/N</v>
          </cell>
          <cell r="G330" t="str">
            <v>Zona Industrial San Juan del Río</v>
          </cell>
          <cell r="H330">
            <v>76802</v>
          </cell>
          <cell r="I330" t="str">
            <v>San Juan del Río</v>
          </cell>
          <cell r="J330" t="str">
            <v>Querétaro, CP 76802</v>
          </cell>
          <cell r="K330" t="str">
            <v>México</v>
          </cell>
          <cell r="L330" t="str">
            <v>(427) 2726000</v>
          </cell>
          <cell r="M330">
            <v>0</v>
          </cell>
        </row>
        <row r="331">
          <cell r="A331">
            <v>332</v>
          </cell>
          <cell r="B331" t="str">
            <v>VICI &amp; C s.r.l.</v>
          </cell>
          <cell r="C331" t="str">
            <v>XEXX010101000</v>
          </cell>
          <cell r="D331" t="str">
            <v>47822 Santarcangelo di R. (RN)</v>
          </cell>
          <cell r="G331" t="str">
            <v>Vía J. Gutenberg, 5</v>
          </cell>
          <cell r="H331" t="str">
            <v>.</v>
          </cell>
          <cell r="K331" t="str">
            <v>Italy</v>
          </cell>
          <cell r="L331" t="str">
            <v>0541/350411</v>
          </cell>
          <cell r="M331">
            <v>0</v>
          </cell>
        </row>
        <row r="332">
          <cell r="A332">
            <v>333</v>
          </cell>
          <cell r="B332" t="str">
            <v>Diecasting Celaya, S.A. de C.V.</v>
          </cell>
          <cell r="C332" t="str">
            <v>DCE030925SPA</v>
          </cell>
          <cell r="D332" t="str">
            <v>Carretera Celaya Salvatierra Km. 9</v>
          </cell>
          <cell r="G332" t="str">
            <v>Las Granjas Santa María</v>
          </cell>
          <cell r="H332">
            <v>38141</v>
          </cell>
          <cell r="I332" t="str">
            <v>Celaya</v>
          </cell>
          <cell r="J332" t="str">
            <v xml:space="preserve">Guanajuato, </v>
          </cell>
          <cell r="K332" t="str">
            <v>México</v>
          </cell>
          <cell r="L332" t="str">
            <v>(461) 1658400</v>
          </cell>
          <cell r="M332">
            <v>15</v>
          </cell>
          <cell r="N332" t="str">
            <v>26/05/2014</v>
          </cell>
        </row>
        <row r="333">
          <cell r="A333">
            <v>334</v>
          </cell>
          <cell r="B333" t="str">
            <v>Burner Systems International de México, S.A. de C.V.</v>
          </cell>
          <cell r="C333" t="str">
            <v>BSI821202EG8</v>
          </cell>
          <cell r="D333" t="str">
            <v>Carretera Federal Querétaro - Celaya Km. 44.2</v>
          </cell>
          <cell r="G333" t="str">
            <v xml:space="preserve">Predio Tierra Blanca  </v>
          </cell>
          <cell r="H333">
            <v>38160</v>
          </cell>
          <cell r="I333" t="str">
            <v>Apaseo el Grande</v>
          </cell>
          <cell r="J333" t="str">
            <v>Guanajuato,</v>
          </cell>
          <cell r="K333" t="str">
            <v>México</v>
          </cell>
          <cell r="L333" t="str">
            <v>(461) 1597300</v>
          </cell>
          <cell r="M333">
            <v>30</v>
          </cell>
          <cell r="N333" t="str">
            <v>20/08/2014</v>
          </cell>
        </row>
        <row r="334">
          <cell r="A334">
            <v>335</v>
          </cell>
          <cell r="B334" t="str">
            <v>FMM Arbeitsproduktion, S.A. de C.V.</v>
          </cell>
          <cell r="C334" t="str">
            <v>FAR0812027C1</v>
          </cell>
          <cell r="D334" t="str">
            <v>Calle Playa Ola Verde</v>
          </cell>
          <cell r="E334" t="str">
            <v>2</v>
          </cell>
          <cell r="F334">
            <v>280</v>
          </cell>
          <cell r="G334" t="str">
            <v>Reforma Iztaccihualt Sur</v>
          </cell>
          <cell r="H334">
            <v>8840</v>
          </cell>
          <cell r="I334" t="str">
            <v>Oriente del D.F.</v>
          </cell>
          <cell r="J334" t="str">
            <v>Distrito Federal,</v>
          </cell>
          <cell r="K334" t="str">
            <v>México</v>
          </cell>
          <cell r="L334" t="str">
            <v>.</v>
          </cell>
          <cell r="M334">
            <v>30</v>
          </cell>
        </row>
        <row r="335">
          <cell r="A335">
            <v>336</v>
          </cell>
          <cell r="B335" t="str">
            <v>Turborreactores, S.A. de C.V.</v>
          </cell>
          <cell r="C335" t="str">
            <v>TUR1201169X0</v>
          </cell>
          <cell r="D335" t="str">
            <v>Acceso IV</v>
          </cell>
          <cell r="F335" t="str">
            <v>6 C</v>
          </cell>
          <cell r="G335" t="str">
            <v>Zona Industrial Benito Juárez</v>
          </cell>
          <cell r="H335">
            <v>76120</v>
          </cell>
          <cell r="I335" t="str">
            <v>Querétaro</v>
          </cell>
          <cell r="J335" t="str">
            <v>Querétaro</v>
          </cell>
          <cell r="K335" t="str">
            <v>México</v>
          </cell>
          <cell r="M335">
            <v>30</v>
          </cell>
          <cell r="N335" t="str">
            <v>13/02/2015</v>
          </cell>
          <cell r="O335" t="str">
            <v>ITR</v>
          </cell>
        </row>
        <row r="336">
          <cell r="A336">
            <v>337</v>
          </cell>
          <cell r="B336" t="str">
            <v>Industria Plástica de Querétaro, S.A. de C.V.</v>
          </cell>
          <cell r="C336" t="str">
            <v>IPQ101214BFA</v>
          </cell>
          <cell r="D336" t="str">
            <v>Calle Pirineos</v>
          </cell>
          <cell r="E336" t="str">
            <v>1 y 2</v>
          </cell>
          <cell r="F336">
            <v>535</v>
          </cell>
          <cell r="G336" t="str">
            <v>Parque Industrial Benito Juárez</v>
          </cell>
          <cell r="H336">
            <v>76120</v>
          </cell>
          <cell r="I336" t="str">
            <v>Querétaro</v>
          </cell>
          <cell r="J336" t="str">
            <v>Querétaro</v>
          </cell>
          <cell r="K336" t="str">
            <v>México</v>
          </cell>
          <cell r="M336">
            <v>0</v>
          </cell>
          <cell r="N336" t="str">
            <v>30/04/2015</v>
          </cell>
        </row>
        <row r="337">
          <cell r="A337">
            <v>338</v>
          </cell>
          <cell r="B337" t="str">
            <v>Rexy, S.A. de C.V.</v>
          </cell>
          <cell r="C337" t="str">
            <v>REX920309UD3</v>
          </cell>
          <cell r="D337" t="str">
            <v>Calle 3</v>
          </cell>
          <cell r="F337">
            <v>16</v>
          </cell>
          <cell r="G337" t="str">
            <v>Fracc. Industrial Benito Juárez</v>
          </cell>
          <cell r="H337">
            <v>76120</v>
          </cell>
          <cell r="I337" t="str">
            <v>Querétaro</v>
          </cell>
          <cell r="J337" t="str">
            <v>Querétaro</v>
          </cell>
          <cell r="K337" t="str">
            <v>México</v>
          </cell>
          <cell r="L337" t="str">
            <v>.</v>
          </cell>
          <cell r="M337">
            <v>0</v>
          </cell>
        </row>
        <row r="338">
          <cell r="A338">
            <v>339</v>
          </cell>
          <cell r="B338" t="str">
            <v>Ram Cast, S.A. de C.V.</v>
          </cell>
          <cell r="C338" t="str">
            <v>RCA990122DQ1</v>
          </cell>
          <cell r="D338" t="str">
            <v>Av. Desarrollo</v>
          </cell>
          <cell r="F338">
            <v>250</v>
          </cell>
          <cell r="G338" t="str">
            <v>Zona Industrial</v>
          </cell>
          <cell r="H338">
            <v>78395</v>
          </cell>
          <cell r="I338" t="str">
            <v>San Luis Potosí</v>
          </cell>
          <cell r="J338" t="str">
            <v>San Luis Potosí,</v>
          </cell>
          <cell r="K338" t="str">
            <v>México</v>
          </cell>
          <cell r="L338" t="str">
            <v>(444) 8245426</v>
          </cell>
          <cell r="M338">
            <v>0</v>
          </cell>
        </row>
        <row r="339">
          <cell r="A339">
            <v>340</v>
          </cell>
          <cell r="B339" t="str">
            <v>KD Evolución Empresarial, S.A. de C.V.</v>
          </cell>
          <cell r="C339" t="str">
            <v>KEE050315PM1</v>
          </cell>
          <cell r="D339" t="str">
            <v>Calle Violetas</v>
          </cell>
          <cell r="F339">
            <v>50</v>
          </cell>
          <cell r="G339" t="str">
            <v>Jardines de Querétaro</v>
          </cell>
          <cell r="H339">
            <v>76020</v>
          </cell>
          <cell r="I339" t="str">
            <v>Querétaro</v>
          </cell>
          <cell r="J339" t="str">
            <v>Querétaro</v>
          </cell>
          <cell r="K339" t="str">
            <v>México</v>
          </cell>
          <cell r="L339" t="str">
            <v>.</v>
          </cell>
          <cell r="M339">
            <v>0</v>
          </cell>
        </row>
        <row r="340">
          <cell r="A340">
            <v>341</v>
          </cell>
          <cell r="B340" t="str">
            <v>Universidad Tecnológica de Querétaro</v>
          </cell>
          <cell r="C340" t="str">
            <v>UTQ940610DY0</v>
          </cell>
          <cell r="D340" t="str">
            <v>Av. Pie de la Cuesta</v>
          </cell>
          <cell r="F340">
            <v>2501</v>
          </cell>
          <cell r="G340" t="str">
            <v>Unidad Nacional</v>
          </cell>
          <cell r="H340">
            <v>76148</v>
          </cell>
          <cell r="I340" t="str">
            <v>Querétaro</v>
          </cell>
          <cell r="J340" t="str">
            <v>Querétaro</v>
          </cell>
          <cell r="K340" t="str">
            <v>México</v>
          </cell>
          <cell r="L340" t="str">
            <v>.</v>
          </cell>
          <cell r="M340">
            <v>0</v>
          </cell>
        </row>
        <row r="341">
          <cell r="A341">
            <v>342</v>
          </cell>
          <cell r="B341" t="str">
            <v>3M México, S.A. de C.V.</v>
          </cell>
          <cell r="C341" t="str">
            <v>TMM720509PYA</v>
          </cell>
          <cell r="D341" t="str">
            <v>Av. C.F.E.</v>
          </cell>
          <cell r="F341">
            <v>520</v>
          </cell>
          <cell r="G341" t="str">
            <v>Zona Industrial del Potosí</v>
          </cell>
          <cell r="H341">
            <v>78395</v>
          </cell>
          <cell r="I341" t="str">
            <v>San Luis Potosí</v>
          </cell>
          <cell r="J341" t="str">
            <v>San Luis Potosí,</v>
          </cell>
          <cell r="K341" t="str">
            <v>México</v>
          </cell>
          <cell r="L341" t="str">
            <v>.</v>
          </cell>
          <cell r="M341">
            <v>30</v>
          </cell>
        </row>
        <row r="342">
          <cell r="A342">
            <v>343</v>
          </cell>
          <cell r="B342" t="str">
            <v>Industrial Herseg,  S.A de C.V.</v>
          </cell>
          <cell r="C342" t="str">
            <v>IHE830304LB4</v>
          </cell>
          <cell r="D342" t="str">
            <v>Calz. Las Palmas Ote.</v>
          </cell>
          <cell r="F342">
            <v>1700</v>
          </cell>
          <cell r="G342" t="str">
            <v>Santa María</v>
          </cell>
          <cell r="H342">
            <v>27020</v>
          </cell>
          <cell r="I342" t="str">
            <v>Torreón</v>
          </cell>
          <cell r="J342" t="str">
            <v>Coahuila,</v>
          </cell>
          <cell r="K342" t="str">
            <v>México</v>
          </cell>
          <cell r="L342" t="str">
            <v>.</v>
          </cell>
          <cell r="M342">
            <v>0</v>
          </cell>
          <cell r="N342" t="str">
            <v>15/10/2014</v>
          </cell>
        </row>
        <row r="343">
          <cell r="A343">
            <v>344</v>
          </cell>
          <cell r="B343" t="str">
            <v>Rafael Peña Valdés</v>
          </cell>
          <cell r="C343" t="str">
            <v>PEVR441029UL3</v>
          </cell>
          <cell r="D343" t="str">
            <v>Pedro Figueroa</v>
          </cell>
          <cell r="F343">
            <v>907</v>
          </cell>
          <cell r="G343" t="str">
            <v>Real de Peña</v>
          </cell>
          <cell r="H343">
            <v>25256</v>
          </cell>
          <cell r="I343" t="str">
            <v>Saltillo</v>
          </cell>
          <cell r="J343" t="str">
            <v>Coahuila,</v>
          </cell>
          <cell r="K343" t="str">
            <v>México</v>
          </cell>
          <cell r="L343" t="str">
            <v>.</v>
          </cell>
          <cell r="M343">
            <v>0</v>
          </cell>
        </row>
        <row r="344">
          <cell r="A344">
            <v>345</v>
          </cell>
          <cell r="B344" t="str">
            <v>Falco Latinoamericana, S.A. de C.V.</v>
          </cell>
          <cell r="C344" t="str">
            <v>FLA910926FB7</v>
          </cell>
          <cell r="D344" t="str">
            <v>Llama</v>
          </cell>
          <cell r="F344">
            <v>115</v>
          </cell>
          <cell r="G344" t="str">
            <v>Parque Industrial Tenango</v>
          </cell>
          <cell r="H344">
            <v>52300</v>
          </cell>
          <cell r="I344" t="str">
            <v>Tenango del Valle</v>
          </cell>
          <cell r="J344" t="str">
            <v xml:space="preserve">Estado de México, </v>
          </cell>
          <cell r="K344" t="str">
            <v>México</v>
          </cell>
          <cell r="L344" t="str">
            <v>(717) 1441188</v>
          </cell>
          <cell r="M344">
            <v>0</v>
          </cell>
        </row>
        <row r="345">
          <cell r="A345">
            <v>346</v>
          </cell>
          <cell r="B345" t="str">
            <v>Maquinados Industriales Arcuate</v>
          </cell>
          <cell r="C345" t="str">
            <v>MIA1112307T2</v>
          </cell>
          <cell r="D345" t="str">
            <v>Calle Encino</v>
          </cell>
          <cell r="F345">
            <v>22</v>
          </cell>
          <cell r="G345" t="str">
            <v>El Carmen</v>
          </cell>
          <cell r="H345">
            <v>76240</v>
          </cell>
          <cell r="I345" t="str">
            <v>Querétaro</v>
          </cell>
          <cell r="J345" t="str">
            <v>Querétaro</v>
          </cell>
          <cell r="K345" t="str">
            <v>México</v>
          </cell>
          <cell r="L345" t="str">
            <v>(442) 2215723</v>
          </cell>
          <cell r="M345">
            <v>0</v>
          </cell>
        </row>
        <row r="346">
          <cell r="A346">
            <v>347</v>
          </cell>
          <cell r="B346" t="str">
            <v>Metrica Industrial, S.A. de C.V.</v>
          </cell>
          <cell r="C346" t="str">
            <v>-</v>
          </cell>
          <cell r="D346" t="str">
            <v xml:space="preserve">Av Alfonso Reyes </v>
          </cell>
          <cell r="E346" t="str">
            <v>-</v>
          </cell>
          <cell r="F346">
            <v>2620</v>
          </cell>
          <cell r="G346" t="str">
            <v>Fracc. Bernardo Reyes</v>
          </cell>
          <cell r="H346">
            <v>64280</v>
          </cell>
          <cell r="I346" t="str">
            <v>Monterrey</v>
          </cell>
          <cell r="J346" t="str">
            <v>Nuevo León,</v>
          </cell>
          <cell r="K346" t="str">
            <v>México</v>
          </cell>
          <cell r="L346" t="str">
            <v>.</v>
          </cell>
          <cell r="M346">
            <v>30</v>
          </cell>
          <cell r="N346" t="str">
            <v>27/10/2014</v>
          </cell>
        </row>
        <row r="347">
          <cell r="A347">
            <v>348</v>
          </cell>
          <cell r="B347" t="str">
            <v>José Alejandro Guzmán González</v>
          </cell>
          <cell r="C347" t="str">
            <v>GUGA77022798A</v>
          </cell>
          <cell r="D347" t="str">
            <v>Soldadores</v>
          </cell>
          <cell r="F347">
            <v>9</v>
          </cell>
          <cell r="G347" t="str">
            <v>San Pedrito Peñuelas</v>
          </cell>
          <cell r="H347">
            <v>76148</v>
          </cell>
          <cell r="I347" t="str">
            <v>Querétaro</v>
          </cell>
          <cell r="J347" t="str">
            <v>Querétaro</v>
          </cell>
          <cell r="K347" t="str">
            <v>México</v>
          </cell>
          <cell r="L347" t="str">
            <v>.</v>
          </cell>
          <cell r="M347">
            <v>0</v>
          </cell>
        </row>
        <row r="348">
          <cell r="A348">
            <v>349</v>
          </cell>
          <cell r="B348" t="str">
            <v>RIGURI México, S.A. de C.V.</v>
          </cell>
          <cell r="C348" t="str">
            <v>RME070314T88</v>
          </cell>
          <cell r="D348" t="str">
            <v>Carretera a Coroneo - Planta Baja</v>
          </cell>
          <cell r="F348">
            <v>19</v>
          </cell>
          <cell r="G348" t="str">
            <v>Fraccionamiento Panorama</v>
          </cell>
          <cell r="H348">
            <v>76904</v>
          </cell>
          <cell r="I348" t="str">
            <v>Corregidora</v>
          </cell>
          <cell r="J348" t="str">
            <v>Querétaro,</v>
          </cell>
          <cell r="K348" t="str">
            <v>México</v>
          </cell>
          <cell r="L348" t="str">
            <v>.</v>
          </cell>
          <cell r="M348">
            <v>0</v>
          </cell>
          <cell r="N348" t="str">
            <v>12/12/2013</v>
          </cell>
        </row>
        <row r="349">
          <cell r="A349">
            <v>350</v>
          </cell>
          <cell r="B349" t="str">
            <v>Comercializadora FEOC, S.A. de C.V.</v>
          </cell>
          <cell r="C349" t="str">
            <v>CFE071113PT1</v>
          </cell>
          <cell r="D349" t="str">
            <v>Calle Francisco I. Madero</v>
          </cell>
          <cell r="F349">
            <v>21</v>
          </cell>
          <cell r="G349" t="str">
            <v>San Juan Ixhuatepec</v>
          </cell>
          <cell r="H349">
            <v>54180</v>
          </cell>
          <cell r="I349" t="str">
            <v>Tlalnepantla de Baz</v>
          </cell>
          <cell r="J349" t="str">
            <v xml:space="preserve">Estado de México, </v>
          </cell>
          <cell r="K349" t="str">
            <v>México</v>
          </cell>
          <cell r="L349" t="str">
            <v>.</v>
          </cell>
          <cell r="M349">
            <v>0</v>
          </cell>
        </row>
        <row r="350">
          <cell r="A350">
            <v>351</v>
          </cell>
          <cell r="B350" t="str">
            <v>Industrias Mexicanas de Bombas, S. de R.L. de C.V.</v>
          </cell>
          <cell r="C350" t="str">
            <v>IMB041006DV6</v>
          </cell>
          <cell r="D350" t="str">
            <v>Emiliano Zapata</v>
          </cell>
          <cell r="F350">
            <v>41</v>
          </cell>
          <cell r="G350" t="str">
            <v>San Juan Ixhuatepec</v>
          </cell>
          <cell r="H350">
            <v>54180</v>
          </cell>
          <cell r="I350" t="str">
            <v>Tlalnepantla de Baz</v>
          </cell>
          <cell r="J350" t="str">
            <v xml:space="preserve">Estado de México, </v>
          </cell>
          <cell r="K350" t="str">
            <v>México</v>
          </cell>
          <cell r="L350" t="str">
            <v>(55) 57159891</v>
          </cell>
          <cell r="M350">
            <v>0</v>
          </cell>
        </row>
        <row r="351">
          <cell r="A351">
            <v>352</v>
          </cell>
          <cell r="B351" t="str">
            <v>Rogelio Gerardo Espinosa Carranza</v>
          </cell>
          <cell r="C351" t="str">
            <v>EICR660427BF8</v>
          </cell>
          <cell r="D351" t="str">
            <v>Santa Teresa</v>
          </cell>
          <cell r="F351">
            <v>1528</v>
          </cell>
          <cell r="G351" t="str">
            <v>La Purísima San Roman y San Alejandro</v>
          </cell>
          <cell r="H351">
            <v>67129</v>
          </cell>
          <cell r="I351" t="str">
            <v>Guadalupe</v>
          </cell>
          <cell r="J351" t="str">
            <v>Nuevo León,</v>
          </cell>
          <cell r="K351" t="str">
            <v>México</v>
          </cell>
          <cell r="L351" t="str">
            <v>.</v>
          </cell>
          <cell r="M351">
            <v>0</v>
          </cell>
        </row>
        <row r="352">
          <cell r="A352">
            <v>353</v>
          </cell>
          <cell r="B352" t="str">
            <v>Ferrándiz, S.A. de C.V.</v>
          </cell>
          <cell r="C352" t="str">
            <v>FER730514B93</v>
          </cell>
          <cell r="D352" t="str">
            <v>Calle David R. Scott</v>
          </cell>
          <cell r="F352">
            <v>203</v>
          </cell>
          <cell r="G352" t="str">
            <v>Pedregal de las Aguilas</v>
          </cell>
          <cell r="H352">
            <v>14640</v>
          </cell>
          <cell r="I352" t="str">
            <v>Del Tlalpan</v>
          </cell>
          <cell r="J352" t="str">
            <v>Distrito Federal,</v>
          </cell>
          <cell r="K352" t="str">
            <v>México</v>
          </cell>
          <cell r="M352">
            <v>0</v>
          </cell>
          <cell r="N352" t="str">
            <v>26/02/2015</v>
          </cell>
        </row>
        <row r="353">
          <cell r="A353">
            <v>354</v>
          </cell>
          <cell r="B353" t="str">
            <v>ITW Poly Mex, S. de R.L. de C.V.</v>
          </cell>
          <cell r="C353" t="str">
            <v>IPM6203226B4</v>
          </cell>
          <cell r="D353" t="str">
            <v>Av. del Marqués</v>
          </cell>
          <cell r="F353">
            <v>40</v>
          </cell>
          <cell r="G353" t="str">
            <v>Parque Industrial Bernardo Quintana 3era Sección</v>
          </cell>
          <cell r="H353">
            <v>76246</v>
          </cell>
          <cell r="I353" t="str">
            <v>El Marqués</v>
          </cell>
          <cell r="J353" t="str">
            <v>Querétaro,</v>
          </cell>
          <cell r="K353" t="str">
            <v>México</v>
          </cell>
          <cell r="L353" t="str">
            <v>.</v>
          </cell>
          <cell r="M353">
            <v>0</v>
          </cell>
        </row>
        <row r="354">
          <cell r="A354">
            <v>355</v>
          </cell>
          <cell r="B354" t="str">
            <v>Bernardo Rodríguez Saro Ortiz</v>
          </cell>
          <cell r="C354" t="str">
            <v>-</v>
          </cell>
          <cell r="D354" t="str">
            <v xml:space="preserve">Francita </v>
          </cell>
          <cell r="E354" t="str">
            <v>-</v>
          </cell>
          <cell r="F354">
            <v>911</v>
          </cell>
          <cell r="G354" t="str">
            <v>Bellavista</v>
          </cell>
          <cell r="H354">
            <v>36730</v>
          </cell>
          <cell r="I354" t="str">
            <v>Salamanca</v>
          </cell>
          <cell r="J354" t="str">
            <v>Guanajuato,</v>
          </cell>
          <cell r="K354" t="str">
            <v>México</v>
          </cell>
          <cell r="L354" t="str">
            <v>.</v>
          </cell>
          <cell r="M354">
            <v>0</v>
          </cell>
        </row>
        <row r="355">
          <cell r="A355">
            <v>356</v>
          </cell>
          <cell r="B355" t="str">
            <v>QSSC, S.A. de C.V.</v>
          </cell>
          <cell r="C355" t="str">
            <v>QSS100914ML0</v>
          </cell>
          <cell r="D355" t="str">
            <v>Av. Industria de la Construcción</v>
          </cell>
          <cell r="F355">
            <v>632</v>
          </cell>
          <cell r="G355" t="str">
            <v>Parque Industrial Querétaro</v>
          </cell>
          <cell r="H355">
            <v>76220</v>
          </cell>
          <cell r="I355" t="str">
            <v>Querétaro</v>
          </cell>
          <cell r="J355" t="str">
            <v>Querétaro</v>
          </cell>
          <cell r="K355" t="str">
            <v>México</v>
          </cell>
          <cell r="L355" t="str">
            <v>(442) 1014900</v>
          </cell>
          <cell r="M355">
            <v>0</v>
          </cell>
          <cell r="N355" t="str">
            <v>05/05/2015</v>
          </cell>
        </row>
        <row r="356">
          <cell r="A356">
            <v>357</v>
          </cell>
          <cell r="B356" t="str">
            <v>Martinrea Honsel México, S.A. de C.V.</v>
          </cell>
          <cell r="C356" t="str">
            <v>TME001025LP0</v>
          </cell>
          <cell r="D356" t="str">
            <v>Av. La  Montaña Km. 28.5</v>
          </cell>
          <cell r="F356">
            <v>121</v>
          </cell>
          <cell r="G356" t="str">
            <v>Parque Industrial Querétaro</v>
          </cell>
          <cell r="H356">
            <v>76220</v>
          </cell>
          <cell r="I356" t="str">
            <v>Santa Rosa Jáuregui</v>
          </cell>
          <cell r="J356" t="str">
            <v>Querétaro,</v>
          </cell>
          <cell r="K356" t="str">
            <v>México</v>
          </cell>
          <cell r="L356" t="str">
            <v>(442) 2294600</v>
          </cell>
          <cell r="M356">
            <v>30</v>
          </cell>
          <cell r="N356" t="str">
            <v>22/04/2015</v>
          </cell>
        </row>
        <row r="357">
          <cell r="A357">
            <v>358</v>
          </cell>
          <cell r="B357" t="str">
            <v>Transmetal Maquinados y Servicios, S. de R.L. de C.V.</v>
          </cell>
          <cell r="C357" t="str">
            <v>TMS0308136EA</v>
          </cell>
          <cell r="D357" t="str">
            <v>Av. Peñuelas</v>
          </cell>
          <cell r="F357">
            <v>15</v>
          </cell>
          <cell r="G357" t="str">
            <v>Zona Industrial San Pedrito Peñuelas</v>
          </cell>
          <cell r="H357">
            <v>76148</v>
          </cell>
          <cell r="I357" t="str">
            <v>Querétaro</v>
          </cell>
          <cell r="J357" t="str">
            <v>Querétaro</v>
          </cell>
          <cell r="K357" t="str">
            <v>México</v>
          </cell>
          <cell r="L357" t="str">
            <v>(442) 2206827</v>
          </cell>
          <cell r="M357">
            <v>0</v>
          </cell>
        </row>
        <row r="358">
          <cell r="A358">
            <v>359</v>
          </cell>
          <cell r="B358" t="str">
            <v>Ventramex, S. de R.L. de C.V.</v>
          </cell>
          <cell r="C358" t="str">
            <v>VEN940203EU6</v>
          </cell>
          <cell r="D358" t="str">
            <v>Av. Manantiales</v>
          </cell>
          <cell r="F358">
            <v>3</v>
          </cell>
          <cell r="G358" t="str">
            <v>Parque Industrial Bernardo Quintana</v>
          </cell>
          <cell r="H358">
            <v>76246</v>
          </cell>
          <cell r="I358" t="str">
            <v>El Marqués</v>
          </cell>
          <cell r="J358" t="str">
            <v>Querétaro,</v>
          </cell>
          <cell r="K358" t="str">
            <v>México</v>
          </cell>
          <cell r="L358" t="str">
            <v>(442) 1960709</v>
          </cell>
          <cell r="M358">
            <v>30</v>
          </cell>
          <cell r="N358" t="str">
            <v>07/04/2015</v>
          </cell>
        </row>
        <row r="359">
          <cell r="A359">
            <v>360</v>
          </cell>
          <cell r="B359" t="str">
            <v>Termomotor, S.A. de C.V.</v>
          </cell>
          <cell r="C359" t="str">
            <v>PEDRO MARTÍNEZ</v>
          </cell>
          <cell r="D359" t="str">
            <v>Pedro Martínez Rivas</v>
          </cell>
          <cell r="F359">
            <v>763</v>
          </cell>
          <cell r="G359" t="str">
            <v>Parq. Ind. Belenes Nte.</v>
          </cell>
          <cell r="H359">
            <v>45145</v>
          </cell>
          <cell r="I359" t="str">
            <v>Zapopan</v>
          </cell>
          <cell r="J359" t="str">
            <v>Jalisco,</v>
          </cell>
          <cell r="K359" t="str">
            <v>México</v>
          </cell>
          <cell r="L359" t="str">
            <v>.</v>
          </cell>
          <cell r="M359">
            <v>0</v>
          </cell>
        </row>
        <row r="360">
          <cell r="A360">
            <v>361</v>
          </cell>
          <cell r="B360" t="str">
            <v>Minox, S. de R.L. de C.V.</v>
          </cell>
          <cell r="C360" t="str">
            <v>MIN040603I37</v>
          </cell>
          <cell r="D360" t="str">
            <v>Edison Calle 3</v>
          </cell>
          <cell r="F360">
            <v>70</v>
          </cell>
          <cell r="G360" t="str">
            <v>Zona Industrial Valle de Oro</v>
          </cell>
          <cell r="H360">
            <v>76802</v>
          </cell>
          <cell r="I360" t="str">
            <v>San Juan del Río</v>
          </cell>
          <cell r="J360" t="str">
            <v>Querétaro,</v>
          </cell>
          <cell r="K360" t="str">
            <v>México</v>
          </cell>
          <cell r="L360" t="str">
            <v>.</v>
          </cell>
          <cell r="M360">
            <v>0</v>
          </cell>
        </row>
        <row r="361">
          <cell r="A361">
            <v>362</v>
          </cell>
          <cell r="B361" t="str">
            <v>Diamond J Injection , S. de R.L. de C.V.</v>
          </cell>
          <cell r="C361" t="str">
            <v>DJI101008RZ2</v>
          </cell>
          <cell r="D361" t="str">
            <v>Calle 2</v>
          </cell>
          <cell r="E361" t="str">
            <v>D</v>
          </cell>
          <cell r="F361">
            <v>106</v>
          </cell>
          <cell r="G361" t="str">
            <v>Parque Ind. Jurica</v>
          </cell>
          <cell r="H361">
            <v>76100</v>
          </cell>
          <cell r="I361" t="str">
            <v>Querétaro</v>
          </cell>
          <cell r="J361" t="str">
            <v>Querétaro</v>
          </cell>
          <cell r="K361" t="str">
            <v>México</v>
          </cell>
          <cell r="L361" t="str">
            <v>(442) 2187394</v>
          </cell>
          <cell r="M361">
            <v>0</v>
          </cell>
          <cell r="N361" t="str">
            <v>06/02/2015</v>
          </cell>
        </row>
        <row r="362">
          <cell r="A362">
            <v>363</v>
          </cell>
          <cell r="B362" t="str">
            <v>Feg de Querétaro, S.A. de C.V.</v>
          </cell>
          <cell r="C362" t="str">
            <v>-</v>
          </cell>
          <cell r="D362" t="str">
            <v>Cerrada La Noria</v>
          </cell>
          <cell r="F362">
            <v>106</v>
          </cell>
          <cell r="G362" t="str">
            <v>Parque Industrial Querétaro</v>
          </cell>
          <cell r="H362">
            <v>76220</v>
          </cell>
          <cell r="I362" t="str">
            <v>Santa Rosa Jáuregui</v>
          </cell>
          <cell r="J362" t="str">
            <v>Querétaro</v>
          </cell>
          <cell r="K362" t="str">
            <v>México</v>
          </cell>
          <cell r="M362">
            <v>0</v>
          </cell>
          <cell r="N362" t="str">
            <v>01/04/2015</v>
          </cell>
        </row>
        <row r="363">
          <cell r="A363">
            <v>364</v>
          </cell>
          <cell r="B363" t="str">
            <v>Supervisión y Administración de Proyectos de Construcción, S.A. de C.V.</v>
          </cell>
          <cell r="C363" t="str">
            <v>SAP020206Q89</v>
          </cell>
          <cell r="D363" t="str">
            <v>Av. Lázaro Cárdenas</v>
          </cell>
          <cell r="E363" t="str">
            <v>P3</v>
          </cell>
          <cell r="F363">
            <v>2321</v>
          </cell>
          <cell r="G363" t="str">
            <v>San Agustín</v>
          </cell>
          <cell r="H363">
            <v>66260</v>
          </cell>
          <cell r="I363" t="str">
            <v>San Pedro Garza García</v>
          </cell>
          <cell r="J363" t="str">
            <v>Nuevo León,</v>
          </cell>
          <cell r="K363" t="str">
            <v>México</v>
          </cell>
          <cell r="L363" t="str">
            <v>.</v>
          </cell>
          <cell r="M363">
            <v>0</v>
          </cell>
          <cell r="N363" t="str">
            <v>30/10/2014</v>
          </cell>
        </row>
        <row r="364">
          <cell r="A364">
            <v>365</v>
          </cell>
          <cell r="B364" t="str">
            <v>Maquinados de Precisión de México, S. de R.L. de C.V.</v>
          </cell>
          <cell r="C364" t="str">
            <v>MPM101110L1A</v>
          </cell>
          <cell r="D364" t="str">
            <v>Avenida El Laurel</v>
          </cell>
          <cell r="F364">
            <v>209</v>
          </cell>
          <cell r="G364" t="str">
            <v>Fraccionamiento Industrial El Vergel</v>
          </cell>
          <cell r="H364">
            <v>38110</v>
          </cell>
          <cell r="I364" t="str">
            <v>Celaya</v>
          </cell>
          <cell r="J364" t="str">
            <v>Guanajuato,</v>
          </cell>
          <cell r="K364" t="str">
            <v>México</v>
          </cell>
          <cell r="L364" t="str">
            <v>(461) 1613193</v>
          </cell>
          <cell r="M364">
            <v>0</v>
          </cell>
        </row>
        <row r="365">
          <cell r="A365">
            <v>366</v>
          </cell>
          <cell r="B365" t="str">
            <v>Takaokaya México, S.A. de C.V.</v>
          </cell>
          <cell r="C365" t="str">
            <v>TME1011099K5</v>
          </cell>
          <cell r="D365" t="str">
            <v>Av. de las Misiones</v>
          </cell>
          <cell r="F365">
            <v>31</v>
          </cell>
          <cell r="G365" t="str">
            <v>Parque Industrial Bernardo Quintana</v>
          </cell>
          <cell r="H365">
            <v>76246</v>
          </cell>
          <cell r="I365" t="str">
            <v>El Marqués</v>
          </cell>
          <cell r="J365" t="str">
            <v>Querétaro,</v>
          </cell>
          <cell r="K365" t="str">
            <v>México</v>
          </cell>
          <cell r="L365" t="str">
            <v>(442) 2215599</v>
          </cell>
          <cell r="M365">
            <v>0</v>
          </cell>
        </row>
        <row r="366">
          <cell r="A366">
            <v>367</v>
          </cell>
          <cell r="B366" t="str">
            <v>ContiTech Fluid Mexicana, S.A. de C.V.</v>
          </cell>
          <cell r="C366" t="str">
            <v>CFM970519EC3</v>
          </cell>
          <cell r="D366" t="str">
            <v>Industria Electrica Mexicana</v>
          </cell>
          <cell r="F366">
            <v>3</v>
          </cell>
          <cell r="G366" t="str">
            <v>San Pedro Barrientos</v>
          </cell>
          <cell r="H366">
            <v>54010</v>
          </cell>
          <cell r="I366" t="str">
            <v>Tlalnepantla de Baz</v>
          </cell>
          <cell r="J366" t="str">
            <v xml:space="preserve">Estado de México, </v>
          </cell>
          <cell r="K366" t="str">
            <v>México</v>
          </cell>
          <cell r="L366" t="str">
            <v>(55) 55653496</v>
          </cell>
          <cell r="M366">
            <v>30</v>
          </cell>
        </row>
        <row r="367">
          <cell r="A367">
            <v>368</v>
          </cell>
          <cell r="B367" t="str">
            <v>Dinámica Herramental, S. de R.L. de C.V.</v>
          </cell>
          <cell r="C367" t="str">
            <v>DHE0707067C2</v>
          </cell>
          <cell r="D367" t="str">
            <v>Barrio de San Miguelito</v>
          </cell>
          <cell r="E367" t="str">
            <v>A</v>
          </cell>
          <cell r="F367">
            <v>160</v>
          </cell>
          <cell r="G367" t="str">
            <v>San Pedro</v>
          </cell>
          <cell r="H367">
            <v>78178</v>
          </cell>
          <cell r="I367" t="str">
            <v>San Luis Potosí</v>
          </cell>
          <cell r="J367" t="str">
            <v xml:space="preserve">San Luis Potosí, </v>
          </cell>
          <cell r="K367" t="str">
            <v>México</v>
          </cell>
          <cell r="L367" t="str">
            <v>(444) 8252352</v>
          </cell>
          <cell r="M367">
            <v>0</v>
          </cell>
        </row>
        <row r="368">
          <cell r="A368">
            <v>369</v>
          </cell>
          <cell r="B368" t="str">
            <v>Ricardo Gerardo Madrigal Padilla</v>
          </cell>
          <cell r="C368" t="str">
            <v>MAPR600915UI9</v>
          </cell>
          <cell r="D368" t="str">
            <v>Privada la Rioja</v>
          </cell>
          <cell r="E368" t="str">
            <v>3</v>
          </cell>
          <cell r="F368">
            <v>204</v>
          </cell>
          <cell r="G368" t="str">
            <v>Fracc. Arroyo el Molino</v>
          </cell>
          <cell r="H368">
            <v>20123</v>
          </cell>
          <cell r="I368" t="str">
            <v>Aguascalientes</v>
          </cell>
          <cell r="J368" t="str">
            <v xml:space="preserve">Aguascalientes, </v>
          </cell>
          <cell r="K368" t="str">
            <v>México</v>
          </cell>
          <cell r="L368" t="str">
            <v>.</v>
          </cell>
          <cell r="M368">
            <v>0</v>
          </cell>
        </row>
        <row r="369">
          <cell r="A369">
            <v>370</v>
          </cell>
          <cell r="B369" t="str">
            <v>Troqueles Industriales Querétaro, S.A. de C.V.</v>
          </cell>
          <cell r="C369" t="str">
            <v>TIQ9911037N8</v>
          </cell>
          <cell r="D369" t="str">
            <v>Francisco Carbajal</v>
          </cell>
          <cell r="E369" t="str">
            <v>A</v>
          </cell>
          <cell r="F369">
            <v>84</v>
          </cell>
          <cell r="G369" t="str">
            <v>Sta. Bárbara</v>
          </cell>
          <cell r="H369">
            <v>76905</v>
          </cell>
          <cell r="I369" t="str">
            <v>Corregidora</v>
          </cell>
          <cell r="J369" t="str">
            <v xml:space="preserve">Querétaro, </v>
          </cell>
          <cell r="K369" t="str">
            <v>México</v>
          </cell>
          <cell r="L369" t="str">
            <v>(442) 2252186</v>
          </cell>
          <cell r="M369">
            <v>0</v>
          </cell>
          <cell r="N369" t="str">
            <v>23/07/2014</v>
          </cell>
        </row>
        <row r="370">
          <cell r="A370">
            <v>371</v>
          </cell>
          <cell r="B370" t="str">
            <v>Albea Packaging de México, S.A. de C.V.</v>
          </cell>
          <cell r="C370" t="str">
            <v>BME061127UF4</v>
          </cell>
          <cell r="D370" t="str">
            <v>Jurica</v>
          </cell>
          <cell r="F370">
            <v>107</v>
          </cell>
          <cell r="G370" t="str">
            <v>Parque Industrial Querétaro</v>
          </cell>
          <cell r="H370">
            <v>76220</v>
          </cell>
          <cell r="I370" t="str">
            <v>Querétaro</v>
          </cell>
          <cell r="J370" t="str">
            <v>Querétaro</v>
          </cell>
          <cell r="K370" t="str">
            <v>México</v>
          </cell>
          <cell r="M370">
            <v>30</v>
          </cell>
          <cell r="N370" t="str">
            <v>11/03/2015</v>
          </cell>
        </row>
        <row r="371">
          <cell r="A371">
            <v>372</v>
          </cell>
          <cell r="B371" t="str">
            <v>Kromberg &amp; Schubert México S. en C.</v>
          </cell>
          <cell r="D371" t="str">
            <v>Río Danubio Esq. Río Mississippi</v>
          </cell>
          <cell r="F371" t="str">
            <v>S/N</v>
          </cell>
          <cell r="G371" t="str">
            <v>Parque Tecnoindustrial Castro del Río</v>
          </cell>
          <cell r="H371">
            <v>36810</v>
          </cell>
          <cell r="I371" t="str">
            <v>Irapuato</v>
          </cell>
          <cell r="J371" t="str">
            <v xml:space="preserve">Guanajuato, </v>
          </cell>
          <cell r="K371" t="str">
            <v>México</v>
          </cell>
          <cell r="M371">
            <v>30</v>
          </cell>
          <cell r="N371" t="str">
            <v>26/02/2015</v>
          </cell>
          <cell r="O371" t="str">
            <v>Alberto Gaitan</v>
          </cell>
        </row>
        <row r="372">
          <cell r="A372">
            <v>373</v>
          </cell>
          <cell r="B372" t="str">
            <v>Meylab, S.A. de C.V.</v>
          </cell>
          <cell r="C372" t="str">
            <v>MEY960921I4A</v>
          </cell>
          <cell r="D372" t="str">
            <v>Calzada de los Arcos</v>
          </cell>
          <cell r="F372">
            <v>46</v>
          </cell>
          <cell r="G372" t="str">
            <v>Carretas</v>
          </cell>
          <cell r="H372">
            <v>76050</v>
          </cell>
          <cell r="I372" t="str">
            <v>Querétaro</v>
          </cell>
          <cell r="J372" t="str">
            <v>Querétaro</v>
          </cell>
          <cell r="K372" t="str">
            <v>México</v>
          </cell>
          <cell r="L372" t="str">
            <v>(442) 2136611</v>
          </cell>
          <cell r="M372">
            <v>0</v>
          </cell>
          <cell r="N372" t="str">
            <v>22/08/2014</v>
          </cell>
        </row>
        <row r="373">
          <cell r="A373">
            <v>374</v>
          </cell>
          <cell r="B373" t="str">
            <v>Innovia Security, S.A. de C.V.</v>
          </cell>
          <cell r="C373" t="str">
            <v>SME070430U25</v>
          </cell>
          <cell r="D373" t="str">
            <v>Av. Industria de la Transformación</v>
          </cell>
          <cell r="F373">
            <v>622</v>
          </cell>
          <cell r="G373" t="str">
            <v>Santa Rosa Jauregui</v>
          </cell>
          <cell r="H373">
            <v>76220</v>
          </cell>
          <cell r="I373" t="str">
            <v>Santa Rosa Jáuregui</v>
          </cell>
          <cell r="J373" t="str">
            <v xml:space="preserve">Querétaro, </v>
          </cell>
          <cell r="K373" t="str">
            <v>México</v>
          </cell>
          <cell r="L373" t="str">
            <v>.</v>
          </cell>
          <cell r="M373">
            <v>0</v>
          </cell>
          <cell r="N373" t="str">
            <v>20/08/2014</v>
          </cell>
        </row>
        <row r="374">
          <cell r="A374">
            <v>375</v>
          </cell>
          <cell r="B374" t="str">
            <v>Acitromex, S.A. de C.V.</v>
          </cell>
          <cell r="C374" t="str">
            <v>ACI0909092T3</v>
          </cell>
          <cell r="D374" t="str">
            <v>Comercio</v>
          </cell>
          <cell r="F374">
            <v>17</v>
          </cell>
          <cell r="G374" t="str">
            <v>Industrial</v>
          </cell>
          <cell r="H374">
            <v>76130</v>
          </cell>
          <cell r="I374" t="str">
            <v>Querétaro</v>
          </cell>
          <cell r="J374" t="str">
            <v>Querétaro</v>
          </cell>
          <cell r="K374" t="str">
            <v>México</v>
          </cell>
          <cell r="L374" t="str">
            <v>.</v>
          </cell>
          <cell r="M374">
            <v>0</v>
          </cell>
        </row>
        <row r="375">
          <cell r="A375">
            <v>376</v>
          </cell>
          <cell r="B375" t="str">
            <v>Harness Engineering Services de México, S. de R.L. de C.V.</v>
          </cell>
          <cell r="C375" t="str">
            <v>HES110405NI3</v>
          </cell>
          <cell r="D375" t="str">
            <v>Carretera Acámbaro a Tarandacuao Km. 7.7</v>
          </cell>
          <cell r="F375" t="str">
            <v>S/N</v>
          </cell>
          <cell r="G375" t="str">
            <v>San Miguel del Puerto</v>
          </cell>
          <cell r="H375">
            <v>38762</v>
          </cell>
          <cell r="I375" t="str">
            <v>Acámbaro</v>
          </cell>
          <cell r="J375" t="str">
            <v xml:space="preserve">Guanajuato, </v>
          </cell>
          <cell r="K375" t="str">
            <v>México</v>
          </cell>
          <cell r="L375" t="str">
            <v>.</v>
          </cell>
          <cell r="M375">
            <v>0</v>
          </cell>
          <cell r="N375" t="str">
            <v>18/11/2014</v>
          </cell>
        </row>
        <row r="376">
          <cell r="A376">
            <v>377</v>
          </cell>
          <cell r="B376" t="str">
            <v>Metrosmart, S.A. de C.V.</v>
          </cell>
          <cell r="D376" t="str">
            <v>Av. Peñuelas</v>
          </cell>
          <cell r="E376" t="str">
            <v>Bodega 29</v>
          </cell>
          <cell r="F376">
            <v>5</v>
          </cell>
          <cell r="G376" t="str">
            <v>Peñuelas</v>
          </cell>
          <cell r="H376">
            <v>76148</v>
          </cell>
          <cell r="I376" t="str">
            <v>Querétaro</v>
          </cell>
          <cell r="J376" t="str">
            <v>Querétaro</v>
          </cell>
          <cell r="K376" t="str">
            <v>México</v>
          </cell>
          <cell r="M376">
            <v>30</v>
          </cell>
          <cell r="N376" t="str">
            <v>20/04/2015</v>
          </cell>
        </row>
        <row r="377">
          <cell r="A377">
            <v>378</v>
          </cell>
          <cell r="B377" t="str">
            <v>KM Distribución de Maquinarias, S. A. de C.V.</v>
          </cell>
          <cell r="C377" t="str">
            <v>KDM 080822 260</v>
          </cell>
          <cell r="D377" t="str">
            <v>Carretera San Martin de las Flores</v>
          </cell>
          <cell r="E377" t="str">
            <v>Edificio 3C</v>
          </cell>
          <cell r="F377">
            <v>520</v>
          </cell>
          <cell r="G377" t="str">
            <v>San Martin de las Flores</v>
          </cell>
          <cell r="H377">
            <v>45620</v>
          </cell>
          <cell r="I377" t="str">
            <v>Tlaquepaque</v>
          </cell>
          <cell r="J377" t="str">
            <v xml:space="preserve">Jalisco, </v>
          </cell>
          <cell r="K377" t="str">
            <v>México</v>
          </cell>
          <cell r="L377" t="str">
            <v>(33) 31453341</v>
          </cell>
          <cell r="M377">
            <v>0</v>
          </cell>
          <cell r="N377" t="str">
            <v>27/01/2014</v>
          </cell>
        </row>
        <row r="378">
          <cell r="A378">
            <v>379</v>
          </cell>
          <cell r="B378" t="str">
            <v>Grupo de Ingeniería Capricornio, S.A. de C.V.</v>
          </cell>
          <cell r="C378" t="str">
            <v>GIC981013V41</v>
          </cell>
          <cell r="D378" t="str">
            <v>Carretera Lateral Guanajuato - Silao</v>
          </cell>
          <cell r="E378" t="str">
            <v>Lotes 5 y 6</v>
          </cell>
          <cell r="F378">
            <v>2000</v>
          </cell>
          <cell r="G378" t="str">
            <v>Aguas Buenas</v>
          </cell>
          <cell r="H378">
            <v>36270</v>
          </cell>
          <cell r="I378" t="str">
            <v>Silao</v>
          </cell>
          <cell r="J378" t="str">
            <v xml:space="preserve">Guanajuato, </v>
          </cell>
          <cell r="K378" t="str">
            <v>México</v>
          </cell>
          <cell r="L378" t="str">
            <v>(472) 1189134</v>
          </cell>
          <cell r="M378">
            <v>0</v>
          </cell>
          <cell r="N378" t="str">
            <v>11/02/2015</v>
          </cell>
        </row>
        <row r="379">
          <cell r="A379">
            <v>380</v>
          </cell>
          <cell r="B379" t="str">
            <v>INDEX Corporation</v>
          </cell>
          <cell r="C379" t="str">
            <v>XEXX010101000</v>
          </cell>
          <cell r="D379" t="str">
            <v>14700 North Pointe Boulevard</v>
          </cell>
          <cell r="G379" t="str">
            <v>Noblesville</v>
          </cell>
          <cell r="H379">
            <v>46060</v>
          </cell>
          <cell r="J379" t="str">
            <v xml:space="preserve">Indiana, </v>
          </cell>
          <cell r="K379" t="str">
            <v>USA</v>
          </cell>
          <cell r="L379" t="str">
            <v>(317) 7706300</v>
          </cell>
          <cell r="M379">
            <v>0</v>
          </cell>
        </row>
        <row r="380">
          <cell r="A380">
            <v>381</v>
          </cell>
          <cell r="B380" t="str">
            <v>Manufacturas Digitales,  S.A. de C.V.</v>
          </cell>
          <cell r="C380" t="str">
            <v>MDI930513V8A</v>
          </cell>
          <cell r="D380" t="str">
            <v>Av. Santa Fé</v>
          </cell>
          <cell r="F380">
            <v>190</v>
          </cell>
          <cell r="G380" t="str">
            <v>Santa Fé</v>
          </cell>
          <cell r="H380">
            <v>1210</v>
          </cell>
          <cell r="J380" t="str">
            <v xml:space="preserve">Distrito Federal, </v>
          </cell>
          <cell r="K380" t="str">
            <v>México</v>
          </cell>
          <cell r="L380" t="str">
            <v>(55) 52700400</v>
          </cell>
          <cell r="M380">
            <v>30</v>
          </cell>
        </row>
        <row r="381">
          <cell r="A381">
            <v>382</v>
          </cell>
          <cell r="B381" t="str">
            <v>Lucio Martinez Francisco</v>
          </cell>
          <cell r="C381" t="str">
            <v>LUMF620511GW5</v>
          </cell>
          <cell r="D381" t="str">
            <v>Lago de Guadalupe</v>
          </cell>
          <cell r="F381">
            <v>128</v>
          </cell>
          <cell r="G381" t="str">
            <v>Lagos</v>
          </cell>
          <cell r="H381">
            <v>38060</v>
          </cell>
          <cell r="I381" t="str">
            <v>Celaya</v>
          </cell>
          <cell r="J381" t="str">
            <v xml:space="preserve">Guanajuato, </v>
          </cell>
          <cell r="K381" t="str">
            <v>México</v>
          </cell>
          <cell r="L381" t="str">
            <v>(461) 6151824</v>
          </cell>
          <cell r="M381">
            <v>0</v>
          </cell>
        </row>
        <row r="382">
          <cell r="A382">
            <v>383</v>
          </cell>
          <cell r="B382" t="str">
            <v>Maquiladora Oplex, S.A. de C.V.</v>
          </cell>
          <cell r="C382" t="str">
            <v>MOP0612089Q3</v>
          </cell>
          <cell r="D382" t="str">
            <v>Av. del Cristo</v>
          </cell>
          <cell r="F382">
            <v>18</v>
          </cell>
          <cell r="G382" t="str">
            <v>Xocoyahualco</v>
          </cell>
          <cell r="H382">
            <v>54080</v>
          </cell>
          <cell r="I382" t="str">
            <v>Tlalnepantla de Baz</v>
          </cell>
          <cell r="J382" t="str">
            <v xml:space="preserve">Estado de México, </v>
          </cell>
          <cell r="K382" t="str">
            <v>México</v>
          </cell>
          <cell r="L382" t="str">
            <v>(55) 55720888</v>
          </cell>
          <cell r="M382">
            <v>0</v>
          </cell>
        </row>
        <row r="383">
          <cell r="A383">
            <v>384</v>
          </cell>
          <cell r="B383" t="str">
            <v>Técnica Electromecánica Central, S.A. de C.V.</v>
          </cell>
          <cell r="C383" t="str">
            <v>TEC7705148Z5</v>
          </cell>
          <cell r="D383" t="str">
            <v>Av. Técnicos</v>
          </cell>
          <cell r="F383">
            <v>250</v>
          </cell>
          <cell r="G383" t="str">
            <v>El Sabino</v>
          </cell>
          <cell r="H383">
            <v>76148</v>
          </cell>
          <cell r="I383" t="str">
            <v>Querétaro</v>
          </cell>
          <cell r="J383" t="str">
            <v>Querétaro</v>
          </cell>
          <cell r="K383" t="str">
            <v>México</v>
          </cell>
          <cell r="L383" t="str">
            <v>(442) 2480035</v>
          </cell>
          <cell r="M383">
            <v>0</v>
          </cell>
          <cell r="N383" t="str">
            <v>08/04/2015</v>
          </cell>
        </row>
        <row r="384">
          <cell r="A384">
            <v>385</v>
          </cell>
          <cell r="B384" t="str">
            <v>Refrigeración Starr, S.A. de C.V.</v>
          </cell>
          <cell r="C384" t="str">
            <v>RST510116188</v>
          </cell>
          <cell r="D384" t="str">
            <v>Eje 3 Oriente</v>
          </cell>
          <cell r="F384">
            <v>231</v>
          </cell>
          <cell r="G384" t="str">
            <v>Granjas San Antonio</v>
          </cell>
          <cell r="H384">
            <v>9070</v>
          </cell>
          <cell r="I384" t="str">
            <v>Iztapalapa</v>
          </cell>
          <cell r="J384" t="str">
            <v xml:space="preserve">Distrito Federal, </v>
          </cell>
          <cell r="K384" t="str">
            <v>México</v>
          </cell>
          <cell r="L384" t="str">
            <v>.</v>
          </cell>
          <cell r="M384">
            <v>0</v>
          </cell>
          <cell r="N384" t="str">
            <v>05/02/2014</v>
          </cell>
        </row>
        <row r="385">
          <cell r="A385">
            <v>386</v>
          </cell>
          <cell r="B385" t="str">
            <v>Donaldson S.A. de C.V.</v>
          </cell>
          <cell r="D385" t="str">
            <v>Angel Dorronso Gandara</v>
          </cell>
          <cell r="F385">
            <v>106</v>
          </cell>
          <cell r="G385" t="str">
            <v>Ciudad Industrial</v>
          </cell>
          <cell r="H385">
            <v>20290</v>
          </cell>
          <cell r="I385" t="str">
            <v>Aguascalientes</v>
          </cell>
          <cell r="J385" t="str">
            <v xml:space="preserve">Aguascalientes, </v>
          </cell>
          <cell r="K385" t="str">
            <v>México</v>
          </cell>
          <cell r="L385" t="str">
            <v>.</v>
          </cell>
          <cell r="M385">
            <v>30</v>
          </cell>
        </row>
        <row r="386">
          <cell r="A386">
            <v>387</v>
          </cell>
          <cell r="B386" t="str">
            <v>Johnson Electric Group Mexico, S. de R.L. de C.V.</v>
          </cell>
          <cell r="C386" t="str">
            <v>JEG120120DD4</v>
          </cell>
          <cell r="D386" t="str">
            <v>Boulevard Morelos</v>
          </cell>
          <cell r="E386" t="str">
            <v>C</v>
          </cell>
          <cell r="F386">
            <v>1109</v>
          </cell>
          <cell r="G386" t="str">
            <v>Parque Industrial Sumar I</v>
          </cell>
          <cell r="H386">
            <v>98519</v>
          </cell>
          <cell r="I386" t="str">
            <v>Calera</v>
          </cell>
          <cell r="J386" t="str">
            <v xml:space="preserve">Zacatecas, </v>
          </cell>
          <cell r="K386" t="str">
            <v>México</v>
          </cell>
          <cell r="L386" t="str">
            <v>.</v>
          </cell>
          <cell r="M386">
            <v>0</v>
          </cell>
        </row>
        <row r="387">
          <cell r="A387">
            <v>388</v>
          </cell>
          <cell r="B387" t="str">
            <v>Ahresty Mexicana, S.A. de C.V.</v>
          </cell>
          <cell r="C387" t="str">
            <v>AME060606CV8</v>
          </cell>
          <cell r="D387" t="str">
            <v>Industria Automotriz</v>
          </cell>
          <cell r="F387">
            <v>20</v>
          </cell>
          <cell r="G387" t="str">
            <v>Complejo de Naves Industriales La Zacatecana</v>
          </cell>
          <cell r="H387">
            <v>98604</v>
          </cell>
          <cell r="I387" t="str">
            <v>Guadalupe</v>
          </cell>
          <cell r="J387" t="str">
            <v xml:space="preserve">Zacatecas, </v>
          </cell>
          <cell r="K387" t="str">
            <v>México</v>
          </cell>
          <cell r="L387" t="str">
            <v>(492) 4914010</v>
          </cell>
          <cell r="M387">
            <v>15</v>
          </cell>
          <cell r="N387" t="str">
            <v>21/04/2014</v>
          </cell>
        </row>
        <row r="388">
          <cell r="A388">
            <v>389</v>
          </cell>
          <cell r="B388" t="str">
            <v>Dayton Progress (México), S. de R.L. de C.V</v>
          </cell>
          <cell r="D388" t="str">
            <v>Calle Acceso II Edificio 9</v>
          </cell>
          <cell r="F388">
            <v>5</v>
          </cell>
          <cell r="G388" t="str">
            <v>Parque Industrial Benito Juárez</v>
          </cell>
          <cell r="H388">
            <v>76120</v>
          </cell>
          <cell r="I388" t="str">
            <v>Querétaro</v>
          </cell>
          <cell r="J388" t="str">
            <v>Querétaro</v>
          </cell>
          <cell r="K388" t="str">
            <v>México</v>
          </cell>
          <cell r="L388" t="str">
            <v>.</v>
          </cell>
          <cell r="M388">
            <v>0</v>
          </cell>
        </row>
        <row r="389">
          <cell r="A389">
            <v>390</v>
          </cell>
          <cell r="B389" t="str">
            <v>Narmx Querétaro, S.A. de C.V.</v>
          </cell>
          <cell r="C389" t="str">
            <v>NAO091027AS9</v>
          </cell>
          <cell r="D389" t="str">
            <v>Carretera Querétaro, San Luis Potosí Km. 28.5, Lote 25 - 2 Manzana 1</v>
          </cell>
          <cell r="G389" t="str">
            <v>Parque Industrial Querétaro</v>
          </cell>
          <cell r="H389">
            <v>76220</v>
          </cell>
          <cell r="I389" t="str">
            <v>Querétaro</v>
          </cell>
          <cell r="J389" t="str">
            <v>Querétaro</v>
          </cell>
          <cell r="K389" t="str">
            <v>México</v>
          </cell>
          <cell r="M389">
            <v>30</v>
          </cell>
          <cell r="N389" t="str">
            <v>10/04/2015</v>
          </cell>
        </row>
        <row r="390">
          <cell r="A390">
            <v>391</v>
          </cell>
          <cell r="B390" t="str">
            <v>Maquinados ABS, S.C. de R.L de C.V.</v>
          </cell>
          <cell r="C390" t="str">
            <v>MAB100601475</v>
          </cell>
          <cell r="D390" t="str">
            <v>Calle Mitla</v>
          </cell>
          <cell r="F390">
            <v>104</v>
          </cell>
          <cell r="G390" t="str">
            <v>Villas del Sur</v>
          </cell>
          <cell r="H390">
            <v>38160</v>
          </cell>
          <cell r="I390" t="str">
            <v>Apaseo El Grande</v>
          </cell>
          <cell r="J390" t="str">
            <v xml:space="preserve">Guanajuato, </v>
          </cell>
          <cell r="K390" t="str">
            <v>México</v>
          </cell>
          <cell r="L390" t="str">
            <v>.</v>
          </cell>
          <cell r="M390">
            <v>0</v>
          </cell>
          <cell r="N390" t="str">
            <v>01/04/2014</v>
          </cell>
        </row>
        <row r="391">
          <cell r="A391">
            <v>392</v>
          </cell>
          <cell r="B391" t="str">
            <v>Mary Carmen Arellano Diaz</v>
          </cell>
          <cell r="C391" t="str">
            <v>AEDM800413</v>
          </cell>
          <cell r="D391" t="str">
            <v>Prolongación Irlanda</v>
          </cell>
          <cell r="F391">
            <v>901</v>
          </cell>
          <cell r="G391" t="str">
            <v>Privada Luxemburgo</v>
          </cell>
          <cell r="H391">
            <v>25240</v>
          </cell>
          <cell r="I391" t="str">
            <v>Saltillo</v>
          </cell>
          <cell r="J391" t="str">
            <v xml:space="preserve">Coahuila, </v>
          </cell>
          <cell r="K391" t="str">
            <v>México</v>
          </cell>
          <cell r="L391" t="str">
            <v>.</v>
          </cell>
          <cell r="M391">
            <v>0</v>
          </cell>
        </row>
        <row r="392">
          <cell r="A392">
            <v>393</v>
          </cell>
          <cell r="B392" t="str">
            <v>Durr de México, S.A de C.V.</v>
          </cell>
          <cell r="C392" t="str">
            <v>DME710301TD4</v>
          </cell>
          <cell r="D392" t="str">
            <v>Av. La Noria</v>
          </cell>
          <cell r="F392">
            <v>168</v>
          </cell>
          <cell r="G392" t="str">
            <v>Parque Industrial Querétaro</v>
          </cell>
          <cell r="H392">
            <v>76220</v>
          </cell>
          <cell r="I392" t="str">
            <v>Querétaro</v>
          </cell>
          <cell r="J392" t="str">
            <v>Querétaro</v>
          </cell>
          <cell r="K392" t="str">
            <v>México</v>
          </cell>
          <cell r="L392" t="str">
            <v>.</v>
          </cell>
          <cell r="M392">
            <v>30</v>
          </cell>
          <cell r="N392" t="str">
            <v>27/06/2014</v>
          </cell>
        </row>
        <row r="393">
          <cell r="A393">
            <v>394</v>
          </cell>
          <cell r="B393" t="str">
            <v>Inprotecna, S.A. de C.V.</v>
          </cell>
          <cell r="C393" t="str">
            <v>INP011114QW9</v>
          </cell>
          <cell r="D393" t="str">
            <v>Cuautitlán</v>
          </cell>
          <cell r="F393">
            <v>103</v>
          </cell>
          <cell r="G393" t="str">
            <v>Cumbria</v>
          </cell>
          <cell r="H393">
            <v>54740</v>
          </cell>
          <cell r="I393" t="str">
            <v>Cuautitlán Izcalli</v>
          </cell>
          <cell r="J393" t="str">
            <v xml:space="preserve">Estado de México, </v>
          </cell>
          <cell r="K393" t="str">
            <v>México</v>
          </cell>
          <cell r="L393" t="str">
            <v>.</v>
          </cell>
          <cell r="M393">
            <v>0</v>
          </cell>
        </row>
        <row r="394">
          <cell r="A394">
            <v>395</v>
          </cell>
          <cell r="B394" t="str">
            <v>The L.S. Starrett Company of México, S. de R.L. de C.V.</v>
          </cell>
          <cell r="C394" t="str">
            <v>LSM011018H86</v>
          </cell>
          <cell r="D394" t="str">
            <v>Prolongación Irlanda</v>
          </cell>
          <cell r="F394">
            <v>901</v>
          </cell>
          <cell r="G394" t="str">
            <v>Priv. Luxemburgo</v>
          </cell>
          <cell r="H394">
            <v>25240</v>
          </cell>
          <cell r="I394" t="str">
            <v>Saltillo</v>
          </cell>
          <cell r="J394" t="str">
            <v xml:space="preserve">Coahuila, </v>
          </cell>
          <cell r="K394" t="str">
            <v>México</v>
          </cell>
          <cell r="L394" t="str">
            <v>.</v>
          </cell>
          <cell r="M394">
            <v>0</v>
          </cell>
          <cell r="N394" t="str">
            <v>24/10/2014</v>
          </cell>
        </row>
        <row r="395">
          <cell r="A395">
            <v>396</v>
          </cell>
          <cell r="B395" t="str">
            <v>Nugar, S.A. de C.V.</v>
          </cell>
          <cell r="C395" t="str">
            <v>BLA000714CR1</v>
          </cell>
          <cell r="D395" t="str">
            <v>Av. 4</v>
          </cell>
          <cell r="F395">
            <v>12</v>
          </cell>
          <cell r="G395" t="str">
            <v>Parque Industrial Tultitlán</v>
          </cell>
          <cell r="H395">
            <v>54900</v>
          </cell>
          <cell r="I395" t="str">
            <v>Tultitlán</v>
          </cell>
          <cell r="J395" t="str">
            <v xml:space="preserve">Estado de México, </v>
          </cell>
          <cell r="K395" t="str">
            <v>México</v>
          </cell>
          <cell r="L395" t="str">
            <v>.</v>
          </cell>
          <cell r="M395">
            <v>30</v>
          </cell>
          <cell r="N395" t="str">
            <v>19/11/2014</v>
          </cell>
        </row>
        <row r="396">
          <cell r="A396">
            <v>397</v>
          </cell>
          <cell r="B396" t="str">
            <v>Nihon Magnesio, S.A. de C.V.</v>
          </cell>
          <cell r="C396" t="str">
            <v>NMA070307IA1</v>
          </cell>
          <cell r="D396" t="str">
            <v>Rafael Sesma Huerta</v>
          </cell>
          <cell r="F396">
            <v>7</v>
          </cell>
          <cell r="G396" t="str">
            <v>Parque Industrial Finsa</v>
          </cell>
          <cell r="H396">
            <v>76246</v>
          </cell>
          <cell r="I396" t="str">
            <v>El Marqués</v>
          </cell>
          <cell r="J396" t="str">
            <v xml:space="preserve">Querétaro, </v>
          </cell>
          <cell r="K396" t="str">
            <v>México</v>
          </cell>
          <cell r="L396" t="str">
            <v>(442) 2963100</v>
          </cell>
          <cell r="M396">
            <v>0</v>
          </cell>
        </row>
        <row r="397">
          <cell r="A397">
            <v>398</v>
          </cell>
          <cell r="B397" t="str">
            <v>Afilados Industriales de Querétaro, S.A. de C.V.</v>
          </cell>
          <cell r="C397" t="str">
            <v>AIQ010813F60</v>
          </cell>
          <cell r="D397" t="str">
            <v>Juan Escutia</v>
          </cell>
          <cell r="E397" t="str">
            <v>C</v>
          </cell>
          <cell r="F397">
            <v>48</v>
          </cell>
          <cell r="G397" t="str">
            <v>Niños Heroes</v>
          </cell>
          <cell r="H397">
            <v>76010</v>
          </cell>
          <cell r="I397" t="str">
            <v>Querétaro</v>
          </cell>
          <cell r="J397" t="str">
            <v>Querétaro</v>
          </cell>
          <cell r="K397" t="str">
            <v>México</v>
          </cell>
          <cell r="L397" t="str">
            <v>(442) 2161404</v>
          </cell>
          <cell r="M397">
            <v>0</v>
          </cell>
        </row>
        <row r="398">
          <cell r="A398">
            <v>399</v>
          </cell>
          <cell r="B398" t="str">
            <v>María del Socorro Carmona Sainz</v>
          </cell>
          <cell r="C398" t="str">
            <v>CASS4310287B8</v>
          </cell>
          <cell r="D398" t="str">
            <v>Mariano Azuela</v>
          </cell>
          <cell r="F398">
            <v>62</v>
          </cell>
          <cell r="G398" t="str">
            <v>Santa María La Ribera</v>
          </cell>
          <cell r="H398">
            <v>6400</v>
          </cell>
          <cell r="J398" t="str">
            <v>Distrito Federal,</v>
          </cell>
          <cell r="K398" t="str">
            <v>México</v>
          </cell>
          <cell r="L398" t="str">
            <v>(55) 55472785</v>
          </cell>
          <cell r="M398">
            <v>0</v>
          </cell>
        </row>
        <row r="399">
          <cell r="A399">
            <v>400</v>
          </cell>
          <cell r="B399" t="str">
            <v>Maquinados Ingeniería y Construcción, S.A. de C.V.</v>
          </cell>
          <cell r="C399" t="str">
            <v>MIC000701HE0</v>
          </cell>
          <cell r="D399" t="str">
            <v>Calle Sonora</v>
          </cell>
          <cell r="E399" t="str">
            <v>C</v>
          </cell>
          <cell r="F399">
            <v>55</v>
          </cell>
          <cell r="G399" t="str">
            <v>Ampliación Banthi</v>
          </cell>
          <cell r="H399">
            <v>76835</v>
          </cell>
          <cell r="I399" t="str">
            <v>San Juan del Río</v>
          </cell>
          <cell r="J399" t="str">
            <v xml:space="preserve">Querétaro, </v>
          </cell>
          <cell r="K399" t="str">
            <v>México</v>
          </cell>
          <cell r="L399" t="str">
            <v>(427) 2640481</v>
          </cell>
          <cell r="M399">
            <v>30</v>
          </cell>
          <cell r="N399" t="str">
            <v>28/01/2015</v>
          </cell>
        </row>
        <row r="400">
          <cell r="A400">
            <v>401</v>
          </cell>
          <cell r="B400" t="str">
            <v>Maquinados Pasva, S.A. de C.V.</v>
          </cell>
          <cell r="C400" t="str">
            <v>MPA990202714</v>
          </cell>
          <cell r="D400" t="str">
            <v>1a. Priv. Quintana Roo</v>
          </cell>
          <cell r="E400" t="str">
            <v xml:space="preserve"> Lote 13 Mz. 6</v>
          </cell>
          <cell r="G400" t="str">
            <v>San Isidro Miranda</v>
          </cell>
          <cell r="H400">
            <v>76209</v>
          </cell>
          <cell r="I400" t="str">
            <v>Querétaro</v>
          </cell>
          <cell r="J400" t="str">
            <v>Querétaro</v>
          </cell>
          <cell r="K400" t="str">
            <v>México</v>
          </cell>
          <cell r="L400" t="str">
            <v>(442) 2774497</v>
          </cell>
          <cell r="M400">
            <v>0</v>
          </cell>
        </row>
        <row r="401">
          <cell r="A401">
            <v>402</v>
          </cell>
          <cell r="B401" t="str">
            <v>Vibracoustic de México, S.A. de C.V.</v>
          </cell>
          <cell r="D401" t="str">
            <v xml:space="preserve">Boulevard Aeropuerto Miguel Alemán Valdés </v>
          </cell>
          <cell r="E401" t="str">
            <v>5 y 6</v>
          </cell>
          <cell r="F401">
            <v>164</v>
          </cell>
          <cell r="G401" t="str">
            <v>Zona Industrial Lerma</v>
          </cell>
          <cell r="H401">
            <v>52000</v>
          </cell>
          <cell r="I401" t="str">
            <v>Lerma</v>
          </cell>
          <cell r="J401" t="str">
            <v xml:space="preserve">Estado de México, </v>
          </cell>
          <cell r="K401" t="str">
            <v>México</v>
          </cell>
          <cell r="M401">
            <v>30</v>
          </cell>
          <cell r="N401" t="str">
            <v>20/04/2015</v>
          </cell>
        </row>
        <row r="402">
          <cell r="A402">
            <v>403</v>
          </cell>
          <cell r="B402" t="str">
            <v>Marquardt México, S. de R.L. de C.V.</v>
          </cell>
          <cell r="C402" t="str">
            <v>MME1104075Y6</v>
          </cell>
          <cell r="D402" t="str">
            <v>Calle Río Turia</v>
          </cell>
          <cell r="F402">
            <v>505</v>
          </cell>
          <cell r="G402" t="str">
            <v>Parque Tecnoindustrial Castro del Río</v>
          </cell>
          <cell r="H402">
            <v>36814</v>
          </cell>
          <cell r="I402" t="str">
            <v>Irapuato</v>
          </cell>
          <cell r="J402" t="str">
            <v xml:space="preserve">Guanajuato, </v>
          </cell>
          <cell r="K402" t="str">
            <v>México</v>
          </cell>
          <cell r="L402" t="str">
            <v>.</v>
          </cell>
          <cell r="M402">
            <v>30</v>
          </cell>
        </row>
        <row r="403">
          <cell r="A403">
            <v>404</v>
          </cell>
          <cell r="B403" t="str">
            <v>Gill Querétaro, S. de R.L. de C.V.</v>
          </cell>
          <cell r="C403" t="str">
            <v>GQU120308TG8</v>
          </cell>
          <cell r="D403" t="str">
            <v>Calle 8</v>
          </cell>
          <cell r="E403" t="str">
            <v>A</v>
          </cell>
          <cell r="F403">
            <v>2</v>
          </cell>
          <cell r="G403" t="str">
            <v>Fracc. Alce Blanco</v>
          </cell>
          <cell r="H403">
            <v>53370</v>
          </cell>
          <cell r="I403" t="str">
            <v>Naucalpan de Juárez</v>
          </cell>
          <cell r="J403" t="str">
            <v xml:space="preserve">Estado de México, </v>
          </cell>
          <cell r="K403" t="str">
            <v>México</v>
          </cell>
          <cell r="M403">
            <v>30</v>
          </cell>
          <cell r="N403" t="str">
            <v>03/02/2015</v>
          </cell>
        </row>
        <row r="404">
          <cell r="A404">
            <v>405</v>
          </cell>
          <cell r="B404" t="str">
            <v>Ma. del Rocío Cuevas Landa</v>
          </cell>
          <cell r="C404" t="str">
            <v>CULR6909182Q4</v>
          </cell>
          <cell r="D404" t="str">
            <v>Ignacio Allende</v>
          </cell>
          <cell r="E404" t="str">
            <v>Lote 1 Mz. 14</v>
          </cell>
          <cell r="G404" t="str">
            <v>Buenavista Corregidora y Morelos</v>
          </cell>
          <cell r="H404">
            <v>76225</v>
          </cell>
          <cell r="I404" t="str">
            <v>Querétaro</v>
          </cell>
          <cell r="J404" t="str">
            <v>Querétaro</v>
          </cell>
          <cell r="K404" t="str">
            <v>México</v>
          </cell>
          <cell r="L404" t="str">
            <v>.</v>
          </cell>
          <cell r="M404">
            <v>0</v>
          </cell>
        </row>
        <row r="405">
          <cell r="A405">
            <v>406</v>
          </cell>
          <cell r="B405" t="str">
            <v>Amats Electric Automation, S.A. de C.V.</v>
          </cell>
          <cell r="C405" t="str">
            <v>AEA090227L21</v>
          </cell>
          <cell r="D405" t="str">
            <v>Rinconada de la Casa Grande</v>
          </cell>
          <cell r="F405">
            <v>1</v>
          </cell>
          <cell r="G405" t="str">
            <v>San José</v>
          </cell>
          <cell r="H405">
            <v>50210</v>
          </cell>
          <cell r="I405" t="str">
            <v>Toluca</v>
          </cell>
          <cell r="J405" t="str">
            <v xml:space="preserve">Estado de México, </v>
          </cell>
          <cell r="K405" t="str">
            <v>México</v>
          </cell>
          <cell r="L405" t="str">
            <v>.</v>
          </cell>
          <cell r="M405">
            <v>0</v>
          </cell>
        </row>
        <row r="406">
          <cell r="A406">
            <v>407</v>
          </cell>
          <cell r="B406" t="str">
            <v>Grupo USA Motors, S.A. de C.V.</v>
          </cell>
          <cell r="C406" t="str">
            <v>GUM0501052I0</v>
          </cell>
          <cell r="D406" t="str">
            <v>Av. Cerro Gordo</v>
          </cell>
          <cell r="F406">
            <v>332</v>
          </cell>
          <cell r="G406" t="str">
            <v>Campestre</v>
          </cell>
          <cell r="H406">
            <v>37120</v>
          </cell>
          <cell r="I406" t="str">
            <v>León</v>
          </cell>
          <cell r="J406" t="str">
            <v xml:space="preserve">Guanajuato, </v>
          </cell>
          <cell r="K406" t="str">
            <v>México</v>
          </cell>
          <cell r="L406" t="str">
            <v>(442) 2161654</v>
          </cell>
          <cell r="M406">
            <v>0</v>
          </cell>
          <cell r="N406" t="str">
            <v>14/05/2014</v>
          </cell>
        </row>
        <row r="407">
          <cell r="A407">
            <v>408</v>
          </cell>
          <cell r="B407" t="str">
            <v>Tecnum Service, S.A. de C.V.</v>
          </cell>
          <cell r="C407" t="str">
            <v>TSE970305174</v>
          </cell>
          <cell r="D407" t="str">
            <v>Calle 2</v>
          </cell>
          <cell r="E407" t="str">
            <v>B</v>
          </cell>
          <cell r="F407">
            <v>106</v>
          </cell>
          <cell r="G407" t="str">
            <v>Zona Industrial Jurica</v>
          </cell>
          <cell r="H407">
            <v>76120</v>
          </cell>
          <cell r="I407" t="str">
            <v>Querétaro</v>
          </cell>
          <cell r="J407" t="str">
            <v>Querétaro</v>
          </cell>
          <cell r="K407" t="str">
            <v>México</v>
          </cell>
          <cell r="L407" t="str">
            <v>.</v>
          </cell>
          <cell r="M407">
            <v>15</v>
          </cell>
          <cell r="N407" t="str">
            <v>17/09/2014</v>
          </cell>
        </row>
        <row r="408">
          <cell r="A408">
            <v>409</v>
          </cell>
          <cell r="B408" t="str">
            <v>Valeo Sylvania Iluminación, S. de R.L. de C.V.</v>
          </cell>
          <cell r="C408" t="str">
            <v>VSI 971119 LU3</v>
          </cell>
          <cell r="D408" t="str">
            <v>Av. de la Montaña</v>
          </cell>
          <cell r="F408">
            <v>102</v>
          </cell>
          <cell r="G408" t="str">
            <v>Parque Ind. Querétaro</v>
          </cell>
          <cell r="H408">
            <v>76220</v>
          </cell>
          <cell r="I408" t="str">
            <v>Santa Rosa Jáuregui</v>
          </cell>
          <cell r="J408" t="str">
            <v xml:space="preserve">Querétaro, </v>
          </cell>
          <cell r="K408" t="str">
            <v>México</v>
          </cell>
          <cell r="L408" t="str">
            <v>(442) 2116630</v>
          </cell>
          <cell r="M408">
            <v>30</v>
          </cell>
          <cell r="N408" t="str">
            <v>04/02/2014</v>
          </cell>
        </row>
        <row r="409">
          <cell r="A409">
            <v>410</v>
          </cell>
          <cell r="B409" t="str">
            <v>Diagraph ITW México, S. de R.L. de C.V.</v>
          </cell>
          <cell r="C409" t="str">
            <v>DIM990408NW9</v>
          </cell>
          <cell r="D409" t="str">
            <v>Av. Estados Unidos</v>
          </cell>
          <cell r="F409">
            <v>108</v>
          </cell>
          <cell r="G409" t="str">
            <v>Parque Industrial San Francisco</v>
          </cell>
          <cell r="H409">
            <v>20300</v>
          </cell>
          <cell r="I409" t="str">
            <v>San Francisco de los Romo</v>
          </cell>
          <cell r="J409" t="str">
            <v xml:space="preserve">Aguascalientes, </v>
          </cell>
          <cell r="K409" t="str">
            <v>México</v>
          </cell>
          <cell r="L409" t="str">
            <v>.</v>
          </cell>
          <cell r="M409">
            <v>15</v>
          </cell>
          <cell r="N409" t="str">
            <v>13/06/2014</v>
          </cell>
        </row>
        <row r="410">
          <cell r="A410">
            <v>411</v>
          </cell>
          <cell r="B410" t="str">
            <v>Integración de Procesos y Sistemas, S.A. de C.V.</v>
          </cell>
          <cell r="C410" t="str">
            <v>IPS080418SN9</v>
          </cell>
          <cell r="D410" t="str">
            <v>Av. Pedro Rosales de León</v>
          </cell>
          <cell r="E410" t="str">
            <v>304</v>
          </cell>
          <cell r="F410">
            <v>7946</v>
          </cell>
          <cell r="G410" t="str">
            <v>Las Misiones</v>
          </cell>
          <cell r="H410">
            <v>32600</v>
          </cell>
          <cell r="I410" t="str">
            <v>Ciudad Juárez</v>
          </cell>
          <cell r="J410" t="str">
            <v xml:space="preserve">Chihuahua, </v>
          </cell>
          <cell r="K410" t="str">
            <v>México</v>
          </cell>
          <cell r="L410" t="str">
            <v>.</v>
          </cell>
          <cell r="M410">
            <v>0</v>
          </cell>
          <cell r="N410" t="str">
            <v>24/03/2014</v>
          </cell>
        </row>
        <row r="411">
          <cell r="A411">
            <v>412</v>
          </cell>
          <cell r="B411" t="str">
            <v>Sanoh Industrial de Mexico, S.A. de C.V.</v>
          </cell>
          <cell r="C411" t="str">
            <v>SIM900831LS2</v>
          </cell>
          <cell r="D411" t="str">
            <v>Cto. Aguascalientes Oriente P.I.V.A.</v>
          </cell>
          <cell r="F411">
            <v>130</v>
          </cell>
          <cell r="G411" t="str">
            <v>San Francisco de los Romo</v>
          </cell>
          <cell r="H411">
            <v>20358</v>
          </cell>
          <cell r="I411" t="str">
            <v>Aguascalientes</v>
          </cell>
          <cell r="J411" t="str">
            <v xml:space="preserve">Aguascalientes, </v>
          </cell>
          <cell r="K411" t="str">
            <v>México</v>
          </cell>
          <cell r="L411" t="str">
            <v>(449) 910966</v>
          </cell>
          <cell r="M411">
            <v>30</v>
          </cell>
          <cell r="N411" t="str">
            <v>12/03/2015</v>
          </cell>
        </row>
        <row r="412">
          <cell r="A412">
            <v>413</v>
          </cell>
          <cell r="B412" t="str">
            <v>Sinergía Desarrollo y Manufactura, S. de R.L. de C.V.</v>
          </cell>
          <cell r="C412" t="str">
            <v>SDM120306LX7</v>
          </cell>
          <cell r="D412" t="str">
            <v>Prolongación José María Pino Suárez</v>
          </cell>
          <cell r="E412" t="str">
            <v>8</v>
          </cell>
          <cell r="F412">
            <v>467</v>
          </cell>
          <cell r="G412" t="str">
            <v>Ejido Modelo</v>
          </cell>
          <cell r="H412">
            <v>76177</v>
          </cell>
          <cell r="I412" t="str">
            <v>Querétaro</v>
          </cell>
          <cell r="J412" t="str">
            <v>Querétaro</v>
          </cell>
          <cell r="K412" t="str">
            <v>México</v>
          </cell>
          <cell r="L412" t="str">
            <v>(442) 1894599</v>
          </cell>
          <cell r="M412">
            <v>0</v>
          </cell>
        </row>
        <row r="413">
          <cell r="A413">
            <v>414</v>
          </cell>
          <cell r="B413" t="str">
            <v>Paulina Juárez Rodríguez</v>
          </cell>
          <cell r="C413" t="str">
            <v>JURP870623SR2</v>
          </cell>
          <cell r="D413" t="str">
            <v>Francisco Villa</v>
          </cell>
          <cell r="F413" t="str">
            <v>S/N</v>
          </cell>
          <cell r="G413" t="str">
            <v>Rancho la Cruz</v>
          </cell>
          <cell r="H413">
            <v>38140</v>
          </cell>
          <cell r="I413" t="str">
            <v>Celaya</v>
          </cell>
          <cell r="J413" t="str">
            <v xml:space="preserve">Guanajuato, </v>
          </cell>
          <cell r="K413" t="str">
            <v>México</v>
          </cell>
          <cell r="L413" t="str">
            <v>.</v>
          </cell>
          <cell r="M413">
            <v>0</v>
          </cell>
        </row>
        <row r="414">
          <cell r="A414">
            <v>415</v>
          </cell>
          <cell r="B414" t="str">
            <v>Draexlmaier Components Automotive de México, S. de R.L. de C.</v>
          </cell>
          <cell r="C414" t="str">
            <v>DCA040909263</v>
          </cell>
          <cell r="D414" t="str">
            <v>Av. Central</v>
          </cell>
          <cell r="F414">
            <v>180</v>
          </cell>
          <cell r="G414" t="str">
            <v>Parque  Logístico</v>
          </cell>
          <cell r="H414">
            <v>78395</v>
          </cell>
          <cell r="I414" t="str">
            <v>San Luis Potosí</v>
          </cell>
          <cell r="J414" t="str">
            <v xml:space="preserve">San Luis Potosí, </v>
          </cell>
          <cell r="K414" t="str">
            <v>México</v>
          </cell>
          <cell r="L414" t="str">
            <v>.</v>
          </cell>
          <cell r="M414">
            <v>30</v>
          </cell>
          <cell r="N414" t="str">
            <v>30/05/2014</v>
          </cell>
        </row>
        <row r="415">
          <cell r="A415">
            <v>416</v>
          </cell>
          <cell r="B415" t="str">
            <v>Hilti Operaciones de Mexico, S.A. de C.V.</v>
          </cell>
          <cell r="C415" t="str">
            <v>HOM080825MC7</v>
          </cell>
          <cell r="D415" t="str">
            <v>Av. Constituyentes</v>
          </cell>
          <cell r="F415">
            <v>2800</v>
          </cell>
          <cell r="G415" t="str">
            <v>Parque Industrial FINSA</v>
          </cell>
          <cell r="H415">
            <v>87316</v>
          </cell>
          <cell r="I415" t="str">
            <v>Matamoros</v>
          </cell>
          <cell r="J415" t="str">
            <v xml:space="preserve">Tamaulipas, </v>
          </cell>
          <cell r="K415" t="str">
            <v>México</v>
          </cell>
          <cell r="L415" t="str">
            <v>.</v>
          </cell>
          <cell r="M415">
            <v>0</v>
          </cell>
          <cell r="N415" t="str">
            <v>19/11/2014</v>
          </cell>
        </row>
        <row r="416">
          <cell r="A416">
            <v>417</v>
          </cell>
          <cell r="B416" t="str">
            <v>Delphi Connection Systems Tijuana, S.A. de C.V.</v>
          </cell>
          <cell r="C416" t="str">
            <v>DCS020131UUA</v>
          </cell>
          <cell r="D416" t="str">
            <v>Blvd. Pacífico</v>
          </cell>
          <cell r="F416">
            <v>8332</v>
          </cell>
          <cell r="G416" t="str">
            <v>Parque Industrial Pacífico</v>
          </cell>
          <cell r="H416">
            <v>22643</v>
          </cell>
          <cell r="I416" t="str">
            <v>Tijuana</v>
          </cell>
          <cell r="J416" t="str">
            <v xml:space="preserve">Baja California, </v>
          </cell>
          <cell r="K416" t="str">
            <v>México</v>
          </cell>
          <cell r="L416" t="str">
            <v>.</v>
          </cell>
          <cell r="M416">
            <v>0</v>
          </cell>
        </row>
        <row r="417">
          <cell r="A417">
            <v>418</v>
          </cell>
          <cell r="B417" t="str">
            <v>Ride Control Mexicana, S. de R.L. de C.V.</v>
          </cell>
          <cell r="C417" t="str">
            <v>RCM090713KU8</v>
          </cell>
          <cell r="D417" t="str">
            <v>Av. El Tepeyac</v>
          </cell>
          <cell r="F417">
            <v>110</v>
          </cell>
          <cell r="G417" t="str">
            <v>Parque Ind. El Tepeyac</v>
          </cell>
          <cell r="H417">
            <v>76250</v>
          </cell>
          <cell r="I417" t="str">
            <v>Querétaro</v>
          </cell>
          <cell r="J417" t="str">
            <v>Querétaro</v>
          </cell>
          <cell r="K417" t="str">
            <v>México</v>
          </cell>
          <cell r="M417">
            <v>15</v>
          </cell>
          <cell r="N417" t="str">
            <v>31/03/2015</v>
          </cell>
        </row>
        <row r="418">
          <cell r="A418">
            <v>419</v>
          </cell>
          <cell r="B418" t="str">
            <v>Technoplan, S.A. de C.V.</v>
          </cell>
          <cell r="C418" t="str">
            <v>TEC920818AX2</v>
          </cell>
          <cell r="D418" t="str">
            <v>Calle 51</v>
          </cell>
          <cell r="F418">
            <v>212</v>
          </cell>
          <cell r="G418" t="str">
            <v>Prados de San Vicente 1a. Secc.</v>
          </cell>
          <cell r="H418">
            <v>78397</v>
          </cell>
          <cell r="I418" t="str">
            <v>San Luis Potosí</v>
          </cell>
          <cell r="J418" t="str">
            <v xml:space="preserve">San Luis Potosí, </v>
          </cell>
          <cell r="K418" t="str">
            <v>México</v>
          </cell>
          <cell r="L418" t="str">
            <v>(444) 8302187</v>
          </cell>
          <cell r="M418">
            <v>0</v>
          </cell>
          <cell r="N418" t="str">
            <v>30/09/2014</v>
          </cell>
        </row>
        <row r="419">
          <cell r="A419">
            <v>420</v>
          </cell>
          <cell r="B419" t="str">
            <v>Appleton Electric, S.A. de C.V.</v>
          </cell>
          <cell r="C419" t="str">
            <v>AEL961001HD6</v>
          </cell>
          <cell r="D419" t="str">
            <v>Alfredo del Mazo</v>
          </cell>
          <cell r="F419">
            <v>9</v>
          </cell>
          <cell r="G419" t="str">
            <v>Zona Industrial 1 y 2 Cto Gustavo Baz y Cda Alfred</v>
          </cell>
          <cell r="H419">
            <v>52968</v>
          </cell>
          <cell r="I419" t="str">
            <v>Atizapan de Zaragoza</v>
          </cell>
          <cell r="J419" t="str">
            <v xml:space="preserve">Estado de México, </v>
          </cell>
          <cell r="K419" t="str">
            <v>México</v>
          </cell>
          <cell r="L419" t="str">
            <v>.</v>
          </cell>
          <cell r="M419">
            <v>30</v>
          </cell>
        </row>
        <row r="420">
          <cell r="A420">
            <v>421</v>
          </cell>
          <cell r="B420" t="str">
            <v>Faurecia Sistemas Automotrices de México, S.A. de C.V.</v>
          </cell>
          <cell r="C420" t="str">
            <v>EMH070330EA9</v>
          </cell>
          <cell r="D420" t="str">
            <v>Km. 117 Nave 17</v>
          </cell>
          <cell r="G420" t="str">
            <v>Parque Industrial Finsa</v>
          </cell>
          <cell r="H420">
            <v>72710</v>
          </cell>
          <cell r="I420" t="str">
            <v>San Lorenzo Almecatla, Cuautlancingo</v>
          </cell>
          <cell r="J420" t="str">
            <v xml:space="preserve">Puebla, </v>
          </cell>
          <cell r="K420" t="str">
            <v>México</v>
          </cell>
          <cell r="M420">
            <v>60</v>
          </cell>
          <cell r="N420" t="str">
            <v>05/01/2015</v>
          </cell>
        </row>
        <row r="421">
          <cell r="A421">
            <v>422</v>
          </cell>
          <cell r="B421" t="str">
            <v>Balatron Industrial, S.A. de C.V.</v>
          </cell>
          <cell r="C421" t="str">
            <v>BIN040114QH6</v>
          </cell>
          <cell r="D421" t="str">
            <v>Campeche</v>
          </cell>
          <cell r="F421">
            <v>250</v>
          </cell>
          <cell r="G421" t="str">
            <v>Condesa</v>
          </cell>
          <cell r="H421">
            <v>6100</v>
          </cell>
          <cell r="J421" t="str">
            <v xml:space="preserve">Distrito Federal, </v>
          </cell>
          <cell r="K421" t="str">
            <v>México</v>
          </cell>
          <cell r="L421" t="str">
            <v>(55) 55747649</v>
          </cell>
          <cell r="M421">
            <v>0</v>
          </cell>
          <cell r="N421" t="str">
            <v>29/04/2014</v>
          </cell>
        </row>
        <row r="422">
          <cell r="A422">
            <v>423</v>
          </cell>
          <cell r="B422" t="str">
            <v>Fabricaciones Industriales de Querétaro, S.A. de C.V.</v>
          </cell>
          <cell r="C422" t="str">
            <v>FIQ000209D13</v>
          </cell>
          <cell r="D422" t="str">
            <v>Jacarandas</v>
          </cell>
          <cell r="F422">
            <v>9</v>
          </cell>
          <cell r="G422" t="str">
            <v>Carrillo Puerto</v>
          </cell>
          <cell r="H422" t="str">
            <v>.</v>
          </cell>
          <cell r="I422" t="str">
            <v>Querétaro</v>
          </cell>
          <cell r="J422" t="str">
            <v>Querétaro</v>
          </cell>
          <cell r="K422" t="str">
            <v>México</v>
          </cell>
          <cell r="L422" t="str">
            <v>(442) 2171860</v>
          </cell>
          <cell r="M422">
            <v>0</v>
          </cell>
        </row>
        <row r="423">
          <cell r="A423">
            <v>424</v>
          </cell>
          <cell r="B423" t="str">
            <v>Waltermex, S.A. de C.V.</v>
          </cell>
          <cell r="C423" t="str">
            <v>WAL910225EP8</v>
          </cell>
          <cell r="D423" t="str">
            <v>Calzada Vallejo</v>
          </cell>
          <cell r="E423" t="str">
            <v>ACC</v>
          </cell>
          <cell r="F423">
            <v>1248</v>
          </cell>
          <cell r="G423" t="str">
            <v>Venustiano Carranza</v>
          </cell>
          <cell r="H423">
            <v>54170</v>
          </cell>
          <cell r="I423" t="str">
            <v>Tlalnepantla de Baz</v>
          </cell>
          <cell r="J423" t="str">
            <v xml:space="preserve">Estado de México, </v>
          </cell>
          <cell r="K423" t="str">
            <v>México</v>
          </cell>
          <cell r="L423" t="str">
            <v>.</v>
          </cell>
          <cell r="M423">
            <v>0</v>
          </cell>
        </row>
        <row r="424">
          <cell r="A424">
            <v>425</v>
          </cell>
          <cell r="B424" t="str">
            <v>AQS de México, S. de R.L. de C.V.</v>
          </cell>
          <cell r="C424" t="str">
            <v>AME110531UL4</v>
          </cell>
          <cell r="D424" t="str">
            <v>Melchor Ocampo</v>
          </cell>
          <cell r="F424">
            <v>6</v>
          </cell>
          <cell r="G424" t="str">
            <v>San Pedro Ahuacatlán</v>
          </cell>
          <cell r="H424">
            <v>76810</v>
          </cell>
          <cell r="I424" t="str">
            <v>San Juan del Río</v>
          </cell>
          <cell r="J424" t="str">
            <v xml:space="preserve">Querétaro, </v>
          </cell>
          <cell r="K424" t="str">
            <v>México</v>
          </cell>
          <cell r="M424">
            <v>0</v>
          </cell>
          <cell r="N424" t="str">
            <v>13/01/2015</v>
          </cell>
        </row>
        <row r="425">
          <cell r="A425">
            <v>426</v>
          </cell>
          <cell r="B425" t="str">
            <v>Alttra, S.A. de C.V.</v>
          </cell>
          <cell r="C425" t="str">
            <v>ALT7903091Z1</v>
          </cell>
          <cell r="D425" t="str">
            <v>Av. de las Misiones</v>
          </cell>
          <cell r="E425" t="str">
            <v>1</v>
          </cell>
          <cell r="F425">
            <v>26</v>
          </cell>
          <cell r="G425" t="str">
            <v>Parque Industrial Bernardo Quintana</v>
          </cell>
          <cell r="H425">
            <v>76246</v>
          </cell>
          <cell r="I425" t="str">
            <v>El Marqués</v>
          </cell>
          <cell r="J425" t="str">
            <v xml:space="preserve">Querétaro, </v>
          </cell>
          <cell r="K425" t="str">
            <v>México</v>
          </cell>
          <cell r="L425" t="str">
            <v>(442) 2216189</v>
          </cell>
          <cell r="M425">
            <v>0</v>
          </cell>
          <cell r="N425" t="str">
            <v>03/03/2015</v>
          </cell>
        </row>
        <row r="426">
          <cell r="A426">
            <v>427</v>
          </cell>
          <cell r="B426" t="str">
            <v>Sersi, S.A. de C.V.</v>
          </cell>
          <cell r="C426" t="str">
            <v>SER790522KG2</v>
          </cell>
          <cell r="D426" t="str">
            <v>Carretera Internacional Km. 1201</v>
          </cell>
          <cell r="E426" t="str">
            <v>1 Nte.</v>
          </cell>
          <cell r="F426" t="str">
            <v>S/N</v>
          </cell>
          <cell r="G426" t="str">
            <v>S/C</v>
          </cell>
          <cell r="H426">
            <v>82120</v>
          </cell>
          <cell r="I426" t="str">
            <v>Mazatlán</v>
          </cell>
          <cell r="J426" t="str">
            <v xml:space="preserve">Sinaloa, </v>
          </cell>
          <cell r="K426" t="str">
            <v>México</v>
          </cell>
          <cell r="L426" t="str">
            <v>.</v>
          </cell>
          <cell r="M426">
            <v>0</v>
          </cell>
        </row>
        <row r="427">
          <cell r="A427">
            <v>428</v>
          </cell>
          <cell r="B427" t="str">
            <v>SMC Corporation Mexico, S.A. de C.V.</v>
          </cell>
          <cell r="C427" t="str">
            <v>SCM891206QV5</v>
          </cell>
          <cell r="D427" t="str">
            <v>Carretera Silao Trejo Km. 2.5</v>
          </cell>
          <cell r="F427" t="str">
            <v>S/N</v>
          </cell>
          <cell r="G427" t="str">
            <v>Predio San Jose del Durazno</v>
          </cell>
          <cell r="H427">
            <v>36100</v>
          </cell>
          <cell r="I427" t="str">
            <v>Silao</v>
          </cell>
          <cell r="J427" t="str">
            <v xml:space="preserve">Guanajuato, </v>
          </cell>
          <cell r="K427" t="str">
            <v>México</v>
          </cell>
          <cell r="L427" t="str">
            <v>.</v>
          </cell>
          <cell r="M427">
            <v>0</v>
          </cell>
        </row>
        <row r="428">
          <cell r="A428">
            <v>429</v>
          </cell>
          <cell r="B428" t="str">
            <v>Virginia Sosa Damian</v>
          </cell>
          <cell r="C428" t="str">
            <v>SODV6502086H1</v>
          </cell>
          <cell r="D428" t="str">
            <v>Santiago de los Valles</v>
          </cell>
          <cell r="F428">
            <v>339</v>
          </cell>
          <cell r="G428" t="str">
            <v>Villas de Santiago</v>
          </cell>
          <cell r="H428">
            <v>76148</v>
          </cell>
          <cell r="I428" t="str">
            <v>Querétaro</v>
          </cell>
          <cell r="J428" t="str">
            <v>Querétaro</v>
          </cell>
          <cell r="K428" t="str">
            <v>México</v>
          </cell>
          <cell r="M428">
            <v>0</v>
          </cell>
          <cell r="N428" t="str">
            <v>09/04/2015</v>
          </cell>
        </row>
        <row r="429">
          <cell r="A429">
            <v>430</v>
          </cell>
          <cell r="B429" t="str">
            <v>Juan Carlos Ponte Rivas</v>
          </cell>
          <cell r="C429" t="str">
            <v>PORJ820809MY8</v>
          </cell>
          <cell r="D429" t="str">
            <v>Av. Tecnológico</v>
          </cell>
          <cell r="E429" t="str">
            <v>8</v>
          </cell>
          <cell r="F429">
            <v>134</v>
          </cell>
          <cell r="G429" t="str">
            <v>Moderna</v>
          </cell>
          <cell r="H429">
            <v>76030</v>
          </cell>
          <cell r="I429" t="str">
            <v>Querétaro</v>
          </cell>
          <cell r="J429" t="str">
            <v>Querétaro</v>
          </cell>
          <cell r="K429" t="str">
            <v>México</v>
          </cell>
          <cell r="L429" t="str">
            <v>.</v>
          </cell>
          <cell r="M429">
            <v>0</v>
          </cell>
        </row>
        <row r="430">
          <cell r="A430">
            <v>431</v>
          </cell>
          <cell r="B430" t="str">
            <v>Hector Roberto Sanchez Martinez</v>
          </cell>
          <cell r="C430" t="str">
            <v>SAMH5410273N3</v>
          </cell>
          <cell r="D430" t="str">
            <v>John F. Kennedy</v>
          </cell>
          <cell r="F430">
            <v>106</v>
          </cell>
          <cell r="G430" t="str">
            <v>Felipe Carrillo Puerto</v>
          </cell>
          <cell r="H430">
            <v>76138</v>
          </cell>
          <cell r="I430" t="str">
            <v>Querétaro</v>
          </cell>
          <cell r="J430" t="str">
            <v>Querétaro</v>
          </cell>
          <cell r="K430" t="str">
            <v>México</v>
          </cell>
          <cell r="L430" t="str">
            <v>.</v>
          </cell>
          <cell r="M430">
            <v>0</v>
          </cell>
        </row>
        <row r="431">
          <cell r="A431">
            <v>432</v>
          </cell>
          <cell r="B431" t="str">
            <v>Continental Automotive Mexicana, S.A de C.V.</v>
          </cell>
          <cell r="C431" t="str">
            <v>CAM930415290</v>
          </cell>
          <cell r="D431" t="str">
            <v>Paseo de Las Colinas</v>
          </cell>
          <cell r="E431" t="str">
            <v>B</v>
          </cell>
          <cell r="F431">
            <v>100</v>
          </cell>
          <cell r="G431" t="str">
            <v>Parque Industrial y de Negocios Las Colinas</v>
          </cell>
          <cell r="H431">
            <v>36270</v>
          </cell>
          <cell r="I431" t="str">
            <v>Silao</v>
          </cell>
          <cell r="J431" t="str">
            <v xml:space="preserve">Guanajuato, </v>
          </cell>
          <cell r="K431" t="str">
            <v>México</v>
          </cell>
          <cell r="L431" t="str">
            <v>.</v>
          </cell>
          <cell r="M431">
            <v>45</v>
          </cell>
          <cell r="N431" t="str">
            <v>18/02/2015</v>
          </cell>
        </row>
        <row r="432">
          <cell r="A432">
            <v>433</v>
          </cell>
          <cell r="B432" t="str">
            <v>Especialistas en Turbopartes, S.A. de C.V.</v>
          </cell>
          <cell r="D432" t="str">
            <v>Cuauhtemoc</v>
          </cell>
          <cell r="F432">
            <v>3</v>
          </cell>
          <cell r="G432" t="str">
            <v>Ind. San Pedrito Peñuelas</v>
          </cell>
          <cell r="H432">
            <v>76148</v>
          </cell>
          <cell r="I432" t="str">
            <v>Querétaro</v>
          </cell>
          <cell r="J432" t="str">
            <v>Querétaro</v>
          </cell>
          <cell r="K432" t="str">
            <v>México</v>
          </cell>
          <cell r="L432" t="str">
            <v>.</v>
          </cell>
          <cell r="M432">
            <v>30</v>
          </cell>
          <cell r="N432" t="str">
            <v>29/07/2014</v>
          </cell>
        </row>
        <row r="433">
          <cell r="A433">
            <v>434</v>
          </cell>
          <cell r="B433" t="str">
            <v>Hi-Lex Mexicana, S.A. de C.V.</v>
          </cell>
          <cell r="C433" t="str">
            <v>HLM931001QV0</v>
          </cell>
          <cell r="D433" t="str">
            <v>Av. Peñuelas</v>
          </cell>
          <cell r="F433">
            <v>9</v>
          </cell>
          <cell r="G433" t="str">
            <v>Fracc. Industrial San Pedrito</v>
          </cell>
          <cell r="H433">
            <v>76148</v>
          </cell>
          <cell r="I433" t="str">
            <v>Querétaro</v>
          </cell>
          <cell r="J433" t="str">
            <v>Querétaro</v>
          </cell>
          <cell r="K433" t="str">
            <v>México</v>
          </cell>
          <cell r="L433" t="str">
            <v>(442) 2384100</v>
          </cell>
          <cell r="M433">
            <v>30</v>
          </cell>
          <cell r="N433" t="str">
            <v>06/05/2015</v>
          </cell>
        </row>
        <row r="434">
          <cell r="A434">
            <v>435</v>
          </cell>
          <cell r="B434" t="str">
            <v>Maquinados Automotrices y Talleres Industriales de Celaya, S.A. de C.V.</v>
          </cell>
          <cell r="D434" t="str">
            <v>Av. México - Japón</v>
          </cell>
          <cell r="E434" t="str">
            <v>-</v>
          </cell>
          <cell r="F434">
            <v>414</v>
          </cell>
          <cell r="G434" t="str">
            <v>Ciudad Industrial Celaya</v>
          </cell>
          <cell r="H434">
            <v>38010</v>
          </cell>
          <cell r="I434" t="str">
            <v>Celaya</v>
          </cell>
          <cell r="J434" t="str">
            <v xml:space="preserve">Guanajuato, </v>
          </cell>
          <cell r="K434" t="str">
            <v>México</v>
          </cell>
          <cell r="L434" t="str">
            <v>.</v>
          </cell>
          <cell r="M434">
            <v>0</v>
          </cell>
          <cell r="N434" t="str">
            <v>04/12/2014</v>
          </cell>
        </row>
        <row r="435">
          <cell r="A435">
            <v>436</v>
          </cell>
          <cell r="B435" t="str">
            <v>FRAM Group Operations Mexicali, S.A. de C.V.</v>
          </cell>
          <cell r="C435" t="str">
            <v>FGO110325N19</v>
          </cell>
          <cell r="D435" t="str">
            <v>Prolongación Blvd. Lázaro Cárdenas</v>
          </cell>
          <cell r="F435">
            <v>3101</v>
          </cell>
          <cell r="G435" t="str">
            <v>Parque Industrial Progreso II</v>
          </cell>
          <cell r="H435">
            <v>21188</v>
          </cell>
          <cell r="I435" t="str">
            <v>Mexicali</v>
          </cell>
          <cell r="J435" t="str">
            <v xml:space="preserve">Baja California, </v>
          </cell>
          <cell r="K435" t="str">
            <v>México</v>
          </cell>
          <cell r="M435">
            <v>45</v>
          </cell>
          <cell r="N435" t="str">
            <v>05/05/2015</v>
          </cell>
        </row>
        <row r="436">
          <cell r="A436">
            <v>437</v>
          </cell>
          <cell r="B436" t="str">
            <v>WH Brady, S. de R.L. de C.V.</v>
          </cell>
          <cell r="C436" t="str">
            <v>WHB971211HA9</v>
          </cell>
          <cell r="D436" t="str">
            <v>Av. Universidad</v>
          </cell>
          <cell r="E436" t="str">
            <v>B</v>
          </cell>
          <cell r="F436">
            <v>7</v>
          </cell>
          <cell r="G436" t="str">
            <v>Parque Industrial Int. Tijuana</v>
          </cell>
          <cell r="H436">
            <v>22424</v>
          </cell>
          <cell r="I436" t="str">
            <v>Tijuana</v>
          </cell>
          <cell r="J436" t="str">
            <v xml:space="preserve">Baja California, </v>
          </cell>
          <cell r="K436" t="str">
            <v>México</v>
          </cell>
          <cell r="M436">
            <v>30</v>
          </cell>
          <cell r="N436" t="str">
            <v>08/04/2015</v>
          </cell>
        </row>
        <row r="437">
          <cell r="A437">
            <v>438</v>
          </cell>
          <cell r="B437" t="str">
            <v>Liliana García Nieto</v>
          </cell>
          <cell r="C437" t="str">
            <v>GANL730513U80</v>
          </cell>
          <cell r="D437" t="str">
            <v>Rafael Martínez de la Torre</v>
          </cell>
          <cell r="E437" t="str">
            <v>Local E</v>
          </cell>
          <cell r="F437">
            <v>4457</v>
          </cell>
          <cell r="G437" t="str">
            <v>Héroe de Nacozari</v>
          </cell>
          <cell r="H437">
            <v>7780</v>
          </cell>
          <cell r="I437" t="str">
            <v>Deleg. Gustavo A. Madero</v>
          </cell>
          <cell r="J437" t="str">
            <v xml:space="preserve">Distrito Federal, </v>
          </cell>
          <cell r="K437" t="str">
            <v>México</v>
          </cell>
          <cell r="L437" t="str">
            <v>.</v>
          </cell>
          <cell r="M437">
            <v>0</v>
          </cell>
        </row>
        <row r="438">
          <cell r="A438">
            <v>439</v>
          </cell>
          <cell r="B438" t="str">
            <v>Volkswagen de México, S.A. de C.V.</v>
          </cell>
          <cell r="C438" t="str">
            <v>VME640813HF6</v>
          </cell>
          <cell r="D438" t="str">
            <v>Autopista México Puebla Km. 116</v>
          </cell>
          <cell r="G438" t="str">
            <v>San Lorenzo Almecatla</v>
          </cell>
          <cell r="H438">
            <v>72700</v>
          </cell>
          <cell r="I438" t="str">
            <v>Cuautlancingo</v>
          </cell>
          <cell r="J438" t="str">
            <v xml:space="preserve">Puebla, </v>
          </cell>
          <cell r="K438" t="str">
            <v>México</v>
          </cell>
          <cell r="L438" t="str">
            <v>.</v>
          </cell>
          <cell r="M438">
            <v>0</v>
          </cell>
          <cell r="N438" t="str">
            <v>14/01/2014</v>
          </cell>
        </row>
        <row r="439">
          <cell r="A439">
            <v>440</v>
          </cell>
          <cell r="B439" t="str">
            <v>José Manuel Arratia Lugo</v>
          </cell>
          <cell r="C439" t="str">
            <v>AALM550322FIA</v>
          </cell>
          <cell r="D439" t="str">
            <v>Av. Moctezuma</v>
          </cell>
          <cell r="E439" t="str">
            <v>4</v>
          </cell>
          <cell r="F439">
            <v>5270</v>
          </cell>
          <cell r="G439" t="str">
            <v>Villa Puerta del Sol</v>
          </cell>
          <cell r="H439">
            <v>45058</v>
          </cell>
          <cell r="I439" t="str">
            <v>Zapopan</v>
          </cell>
          <cell r="J439" t="str">
            <v xml:space="preserve">Jalisco, </v>
          </cell>
          <cell r="K439" t="str">
            <v>México</v>
          </cell>
          <cell r="L439" t="str">
            <v>(33) 36318438</v>
          </cell>
          <cell r="M439">
            <v>0</v>
          </cell>
          <cell r="N439" t="str">
            <v>29/10/2014</v>
          </cell>
        </row>
        <row r="440">
          <cell r="A440">
            <v>441</v>
          </cell>
          <cell r="B440" t="str">
            <v>Wesco Distribution de México, S. de R.L. de C.V.</v>
          </cell>
          <cell r="C440" t="str">
            <v>WDM961216HI3</v>
          </cell>
          <cell r="D440" t="str">
            <v>Antonio M. Rivera</v>
          </cell>
          <cell r="E440" t="str">
            <v>G</v>
          </cell>
          <cell r="F440">
            <v>26</v>
          </cell>
          <cell r="G440" t="str">
            <v>Centro Industrial</v>
          </cell>
          <cell r="H440">
            <v>54030</v>
          </cell>
          <cell r="I440" t="str">
            <v>Tlalnepantla de Baz</v>
          </cell>
          <cell r="J440" t="str">
            <v xml:space="preserve">Estado de México, </v>
          </cell>
          <cell r="K440" t="str">
            <v>México</v>
          </cell>
          <cell r="L440" t="str">
            <v>(81) 81310092</v>
          </cell>
          <cell r="M440">
            <v>30</v>
          </cell>
        </row>
        <row r="441">
          <cell r="A441">
            <v>442</v>
          </cell>
          <cell r="B441" t="str">
            <v>Marmon Keystone de México, S.A. de C.V.</v>
          </cell>
          <cell r="C441" t="str">
            <v>MKM951108RW6</v>
          </cell>
          <cell r="D441" t="str">
            <v>Av. Industrias del Oriente</v>
          </cell>
          <cell r="F441">
            <v>3147</v>
          </cell>
          <cell r="G441" t="str">
            <v>Jardines de San Rafael</v>
          </cell>
          <cell r="H441">
            <v>67110</v>
          </cell>
          <cell r="I441" t="str">
            <v>Guadalupe</v>
          </cell>
          <cell r="J441" t="str">
            <v xml:space="preserve">Nuevo León, </v>
          </cell>
          <cell r="K441" t="str">
            <v>México</v>
          </cell>
          <cell r="L441" t="str">
            <v>.</v>
          </cell>
          <cell r="M441">
            <v>0</v>
          </cell>
        </row>
        <row r="442">
          <cell r="A442">
            <v>443</v>
          </cell>
          <cell r="B442" t="str">
            <v>Robin Mexicana, S. de R.L. de C.V.</v>
          </cell>
          <cell r="C442" t="str">
            <v>-</v>
          </cell>
          <cell r="D442" t="str">
            <v>Av. Las Misiones</v>
          </cell>
          <cell r="F442">
            <v>9</v>
          </cell>
          <cell r="G442" t="str">
            <v>Parque Industrial Bernardo Quintana</v>
          </cell>
          <cell r="H442">
            <v>76246</v>
          </cell>
          <cell r="I442" t="str">
            <v>El Marqués</v>
          </cell>
          <cell r="J442" t="str">
            <v xml:space="preserve">Querétaro, </v>
          </cell>
          <cell r="K442" t="str">
            <v>México</v>
          </cell>
          <cell r="L442" t="str">
            <v>(442) 2215830</v>
          </cell>
          <cell r="M442">
            <v>30</v>
          </cell>
          <cell r="N442" t="str">
            <v>19/03/2015</v>
          </cell>
        </row>
        <row r="443">
          <cell r="A443">
            <v>444</v>
          </cell>
          <cell r="B443" t="str">
            <v>Global Plastic, S.A. de C.V.</v>
          </cell>
          <cell r="C443" t="str">
            <v>GPL991022CYA</v>
          </cell>
          <cell r="D443" t="str">
            <v>Carretera Arandas - Tepatitlán Km. 2</v>
          </cell>
          <cell r="G443" t="str">
            <v>Arandas</v>
          </cell>
          <cell r="H443">
            <v>47180</v>
          </cell>
          <cell r="J443" t="str">
            <v xml:space="preserve">Jalisco, </v>
          </cell>
          <cell r="K443" t="str">
            <v>México</v>
          </cell>
          <cell r="L443" t="str">
            <v>(348) 7830959</v>
          </cell>
          <cell r="M443">
            <v>0</v>
          </cell>
          <cell r="N443" t="str">
            <v>16/01/2014</v>
          </cell>
        </row>
        <row r="444">
          <cell r="A444">
            <v>445</v>
          </cell>
          <cell r="B444" t="str">
            <v>Técnicos en Manufactura, S.C.</v>
          </cell>
          <cell r="C444" t="str">
            <v>TMA001027FG4</v>
          </cell>
          <cell r="D444" t="str">
            <v>Juan Sanchez Azcona</v>
          </cell>
          <cell r="E444" t="str">
            <v>Piso 5-A</v>
          </cell>
          <cell r="F444">
            <v>403</v>
          </cell>
          <cell r="G444" t="str">
            <v>Narvarte</v>
          </cell>
          <cell r="H444">
            <v>3020</v>
          </cell>
          <cell r="I444" t="str">
            <v>Deleg. Benito Juárez</v>
          </cell>
          <cell r="J444" t="str">
            <v xml:space="preserve">Distrito Federal, </v>
          </cell>
          <cell r="K444" t="str">
            <v>México</v>
          </cell>
          <cell r="L444" t="str">
            <v>(55) 56380478</v>
          </cell>
          <cell r="M444">
            <v>0</v>
          </cell>
          <cell r="N444" t="str">
            <v>19/01/2015</v>
          </cell>
        </row>
        <row r="445">
          <cell r="A445">
            <v>446</v>
          </cell>
          <cell r="B445" t="str">
            <v>Guhring Mexicana, S.A. de C.V.</v>
          </cell>
          <cell r="C445" t="str">
            <v>GME911203KX6</v>
          </cell>
          <cell r="D445" t="str">
            <v>Av. del Marqués</v>
          </cell>
          <cell r="F445">
            <v>62</v>
          </cell>
          <cell r="G445" t="str">
            <v>Parque Industrial Bernardo Quintana</v>
          </cell>
          <cell r="H445">
            <v>76246</v>
          </cell>
          <cell r="I445" t="str">
            <v>El Marqués</v>
          </cell>
          <cell r="J445" t="str">
            <v xml:space="preserve">Querétaro, </v>
          </cell>
          <cell r="K445" t="str">
            <v>México</v>
          </cell>
          <cell r="M445">
            <v>30</v>
          </cell>
          <cell r="N445" t="str">
            <v>21/10/2014</v>
          </cell>
        </row>
        <row r="446">
          <cell r="A446">
            <v>447</v>
          </cell>
          <cell r="B446" t="str">
            <v>Metalmecánica Ajax, S.A. de C.V.</v>
          </cell>
          <cell r="C446" t="str">
            <v>MAJ960708GK6</v>
          </cell>
          <cell r="D446" t="str">
            <v>Fracc. Agroindustrial La Cruz</v>
          </cell>
          <cell r="E446" t="str">
            <v>Lote 44 - D</v>
          </cell>
          <cell r="G446" t="str">
            <v>Fracc. Agroindustrial La Cruz</v>
          </cell>
          <cell r="H446">
            <v>76240</v>
          </cell>
          <cell r="I446" t="str">
            <v>El Marqués</v>
          </cell>
          <cell r="J446" t="str">
            <v>Querétaro,</v>
          </cell>
          <cell r="K446" t="str">
            <v>México</v>
          </cell>
          <cell r="L446" t="str">
            <v>(442) 2775013</v>
          </cell>
          <cell r="M446">
            <v>0</v>
          </cell>
          <cell r="N446" t="str">
            <v>28/01/2015</v>
          </cell>
        </row>
        <row r="447">
          <cell r="A447">
            <v>448</v>
          </cell>
          <cell r="B447" t="str">
            <v>Silvia Delfina Ramírez Neri</v>
          </cell>
          <cell r="C447" t="str">
            <v>RANS510109SB1</v>
          </cell>
          <cell r="D447" t="str">
            <v>Músicos</v>
          </cell>
          <cell r="F447">
            <v>114</v>
          </cell>
          <cell r="G447" t="str">
            <v>Panorama</v>
          </cell>
          <cell r="H447">
            <v>37160</v>
          </cell>
          <cell r="I447" t="str">
            <v>León</v>
          </cell>
          <cell r="J447" t="str">
            <v xml:space="preserve">Guanajuato, </v>
          </cell>
          <cell r="K447" t="str">
            <v>México</v>
          </cell>
          <cell r="M447">
            <v>0</v>
          </cell>
          <cell r="N447" t="str">
            <v>04/05/2015</v>
          </cell>
        </row>
        <row r="448">
          <cell r="A448">
            <v>449</v>
          </cell>
          <cell r="B448" t="str">
            <v>Instrumentos Industriales DICLECI, S.A. de C.V.</v>
          </cell>
          <cell r="C448" t="str">
            <v>IID0703124M9</v>
          </cell>
          <cell r="D448" t="str">
            <v>Boulevar Ignacio Zaragoza</v>
          </cell>
          <cell r="E448" t="str">
            <v>C4</v>
          </cell>
          <cell r="F448">
            <v>112</v>
          </cell>
          <cell r="G448" t="str">
            <v>Boulevares del Lago</v>
          </cell>
          <cell r="H448">
            <v>54473</v>
          </cell>
          <cell r="I448" t="str">
            <v>Nicolas Romero</v>
          </cell>
          <cell r="J448" t="str">
            <v xml:space="preserve">Estado de México, </v>
          </cell>
          <cell r="K448" t="str">
            <v>México</v>
          </cell>
          <cell r="L448" t="str">
            <v>.</v>
          </cell>
          <cell r="M448">
            <v>0</v>
          </cell>
        </row>
        <row r="449">
          <cell r="A449">
            <v>450</v>
          </cell>
          <cell r="B449" t="str">
            <v>In Mold Technologies México , S.A. de C.V.</v>
          </cell>
          <cell r="C449" t="str">
            <v>IMT030424627</v>
          </cell>
          <cell r="D449" t="str">
            <v>Av. El Marqués</v>
          </cell>
          <cell r="E449" t="str">
            <v>Nave 1</v>
          </cell>
          <cell r="F449">
            <v>34</v>
          </cell>
          <cell r="G449" t="str">
            <v>Parque Industrial Bernardo Quintana</v>
          </cell>
          <cell r="H449">
            <v>76246</v>
          </cell>
          <cell r="I449" t="str">
            <v>El Marqués</v>
          </cell>
          <cell r="J449" t="str">
            <v xml:space="preserve">Querétaro, </v>
          </cell>
          <cell r="K449" t="str">
            <v>México</v>
          </cell>
          <cell r="L449" t="str">
            <v>(442) 2215076</v>
          </cell>
          <cell r="M449">
            <v>0</v>
          </cell>
          <cell r="N449" t="str">
            <v>27/04/2015</v>
          </cell>
        </row>
        <row r="450">
          <cell r="A450">
            <v>451</v>
          </cell>
          <cell r="B450" t="str">
            <v>Mangueras y Herramientas Industriales, S.A. de C.V.</v>
          </cell>
          <cell r="C450" t="str">
            <v>MHI0608223I5</v>
          </cell>
          <cell r="D450" t="str">
            <v>San Jorge</v>
          </cell>
          <cell r="F450">
            <v>100</v>
          </cell>
          <cell r="G450" t="str">
            <v>Fracc. San Jorge</v>
          </cell>
          <cell r="H450">
            <v>78433</v>
          </cell>
          <cell r="I450" t="str">
            <v>Soledad de Graciano Sanchez</v>
          </cell>
          <cell r="J450" t="str">
            <v>San Luis Potosí,</v>
          </cell>
          <cell r="K450" t="str">
            <v>México</v>
          </cell>
          <cell r="L450" t="str">
            <v>(444) 2578752</v>
          </cell>
          <cell r="M450">
            <v>0</v>
          </cell>
        </row>
        <row r="451">
          <cell r="A451">
            <v>452</v>
          </cell>
          <cell r="B451" t="str">
            <v>Ruben Camacho Mandujano</v>
          </cell>
          <cell r="C451" t="str">
            <v>CAMR5612053B7</v>
          </cell>
          <cell r="D451" t="str">
            <v>Fray Servando Teresa de Mier</v>
          </cell>
          <cell r="F451">
            <v>107</v>
          </cell>
          <cell r="G451" t="str">
            <v>Quintas del Marqués</v>
          </cell>
          <cell r="H451">
            <v>76047</v>
          </cell>
          <cell r="I451" t="str">
            <v>Querétaro</v>
          </cell>
          <cell r="J451" t="str">
            <v>Querétaro</v>
          </cell>
          <cell r="K451" t="str">
            <v>México</v>
          </cell>
          <cell r="L451" t="str">
            <v>(442) 2231771</v>
          </cell>
          <cell r="M451">
            <v>0</v>
          </cell>
        </row>
        <row r="452">
          <cell r="A452">
            <v>453</v>
          </cell>
          <cell r="B452" t="str">
            <v>Magdalena Taytiana Cruz Hernández</v>
          </cell>
          <cell r="C452" t="str">
            <v>CUHM830722FB8</v>
          </cell>
          <cell r="D452" t="str">
            <v>Jacarandaz</v>
          </cell>
          <cell r="E452" t="str">
            <v>Nave C  Bodega</v>
          </cell>
          <cell r="F452">
            <v>1</v>
          </cell>
          <cell r="G452" t="str">
            <v>Los Olvera</v>
          </cell>
          <cell r="H452" t="str">
            <v>.</v>
          </cell>
          <cell r="I452" t="str">
            <v>Corregidora</v>
          </cell>
          <cell r="J452" t="str">
            <v>Querétaro</v>
          </cell>
          <cell r="K452" t="str">
            <v>México</v>
          </cell>
          <cell r="L452" t="str">
            <v>(442) 4121142</v>
          </cell>
          <cell r="M452">
            <v>0</v>
          </cell>
        </row>
        <row r="453">
          <cell r="A453">
            <v>454</v>
          </cell>
          <cell r="B453" t="str">
            <v>Alaxia Aerosystems, S.A. de C.V.</v>
          </cell>
          <cell r="C453" t="str">
            <v>KAE9310051Y7</v>
          </cell>
          <cell r="D453" t="str">
            <v>Autopista México - Querétaro Km. 181.5</v>
          </cell>
          <cell r="F453" t="str">
            <v>S/N</v>
          </cell>
          <cell r="H453">
            <v>76700</v>
          </cell>
          <cell r="I453" t="str">
            <v>Pedro Escobedo</v>
          </cell>
          <cell r="J453" t="str">
            <v>Querétaro,</v>
          </cell>
          <cell r="K453" t="str">
            <v>México</v>
          </cell>
          <cell r="L453" t="str">
            <v>.</v>
          </cell>
          <cell r="M453">
            <v>60</v>
          </cell>
        </row>
        <row r="454">
          <cell r="A454">
            <v>455</v>
          </cell>
          <cell r="B454" t="str">
            <v>TRRI, S.A. de C.V.</v>
          </cell>
          <cell r="C454" t="str">
            <v>TRR040826MJ3</v>
          </cell>
          <cell r="D454" t="str">
            <v>Encino</v>
          </cell>
          <cell r="F454">
            <v>1111</v>
          </cell>
          <cell r="G454" t="str">
            <v>Fresno</v>
          </cell>
          <cell r="H454">
            <v>38329</v>
          </cell>
          <cell r="I454" t="str">
            <v>Cortazar</v>
          </cell>
          <cell r="J454" t="str">
            <v xml:space="preserve">Guanajuato, </v>
          </cell>
          <cell r="K454" t="str">
            <v>México</v>
          </cell>
          <cell r="L454" t="str">
            <v>(411) 1554160</v>
          </cell>
          <cell r="M454">
            <v>0</v>
          </cell>
        </row>
        <row r="455">
          <cell r="A455">
            <v>456</v>
          </cell>
          <cell r="B455" t="str">
            <v>Sintermetal, S.A. de C.V.</v>
          </cell>
          <cell r="C455" t="str">
            <v>SIN840607L59</v>
          </cell>
          <cell r="D455" t="str">
            <v>Acueducto del Alto Lerma</v>
          </cell>
          <cell r="F455">
            <v>6</v>
          </cell>
          <cell r="G455" t="str">
            <v>Zona Industrial Ocoyoacac</v>
          </cell>
          <cell r="H455">
            <v>52740</v>
          </cell>
          <cell r="I455" t="str">
            <v>Ocoyoacac</v>
          </cell>
          <cell r="J455" t="str">
            <v xml:space="preserve">Estado de México, </v>
          </cell>
          <cell r="K455" t="str">
            <v>México</v>
          </cell>
          <cell r="L455" t="str">
            <v>(728) 2875014</v>
          </cell>
          <cell r="M455">
            <v>0</v>
          </cell>
          <cell r="N455" t="str">
            <v>16/04/2015</v>
          </cell>
        </row>
        <row r="456">
          <cell r="A456">
            <v>457</v>
          </cell>
          <cell r="B456" t="str">
            <v>Autobuses y Tractocamiones de Querétaro, S.A. de C.V.</v>
          </cell>
          <cell r="C456" t="str">
            <v>ATQ090625GE4</v>
          </cell>
          <cell r="D456" t="str">
            <v>Autopista México - Querétaro Km. 191.490</v>
          </cell>
          <cell r="F456" t="str">
            <v>S/N</v>
          </cell>
          <cell r="G456" t="str">
            <v>El Colorado</v>
          </cell>
          <cell r="H456">
            <v>76246</v>
          </cell>
          <cell r="I456" t="str">
            <v>Querétaro</v>
          </cell>
          <cell r="J456" t="str">
            <v>Querétaro</v>
          </cell>
          <cell r="K456" t="str">
            <v>México</v>
          </cell>
          <cell r="L456" t="str">
            <v>(442) 2468248</v>
          </cell>
          <cell r="M456">
            <v>0</v>
          </cell>
        </row>
        <row r="457">
          <cell r="A457">
            <v>458</v>
          </cell>
          <cell r="B457" t="str">
            <v>Organización Metrológica, S.A. de C.V.</v>
          </cell>
          <cell r="C457" t="str">
            <v>OME010222GA7</v>
          </cell>
          <cell r="D457" t="str">
            <v>Norte 64</v>
          </cell>
          <cell r="E457" t="str">
            <v>Depto. 2</v>
          </cell>
          <cell r="F457">
            <v>5424</v>
          </cell>
          <cell r="G457" t="str">
            <v>Tablas de San Agustín</v>
          </cell>
          <cell r="H457">
            <v>7860</v>
          </cell>
          <cell r="I457" t="str">
            <v>Deleg. Gustavo A. Madero</v>
          </cell>
          <cell r="J457" t="str">
            <v xml:space="preserve">Distrito Federal, </v>
          </cell>
          <cell r="K457" t="str">
            <v>México</v>
          </cell>
          <cell r="L457" t="str">
            <v>(55) 58193409</v>
          </cell>
          <cell r="M457">
            <v>0</v>
          </cell>
          <cell r="N457" t="str">
            <v>26/01/2015</v>
          </cell>
        </row>
        <row r="458">
          <cell r="A458">
            <v>459</v>
          </cell>
          <cell r="B458" t="str">
            <v>3M Panamá Pacifico, S. de R.L.</v>
          </cell>
          <cell r="C458" t="str">
            <v>XEXX010101000</v>
          </cell>
          <cell r="D458" t="str">
            <v>Av. Brujas</v>
          </cell>
          <cell r="F458" t="str">
            <v>Panamá</v>
          </cell>
          <cell r="G458" t="str">
            <v>Parque I. de Negocios,  Area Económica especial Fl</v>
          </cell>
          <cell r="H458" t="str">
            <v>.</v>
          </cell>
          <cell r="K458" t="str">
            <v>Panamá</v>
          </cell>
          <cell r="L458" t="str">
            <v>.</v>
          </cell>
          <cell r="M458">
            <v>30</v>
          </cell>
        </row>
        <row r="459">
          <cell r="A459">
            <v>460</v>
          </cell>
          <cell r="B459" t="str">
            <v>Kern-Liebers México</v>
          </cell>
          <cell r="C459" t="str">
            <v>-</v>
          </cell>
          <cell r="D459" t="str">
            <v>Av. Tepeyac</v>
          </cell>
          <cell r="F459">
            <v>11080</v>
          </cell>
          <cell r="G459" t="str">
            <v>Parque Industrial O'Donnell Aeropuerto</v>
          </cell>
          <cell r="H459">
            <v>76250</v>
          </cell>
          <cell r="I459" t="str">
            <v>El Marqués</v>
          </cell>
          <cell r="J459" t="str">
            <v xml:space="preserve">Querétaro, </v>
          </cell>
          <cell r="K459" t="str">
            <v>México</v>
          </cell>
          <cell r="L459" t="str">
            <v>(442) 2900263</v>
          </cell>
          <cell r="M459">
            <v>30</v>
          </cell>
          <cell r="N459" t="str">
            <v>08/04/2015</v>
          </cell>
        </row>
        <row r="460">
          <cell r="A460">
            <v>461</v>
          </cell>
          <cell r="B460" t="str">
            <v>Bundy Refrigeration, S. de R.L. de C.V.</v>
          </cell>
          <cell r="C460" t="str">
            <v>SPA8203251J5</v>
          </cell>
          <cell r="D460" t="str">
            <v>Circuito Balvanera</v>
          </cell>
          <cell r="F460">
            <v>22</v>
          </cell>
          <cell r="G460" t="str">
            <v>Complejo Industrial Balvanera</v>
          </cell>
          <cell r="H460">
            <v>76900</v>
          </cell>
          <cell r="I460" t="str">
            <v>Corregidora</v>
          </cell>
          <cell r="J460" t="str">
            <v xml:space="preserve">Querétaro, </v>
          </cell>
          <cell r="K460" t="str">
            <v>México</v>
          </cell>
          <cell r="L460" t="str">
            <v>(442) 21928800</v>
          </cell>
          <cell r="M460">
            <v>30</v>
          </cell>
          <cell r="N460" t="str">
            <v>26/03/2015</v>
          </cell>
        </row>
        <row r="461">
          <cell r="A461">
            <v>462</v>
          </cell>
          <cell r="B461" t="str">
            <v>José Alberto Carmona Montes</v>
          </cell>
          <cell r="C461" t="str">
            <v>CAMA7802215C4</v>
          </cell>
          <cell r="D461" t="str">
            <v>Don Jesús</v>
          </cell>
          <cell r="F461">
            <v>161</v>
          </cell>
          <cell r="G461" t="str">
            <v>Don Miguel</v>
          </cell>
          <cell r="H461">
            <v>78395</v>
          </cell>
          <cell r="I461" t="str">
            <v>San Luis Potosí</v>
          </cell>
          <cell r="J461" t="str">
            <v xml:space="preserve">San Luis Potosí, </v>
          </cell>
          <cell r="K461" t="str">
            <v>México</v>
          </cell>
          <cell r="M461">
            <v>0</v>
          </cell>
          <cell r="N461" t="str">
            <v>11/03/2015</v>
          </cell>
        </row>
        <row r="462">
          <cell r="A462">
            <v>463</v>
          </cell>
          <cell r="B462" t="str">
            <v>Cline Tool México, S. de R.L. de C.V.</v>
          </cell>
          <cell r="C462" t="str">
            <v>CTM040723QZ1</v>
          </cell>
          <cell r="D462" t="str">
            <v>Carretera a García</v>
          </cell>
          <cell r="F462">
            <v>166</v>
          </cell>
          <cell r="G462" t="str">
            <v>Zona Industrial Las Palmas</v>
          </cell>
          <cell r="H462">
            <v>66368</v>
          </cell>
          <cell r="I462" t="str">
            <v>Santa Carina</v>
          </cell>
          <cell r="J462" t="str">
            <v xml:space="preserve">Nuevo León, </v>
          </cell>
          <cell r="K462" t="str">
            <v>México</v>
          </cell>
          <cell r="L462" t="str">
            <v>.</v>
          </cell>
          <cell r="M462">
            <v>0</v>
          </cell>
        </row>
        <row r="463">
          <cell r="A463">
            <v>464</v>
          </cell>
          <cell r="B463" t="str">
            <v>Metrotecnica Industrial, S.A. de C.V.</v>
          </cell>
          <cell r="C463" t="str">
            <v>MIN010420PD1</v>
          </cell>
          <cell r="D463" t="str">
            <v>Circuito Amalucán</v>
          </cell>
          <cell r="F463">
            <v>45</v>
          </cell>
          <cell r="G463" t="str">
            <v>Infonavit Amalucan</v>
          </cell>
          <cell r="H463">
            <v>72310</v>
          </cell>
          <cell r="I463" t="str">
            <v>Puebla</v>
          </cell>
          <cell r="J463" t="str">
            <v xml:space="preserve">Puebla, </v>
          </cell>
          <cell r="K463" t="str">
            <v>México</v>
          </cell>
          <cell r="L463" t="str">
            <v>.</v>
          </cell>
          <cell r="M463">
            <v>0</v>
          </cell>
          <cell r="N463" t="str">
            <v>11/07/2014</v>
          </cell>
        </row>
        <row r="464">
          <cell r="A464">
            <v>465</v>
          </cell>
          <cell r="B464" t="str">
            <v>Moldes Refacciones e Insumos de Occidente, S.A. de C.V.</v>
          </cell>
          <cell r="C464" t="str">
            <v>MRE 070815 3L2</v>
          </cell>
          <cell r="D464" t="str">
            <v>Adolfo Lopez Mateos</v>
          </cell>
          <cell r="F464">
            <v>506</v>
          </cell>
          <cell r="G464" t="str">
            <v>Las Liebres</v>
          </cell>
          <cell r="H464">
            <v>45623</v>
          </cell>
          <cell r="I464" t="str">
            <v>Tlaquepaque</v>
          </cell>
          <cell r="J464" t="str">
            <v xml:space="preserve">Jalisco, </v>
          </cell>
          <cell r="K464" t="str">
            <v>México</v>
          </cell>
          <cell r="L464" t="str">
            <v>.</v>
          </cell>
          <cell r="M464">
            <v>0</v>
          </cell>
        </row>
        <row r="465">
          <cell r="A465">
            <v>466</v>
          </cell>
          <cell r="B465" t="str">
            <v>Plastic-Tec, S.A. de C.V.</v>
          </cell>
          <cell r="C465" t="str">
            <v>-</v>
          </cell>
          <cell r="D465" t="str">
            <v>Av. de los Sauces</v>
          </cell>
          <cell r="E465" t="str">
            <v>-</v>
          </cell>
          <cell r="F465">
            <v>22</v>
          </cell>
          <cell r="G465" t="str">
            <v>Parque Industrial Lerma</v>
          </cell>
          <cell r="H465">
            <v>502000</v>
          </cell>
          <cell r="I465" t="str">
            <v>Lerma</v>
          </cell>
          <cell r="J465" t="str">
            <v xml:space="preserve">Estado de México, </v>
          </cell>
          <cell r="K465" t="str">
            <v>México</v>
          </cell>
          <cell r="L465" t="str">
            <v>(444) 1009200</v>
          </cell>
          <cell r="M465">
            <v>30</v>
          </cell>
          <cell r="N465" t="str">
            <v>13/04/2015</v>
          </cell>
        </row>
        <row r="466">
          <cell r="A466">
            <v>467</v>
          </cell>
          <cell r="B466" t="str">
            <v>CNH Industrial, S.A. de C.V.</v>
          </cell>
          <cell r="C466" t="str">
            <v>CIN0309091D3</v>
          </cell>
          <cell r="D466" t="str">
            <v>Av. 5 de Febrero</v>
          </cell>
          <cell r="F466">
            <v>2117</v>
          </cell>
          <cell r="G466" t="str">
            <v>Zona Industrial Benito Juárez</v>
          </cell>
          <cell r="H466">
            <v>76130</v>
          </cell>
          <cell r="I466" t="str">
            <v>Querétaro</v>
          </cell>
          <cell r="J466" t="str">
            <v>Querétaro</v>
          </cell>
          <cell r="K466" t="str">
            <v>México</v>
          </cell>
          <cell r="L466" t="str">
            <v>.</v>
          </cell>
          <cell r="M466">
            <v>30</v>
          </cell>
          <cell r="N466" t="str">
            <v>04/02/2014</v>
          </cell>
        </row>
        <row r="467">
          <cell r="A467">
            <v>468</v>
          </cell>
          <cell r="B467" t="str">
            <v>Diamond J México, S.A. de C.V.</v>
          </cell>
          <cell r="C467" t="str">
            <v>DJM020722TD7</v>
          </cell>
          <cell r="D467" t="str">
            <v>Calle 2</v>
          </cell>
          <cell r="E467" t="str">
            <v>C</v>
          </cell>
          <cell r="F467">
            <v>106</v>
          </cell>
          <cell r="G467" t="str">
            <v>Parque Industrial Jurica</v>
          </cell>
          <cell r="H467">
            <v>76120</v>
          </cell>
          <cell r="I467" t="str">
            <v>Querétaro</v>
          </cell>
          <cell r="J467" t="str">
            <v>Querétaro</v>
          </cell>
          <cell r="K467" t="str">
            <v>México</v>
          </cell>
          <cell r="L467" t="str">
            <v>(442) 2187394</v>
          </cell>
          <cell r="M467">
            <v>0</v>
          </cell>
          <cell r="N467" t="str">
            <v>28/11/2013</v>
          </cell>
        </row>
        <row r="468">
          <cell r="A468">
            <v>469</v>
          </cell>
          <cell r="B468" t="str">
            <v>Rodar Plastics, S.A. de C.V.</v>
          </cell>
          <cell r="C468" t="str">
            <v>RPL07010992A</v>
          </cell>
          <cell r="D468" t="str">
            <v>Acceso III</v>
          </cell>
          <cell r="E468" t="str">
            <v>Nave 12</v>
          </cell>
          <cell r="F468">
            <v>14</v>
          </cell>
          <cell r="G468" t="str">
            <v>Parque Industrial Benito Juárez</v>
          </cell>
          <cell r="H468">
            <v>76120</v>
          </cell>
          <cell r="I468" t="str">
            <v>Querétaro</v>
          </cell>
          <cell r="J468" t="str">
            <v>Querétaro</v>
          </cell>
          <cell r="K468" t="str">
            <v>México</v>
          </cell>
          <cell r="M468">
            <v>30</v>
          </cell>
          <cell r="N468" t="str">
            <v>07/05/2015</v>
          </cell>
        </row>
        <row r="469">
          <cell r="A469">
            <v>470</v>
          </cell>
          <cell r="B469" t="str">
            <v>Fácil N.A. de México, S. de R.L. de C.V.</v>
          </cell>
          <cell r="C469" t="str">
            <v>FME980804FA3</v>
          </cell>
          <cell r="D469" t="str">
            <v>Calle 5</v>
          </cell>
          <cell r="E469" t="str">
            <v>Lote 15 Mz. 9</v>
          </cell>
          <cell r="G469" t="str">
            <v>Parque Toluca 2000</v>
          </cell>
          <cell r="H469">
            <v>50200</v>
          </cell>
          <cell r="I469" t="str">
            <v>Toluca</v>
          </cell>
          <cell r="J469" t="str">
            <v xml:space="preserve">Estado de México, </v>
          </cell>
          <cell r="K469" t="str">
            <v>México</v>
          </cell>
          <cell r="L469" t="str">
            <v>.</v>
          </cell>
          <cell r="M469">
            <v>0</v>
          </cell>
        </row>
        <row r="470">
          <cell r="A470">
            <v>471</v>
          </cell>
          <cell r="B470" t="str">
            <v>Celia Sanchez García</v>
          </cell>
          <cell r="C470" t="str">
            <v>SAGC780529MG6</v>
          </cell>
          <cell r="D470" t="str">
            <v>Fray Antonio Marchena</v>
          </cell>
          <cell r="F470">
            <v>102</v>
          </cell>
          <cell r="G470" t="str">
            <v>Colon Echegaray</v>
          </cell>
          <cell r="H470">
            <v>53300</v>
          </cell>
          <cell r="I470" t="str">
            <v>Naucalpan</v>
          </cell>
          <cell r="J470" t="str">
            <v xml:space="preserve">Estado de México, </v>
          </cell>
          <cell r="K470" t="str">
            <v>México</v>
          </cell>
          <cell r="L470" t="str">
            <v>(55) 53632551</v>
          </cell>
          <cell r="M470">
            <v>0</v>
          </cell>
          <cell r="N470" t="str">
            <v>13/03/2015</v>
          </cell>
        </row>
        <row r="471">
          <cell r="A471">
            <v>472</v>
          </cell>
          <cell r="B471" t="str">
            <v>MABE, S.A. de C.V.</v>
          </cell>
          <cell r="C471" t="str">
            <v>MAB911203RR7</v>
          </cell>
          <cell r="D471" t="str">
            <v>Acceso B</v>
          </cell>
          <cell r="F471">
            <v>406</v>
          </cell>
          <cell r="G471" t="str">
            <v>Parque Industrial Jurica</v>
          </cell>
          <cell r="H471">
            <v>76100</v>
          </cell>
          <cell r="I471" t="str">
            <v>Querétaro</v>
          </cell>
          <cell r="J471" t="str">
            <v>Querétaro</v>
          </cell>
          <cell r="K471" t="str">
            <v>México</v>
          </cell>
          <cell r="L471" t="str">
            <v>.</v>
          </cell>
          <cell r="M471">
            <v>0</v>
          </cell>
        </row>
        <row r="472">
          <cell r="A472">
            <v>473</v>
          </cell>
          <cell r="B472" t="str">
            <v>Especialistas en Turbopartes División Aeronáutica, S.A. de C.V.</v>
          </cell>
          <cell r="D472" t="str">
            <v>Cuauhtémoc</v>
          </cell>
          <cell r="F472">
            <v>3</v>
          </cell>
          <cell r="G472" t="str">
            <v>Ind. San Pedrito Peñuelas</v>
          </cell>
          <cell r="H472">
            <v>76148</v>
          </cell>
          <cell r="I472" t="str">
            <v>Querétaro</v>
          </cell>
          <cell r="J472" t="str">
            <v>Querétaro</v>
          </cell>
          <cell r="K472" t="str">
            <v>México</v>
          </cell>
          <cell r="L472" t="str">
            <v>(442) 2206895</v>
          </cell>
          <cell r="M472">
            <v>15</v>
          </cell>
          <cell r="N472" t="str">
            <v>08/09/2014</v>
          </cell>
        </row>
        <row r="473">
          <cell r="A473">
            <v>474</v>
          </cell>
          <cell r="B473" t="str">
            <v>Valbruna México, S.A. de C.V.</v>
          </cell>
          <cell r="C473" t="str">
            <v>VME9906026Z6</v>
          </cell>
          <cell r="D473" t="str">
            <v>Av. de las Misiones</v>
          </cell>
          <cell r="F473">
            <v>24</v>
          </cell>
          <cell r="G473" t="str">
            <v>Parque Industrial Bernardo Quintana</v>
          </cell>
          <cell r="H473">
            <v>76246</v>
          </cell>
          <cell r="I473" t="str">
            <v>El Marqués</v>
          </cell>
          <cell r="J473" t="str">
            <v xml:space="preserve">Querétaro, </v>
          </cell>
          <cell r="K473" t="str">
            <v>México</v>
          </cell>
          <cell r="M473">
            <v>0</v>
          </cell>
          <cell r="N473" t="str">
            <v>20/01/2015</v>
          </cell>
        </row>
        <row r="474">
          <cell r="A474">
            <v>475</v>
          </cell>
          <cell r="B474" t="str">
            <v>Aseguramiento Metrológico, S.A. de C.V.</v>
          </cell>
          <cell r="C474" t="str">
            <v>AME9708119Y2</v>
          </cell>
          <cell r="D474" t="str">
            <v>Av. Sierra Vista</v>
          </cell>
          <cell r="E474" t="str">
            <v>101</v>
          </cell>
          <cell r="F474">
            <v>340</v>
          </cell>
          <cell r="G474" t="str">
            <v>Lidavista</v>
          </cell>
          <cell r="H474">
            <v>7300</v>
          </cell>
          <cell r="J474" t="str">
            <v xml:space="preserve">Distrito Federal, </v>
          </cell>
          <cell r="K474" t="str">
            <v>México</v>
          </cell>
          <cell r="L474" t="str">
            <v>(55) 57546433</v>
          </cell>
          <cell r="M474">
            <v>0</v>
          </cell>
          <cell r="N474" t="str">
            <v>09/02/2015</v>
          </cell>
        </row>
        <row r="475">
          <cell r="A475">
            <v>476</v>
          </cell>
          <cell r="B475" t="str">
            <v>Maquinados y Erosión, S.A. de C.V.</v>
          </cell>
          <cell r="C475" t="str">
            <v>MER960716K37</v>
          </cell>
          <cell r="D475" t="str">
            <v>Francisco Carbajal</v>
          </cell>
          <cell r="F475">
            <v>86</v>
          </cell>
          <cell r="G475" t="str">
            <v>Santa Barbara</v>
          </cell>
          <cell r="H475">
            <v>76905</v>
          </cell>
          <cell r="I475" t="str">
            <v>Corregidora</v>
          </cell>
          <cell r="J475" t="str">
            <v xml:space="preserve">Querétaro, </v>
          </cell>
          <cell r="K475" t="str">
            <v>México</v>
          </cell>
          <cell r="L475" t="str">
            <v>(442) 3840371</v>
          </cell>
          <cell r="M475">
            <v>0</v>
          </cell>
        </row>
        <row r="476">
          <cell r="A476">
            <v>477</v>
          </cell>
          <cell r="B476" t="str">
            <v>Máquinas de Medición por Coordenadas, S.A. de C.V.</v>
          </cell>
          <cell r="C476" t="str">
            <v>MMC080725KZ0</v>
          </cell>
          <cell r="D476" t="str">
            <v>Blvd. Solidaridad</v>
          </cell>
          <cell r="E476" t="str">
            <v>Locales 14, 15</v>
          </cell>
          <cell r="F476">
            <v>56</v>
          </cell>
          <cell r="G476" t="str">
            <v>Sahuaro Indeco</v>
          </cell>
          <cell r="H476">
            <v>83170</v>
          </cell>
          <cell r="I476" t="str">
            <v>Hermosillo</v>
          </cell>
          <cell r="J476" t="str">
            <v xml:space="preserve">Sonora, </v>
          </cell>
          <cell r="K476" t="str">
            <v>México</v>
          </cell>
          <cell r="L476" t="str">
            <v>(662) 260 2212</v>
          </cell>
          <cell r="M476">
            <v>0</v>
          </cell>
        </row>
        <row r="477">
          <cell r="A477">
            <v>478</v>
          </cell>
          <cell r="B477" t="str">
            <v>Richter de México, S.A. de C.V.</v>
          </cell>
          <cell r="C477" t="str">
            <v>RME030616JW8</v>
          </cell>
          <cell r="D477" t="str">
            <v>Camino Real</v>
          </cell>
          <cell r="F477">
            <v>15</v>
          </cell>
          <cell r="G477" t="str">
            <v>Ojo de Agua</v>
          </cell>
          <cell r="H477">
            <v>76826</v>
          </cell>
          <cell r="I477" t="str">
            <v>San Juan del Río</v>
          </cell>
          <cell r="J477" t="str">
            <v xml:space="preserve">Querétaro, </v>
          </cell>
          <cell r="K477" t="str">
            <v>México</v>
          </cell>
          <cell r="L477" t="str">
            <v>(427) 1010658</v>
          </cell>
          <cell r="M477">
            <v>0</v>
          </cell>
          <cell r="N477" t="str">
            <v>18/03/2015</v>
          </cell>
        </row>
        <row r="478">
          <cell r="A478">
            <v>479</v>
          </cell>
          <cell r="B478" t="str">
            <v>Maquinados en Tornos Automáticos, S.A. de C.V.</v>
          </cell>
          <cell r="C478" t="str">
            <v>MTA070924J74</v>
          </cell>
          <cell r="D478" t="str">
            <v>Fray Luis de León</v>
          </cell>
          <cell r="E478" t="str">
            <v>31</v>
          </cell>
          <cell r="F478">
            <v>3051</v>
          </cell>
          <cell r="G478" t="str">
            <v>Centro Sur</v>
          </cell>
          <cell r="H478">
            <v>76090</v>
          </cell>
          <cell r="I478" t="str">
            <v>Querétaro</v>
          </cell>
          <cell r="J478" t="str">
            <v>Querétaro</v>
          </cell>
          <cell r="K478" t="str">
            <v>México</v>
          </cell>
          <cell r="L478" t="str">
            <v>.</v>
          </cell>
          <cell r="M478">
            <v>0</v>
          </cell>
        </row>
        <row r="479">
          <cell r="A479">
            <v>480</v>
          </cell>
          <cell r="B479" t="str">
            <v>SRG Global México, S. de R.L. de C.V.</v>
          </cell>
          <cell r="C479" t="str">
            <v>SGM100520HZ0</v>
          </cell>
          <cell r="D479" t="str">
            <v>Av. Rio San Lorenzo</v>
          </cell>
          <cell r="F479">
            <v>1921</v>
          </cell>
          <cell r="G479" t="str">
            <v>Parque Tecnoindustrial Castro del Río</v>
          </cell>
          <cell r="H479">
            <v>36810</v>
          </cell>
          <cell r="I479" t="str">
            <v>Irapuato</v>
          </cell>
          <cell r="J479" t="str">
            <v xml:space="preserve">Guanajuato, </v>
          </cell>
          <cell r="K479" t="str">
            <v>México</v>
          </cell>
          <cell r="L479" t="str">
            <v>(462) 6067820</v>
          </cell>
          <cell r="M479">
            <v>45</v>
          </cell>
        </row>
        <row r="480">
          <cell r="A480">
            <v>481</v>
          </cell>
          <cell r="B480" t="str">
            <v>Evaristo Almaguer Buenrostro</v>
          </cell>
          <cell r="C480" t="str">
            <v>AABE521026CRA</v>
          </cell>
          <cell r="D480" t="str">
            <v>San Marcos</v>
          </cell>
          <cell r="F480">
            <v>14</v>
          </cell>
          <cell r="G480" t="str">
            <v>Los Angeles</v>
          </cell>
          <cell r="H480">
            <v>76908</v>
          </cell>
          <cell r="I480" t="str">
            <v>Corregidora</v>
          </cell>
          <cell r="J480" t="str">
            <v xml:space="preserve">Querétaro, </v>
          </cell>
          <cell r="K480" t="str">
            <v>México</v>
          </cell>
          <cell r="L480" t="str">
            <v>(442) 225299</v>
          </cell>
          <cell r="M480">
            <v>0</v>
          </cell>
        </row>
        <row r="481">
          <cell r="A481">
            <v>482</v>
          </cell>
          <cell r="B481" t="str">
            <v>LINNIG de México, S.A. de C.V.</v>
          </cell>
          <cell r="C481" t="str">
            <v>LME9101097Y5</v>
          </cell>
          <cell r="D481" t="str">
            <v>Camino a Ocotitlán</v>
          </cell>
          <cell r="F481">
            <v>110</v>
          </cell>
          <cell r="G481" t="str">
            <v>La Estación</v>
          </cell>
          <cell r="H481">
            <v>52180</v>
          </cell>
          <cell r="I481" t="str">
            <v>Mexicaltzingo</v>
          </cell>
          <cell r="J481" t="str">
            <v xml:space="preserve">Estado de México, </v>
          </cell>
          <cell r="K481" t="str">
            <v>México</v>
          </cell>
          <cell r="L481" t="str">
            <v>(722) 2632735</v>
          </cell>
          <cell r="M481">
            <v>0</v>
          </cell>
        </row>
        <row r="482">
          <cell r="A482">
            <v>483</v>
          </cell>
          <cell r="B482" t="str">
            <v>Juan José López Morales</v>
          </cell>
          <cell r="C482" t="str">
            <v>LOMJ620721EQ5</v>
          </cell>
          <cell r="D482" t="str">
            <v>Ingeniero José Aceves Díaz de Sandi</v>
          </cell>
          <cell r="F482">
            <v>327</v>
          </cell>
          <cell r="G482" t="str">
            <v>Versalles 2A. Sección</v>
          </cell>
          <cell r="H482">
            <v>20285</v>
          </cell>
          <cell r="I482" t="str">
            <v>Aguascalientes</v>
          </cell>
          <cell r="J482" t="str">
            <v xml:space="preserve">Aguascalientes, </v>
          </cell>
          <cell r="K482" t="str">
            <v>México</v>
          </cell>
          <cell r="L482" t="str">
            <v>(449) 9132567</v>
          </cell>
          <cell r="M482">
            <v>0</v>
          </cell>
          <cell r="N482" t="str">
            <v>23/03/2015</v>
          </cell>
        </row>
        <row r="483">
          <cell r="A483">
            <v>484</v>
          </cell>
          <cell r="B483" t="str">
            <v>JB Tecnics México, S.A. de C.V.</v>
          </cell>
          <cell r="C483" t="str">
            <v>JTM0701099N0</v>
          </cell>
          <cell r="D483" t="str">
            <v>Oxford</v>
          </cell>
          <cell r="F483">
            <v>30</v>
          </cell>
          <cell r="G483" t="str">
            <v>Juárez</v>
          </cell>
          <cell r="H483">
            <v>6600</v>
          </cell>
          <cell r="I483" t="str">
            <v>Deleg. Cuauhtemoc</v>
          </cell>
          <cell r="J483" t="str">
            <v xml:space="preserve">Distrito Federal, </v>
          </cell>
          <cell r="K483" t="str">
            <v>México</v>
          </cell>
          <cell r="L483" t="str">
            <v>.</v>
          </cell>
          <cell r="M483">
            <v>30</v>
          </cell>
          <cell r="N483" t="str">
            <v>13/12/2013</v>
          </cell>
        </row>
        <row r="484">
          <cell r="A484">
            <v>485</v>
          </cell>
          <cell r="B484" t="str">
            <v>Fastenal México, S. de R.L. de C.V.</v>
          </cell>
          <cell r="C484" t="str">
            <v>FME991110CZ9</v>
          </cell>
          <cell r="D484" t="str">
            <v>Carretera Miguel Alemán Km. 14.2</v>
          </cell>
          <cell r="E484" t="str">
            <v>B 4</v>
          </cell>
          <cell r="G484" t="str">
            <v>La Encarnación</v>
          </cell>
          <cell r="H484">
            <v>66633</v>
          </cell>
          <cell r="J484" t="str">
            <v xml:space="preserve">Nuevo León, </v>
          </cell>
          <cell r="K484" t="str">
            <v>México</v>
          </cell>
          <cell r="L484" t="str">
            <v>.</v>
          </cell>
          <cell r="M484">
            <v>30</v>
          </cell>
        </row>
        <row r="485">
          <cell r="A485">
            <v>486</v>
          </cell>
          <cell r="B485" t="str">
            <v>Personas y Paquetes por Aire, S.A. de C.V.</v>
          </cell>
          <cell r="C485" t="str">
            <v>PPA981201RBA</v>
          </cell>
          <cell r="D485" t="str">
            <v>San Gonzalo</v>
          </cell>
          <cell r="F485">
            <v>1859</v>
          </cell>
          <cell r="G485" t="str">
            <v>Santa Isabel</v>
          </cell>
          <cell r="H485">
            <v>45110</v>
          </cell>
          <cell r="I485" t="str">
            <v>Zapopan</v>
          </cell>
          <cell r="J485" t="str">
            <v xml:space="preserve">Jalisco, </v>
          </cell>
          <cell r="K485" t="str">
            <v>México</v>
          </cell>
          <cell r="L485" t="str">
            <v>.</v>
          </cell>
          <cell r="M485">
            <v>0</v>
          </cell>
          <cell r="N485" t="str">
            <v>04/06/2014</v>
          </cell>
        </row>
        <row r="486">
          <cell r="A486">
            <v>487</v>
          </cell>
          <cell r="B486" t="str">
            <v>Resortes y Productos Metálicos, S. de R.L. de C.V.</v>
          </cell>
          <cell r="C486" t="str">
            <v>RPM 570626 AW5</v>
          </cell>
          <cell r="D486" t="str">
            <v>Av. del Virrey</v>
          </cell>
          <cell r="F486">
            <v>3</v>
          </cell>
          <cell r="G486" t="str">
            <v>Parque Industrial El Marqués</v>
          </cell>
          <cell r="H486">
            <v>76246</v>
          </cell>
          <cell r="I486" t="str">
            <v>El Marqués</v>
          </cell>
          <cell r="J486" t="str">
            <v xml:space="preserve">Querétaro, </v>
          </cell>
          <cell r="K486" t="str">
            <v>México</v>
          </cell>
          <cell r="M486">
            <v>0</v>
          </cell>
          <cell r="N486" t="str">
            <v>21/04/2015</v>
          </cell>
        </row>
        <row r="487">
          <cell r="A487">
            <v>488</v>
          </cell>
          <cell r="B487" t="str">
            <v>Bodell de Querétaro, S.A. de C.V.</v>
          </cell>
          <cell r="C487" t="str">
            <v>BDQ0612274L3</v>
          </cell>
          <cell r="D487" t="str">
            <v>Cantereros</v>
          </cell>
          <cell r="F487">
            <v>3</v>
          </cell>
          <cell r="G487" t="str">
            <v>Parque Industrial Bernardo Quintana</v>
          </cell>
          <cell r="H487">
            <v>76246</v>
          </cell>
          <cell r="I487" t="str">
            <v>El Marqués</v>
          </cell>
          <cell r="J487" t="str">
            <v xml:space="preserve">Querétaro, </v>
          </cell>
          <cell r="K487" t="str">
            <v>México</v>
          </cell>
          <cell r="L487" t="str">
            <v>.</v>
          </cell>
          <cell r="M487">
            <v>0</v>
          </cell>
        </row>
        <row r="488">
          <cell r="A488">
            <v>489</v>
          </cell>
          <cell r="B488" t="str">
            <v>Metrolab, S.A. de C.V.</v>
          </cell>
          <cell r="C488" t="str">
            <v>MET950911GY6</v>
          </cell>
          <cell r="D488" t="str">
            <v>Av. San Nicolas</v>
          </cell>
          <cell r="F488">
            <v>118</v>
          </cell>
          <cell r="G488" t="str">
            <v>Arboledas de San Jorge</v>
          </cell>
          <cell r="H488" t="str">
            <v>.</v>
          </cell>
          <cell r="I488" t="str">
            <v>San Nicolás de los Garza</v>
          </cell>
          <cell r="J488" t="str">
            <v>Nuevo León</v>
          </cell>
          <cell r="K488" t="str">
            <v>México</v>
          </cell>
          <cell r="M488">
            <v>0</v>
          </cell>
          <cell r="N488" t="str">
            <v>13/03/2015</v>
          </cell>
        </row>
        <row r="489">
          <cell r="A489">
            <v>490</v>
          </cell>
          <cell r="B489" t="str">
            <v>Ferredistribuidora Castillo, S.A de C.V</v>
          </cell>
          <cell r="C489" t="str">
            <v>FCA030910P45</v>
          </cell>
          <cell r="D489" t="str">
            <v>Gregorio Ruiz Velasco</v>
          </cell>
          <cell r="F489">
            <v>111</v>
          </cell>
          <cell r="G489" t="str">
            <v>Cd. Industrial</v>
          </cell>
          <cell r="H489">
            <v>20290</v>
          </cell>
          <cell r="I489" t="str">
            <v>Aguascalientes</v>
          </cell>
          <cell r="J489" t="str">
            <v xml:space="preserve">Aguascalientes, </v>
          </cell>
          <cell r="K489" t="str">
            <v>México</v>
          </cell>
          <cell r="L489" t="str">
            <v>(442) 1492318</v>
          </cell>
          <cell r="M489">
            <v>0</v>
          </cell>
          <cell r="N489" t="str">
            <v>04/03/2014</v>
          </cell>
        </row>
        <row r="490">
          <cell r="A490">
            <v>491</v>
          </cell>
          <cell r="B490" t="str">
            <v>TASAMA, S.A. de C.V.</v>
          </cell>
          <cell r="C490" t="str">
            <v>TAS790525HJ4</v>
          </cell>
          <cell r="D490" t="str">
            <v>Ote. 162</v>
          </cell>
          <cell r="F490">
            <v>343</v>
          </cell>
          <cell r="G490" t="str">
            <v>Moctezuma 2da. Secc.</v>
          </cell>
          <cell r="H490">
            <v>15530</v>
          </cell>
          <cell r="J490" t="str">
            <v xml:space="preserve">Distrito Federal, </v>
          </cell>
          <cell r="K490" t="str">
            <v>México</v>
          </cell>
          <cell r="L490" t="str">
            <v>(55) 57842923</v>
          </cell>
          <cell r="M490">
            <v>0</v>
          </cell>
          <cell r="N490" t="str">
            <v>23/10/2014</v>
          </cell>
        </row>
        <row r="491">
          <cell r="A491">
            <v>492</v>
          </cell>
          <cell r="B491" t="str">
            <v>Sistemas de Inspección y Control de la Construcción, S.A. de C.V.</v>
          </cell>
          <cell r="C491" t="str">
            <v>SIC060215QT2</v>
          </cell>
          <cell r="D491" t="str">
            <v>Santiago del Oeste</v>
          </cell>
          <cell r="F491">
            <v>512</v>
          </cell>
          <cell r="G491" t="str">
            <v>Villas de Santiago</v>
          </cell>
          <cell r="H491">
            <v>76148</v>
          </cell>
          <cell r="I491" t="str">
            <v>Querétaro</v>
          </cell>
          <cell r="J491" t="str">
            <v>Querétaro</v>
          </cell>
          <cell r="K491" t="str">
            <v>México</v>
          </cell>
          <cell r="M491">
            <v>0</v>
          </cell>
          <cell r="N491" t="str">
            <v>07/04/2015</v>
          </cell>
        </row>
        <row r="492">
          <cell r="A492">
            <v>493</v>
          </cell>
          <cell r="B492" t="str">
            <v>Construlita Lighting International, S.A. de C.V.</v>
          </cell>
          <cell r="C492" t="str">
            <v>CQU870710BR0</v>
          </cell>
          <cell r="D492" t="str">
            <v>Acceso IV</v>
          </cell>
          <cell r="F492">
            <v>3</v>
          </cell>
          <cell r="G492" t="str">
            <v>Fracc. Industrial Benito Juárez</v>
          </cell>
          <cell r="H492">
            <v>76130</v>
          </cell>
          <cell r="I492" t="str">
            <v>Querétaro</v>
          </cell>
          <cell r="J492" t="str">
            <v>Querétaro</v>
          </cell>
          <cell r="K492" t="str">
            <v>México</v>
          </cell>
          <cell r="L492" t="str">
            <v>(442) 2383900</v>
          </cell>
          <cell r="M492">
            <v>30</v>
          </cell>
          <cell r="N492" t="str">
            <v>20/04/2015</v>
          </cell>
        </row>
        <row r="493">
          <cell r="A493">
            <v>494</v>
          </cell>
          <cell r="B493" t="str">
            <v>Lolatec, S.A. de C.V.</v>
          </cell>
          <cell r="C493" t="str">
            <v>LOL111020RD2</v>
          </cell>
          <cell r="D493" t="str">
            <v>Vidal Alcocer</v>
          </cell>
          <cell r="F493" t="str">
            <v>S/N</v>
          </cell>
          <cell r="G493" t="str">
            <v>San Andres Jaltenco</v>
          </cell>
          <cell r="H493">
            <v>55780</v>
          </cell>
          <cell r="J493" t="str">
            <v xml:space="preserve">Estado de México, </v>
          </cell>
          <cell r="K493" t="str">
            <v>México</v>
          </cell>
          <cell r="L493" t="str">
            <v>(55) 49188514</v>
          </cell>
          <cell r="M493">
            <v>0</v>
          </cell>
        </row>
        <row r="494">
          <cell r="A494">
            <v>495</v>
          </cell>
          <cell r="B494" t="str">
            <v>Juan Hernández Cisneros</v>
          </cell>
          <cell r="C494" t="str">
            <v>HECJ5107055N4</v>
          </cell>
          <cell r="D494" t="str">
            <v>Paseo de Bonn</v>
          </cell>
          <cell r="F494">
            <v>309</v>
          </cell>
          <cell r="G494" t="str">
            <v>Fracc. Tejeda</v>
          </cell>
          <cell r="H494">
            <v>76190</v>
          </cell>
          <cell r="I494" t="str">
            <v>Corregidora</v>
          </cell>
          <cell r="J494" t="str">
            <v xml:space="preserve">Querétaro, </v>
          </cell>
          <cell r="K494" t="str">
            <v>México</v>
          </cell>
          <cell r="L494" t="str">
            <v>.</v>
          </cell>
          <cell r="M494">
            <v>0</v>
          </cell>
        </row>
        <row r="495">
          <cell r="A495">
            <v>496</v>
          </cell>
          <cell r="B495" t="str">
            <v>Tyco Electronics México, S. de R.L. de C.V.</v>
          </cell>
          <cell r="C495" t="str">
            <v>TEM6006038H0</v>
          </cell>
          <cell r="D495" t="str">
            <v>Via Dr. Gustavo Baz Prada 2160 Edificio 4  P B</v>
          </cell>
          <cell r="E495" t="str">
            <v>Edificio 4 Plan</v>
          </cell>
          <cell r="G495" t="str">
            <v>Fraccionamiento Industrial La Loma</v>
          </cell>
          <cell r="H495">
            <v>54070</v>
          </cell>
          <cell r="I495" t="str">
            <v>Tlalnepantla de Baz</v>
          </cell>
          <cell r="J495" t="str">
            <v xml:space="preserve">Estado de México, </v>
          </cell>
          <cell r="K495" t="str">
            <v>México</v>
          </cell>
          <cell r="L495" t="str">
            <v>(55) 11060800</v>
          </cell>
          <cell r="M495">
            <v>45</v>
          </cell>
          <cell r="N495" t="str">
            <v>29/07/2014</v>
          </cell>
        </row>
        <row r="496">
          <cell r="A496">
            <v>497</v>
          </cell>
          <cell r="B496" t="str">
            <v>Hyrsa Aerospace Maquinados CNC de Precisión, S. de R.L. de C.V.</v>
          </cell>
          <cell r="C496" t="str">
            <v>HAM130529JE1</v>
          </cell>
          <cell r="D496" t="str">
            <v>Los Rosales</v>
          </cell>
          <cell r="F496">
            <v>6</v>
          </cell>
          <cell r="G496" t="str">
            <v>Felipe Carrillo Puerto</v>
          </cell>
          <cell r="H496">
            <v>76138</v>
          </cell>
          <cell r="I496" t="str">
            <v>Querétaro</v>
          </cell>
          <cell r="J496" t="str">
            <v>Querétaro</v>
          </cell>
          <cell r="K496" t="str">
            <v>México</v>
          </cell>
          <cell r="L496" t="str">
            <v>(442) 4552600</v>
          </cell>
          <cell r="M496">
            <v>0</v>
          </cell>
          <cell r="N496" t="str">
            <v>22/04/2015</v>
          </cell>
        </row>
        <row r="497">
          <cell r="A497">
            <v>498</v>
          </cell>
          <cell r="B497" t="str">
            <v>Universidad Tecnológica de Campeche</v>
          </cell>
          <cell r="C497" t="str">
            <v>UTC9709019R3</v>
          </cell>
          <cell r="D497" t="str">
            <v>Carretera Federal 180</v>
          </cell>
          <cell r="F497" t="str">
            <v>S/N</v>
          </cell>
          <cell r="G497" t="str">
            <v>San Antonio Cárdenas</v>
          </cell>
          <cell r="H497">
            <v>24381</v>
          </cell>
          <cell r="I497" t="str">
            <v>Carmen</v>
          </cell>
          <cell r="J497" t="str">
            <v xml:space="preserve">Campeche, </v>
          </cell>
          <cell r="K497" t="str">
            <v>México</v>
          </cell>
          <cell r="L497" t="str">
            <v>.</v>
          </cell>
          <cell r="M497">
            <v>0</v>
          </cell>
        </row>
        <row r="498">
          <cell r="A498">
            <v>499</v>
          </cell>
          <cell r="B498" t="str">
            <v>Schunk Carbón Technology, S. A de C.V.</v>
          </cell>
          <cell r="C498" t="str">
            <v>SEC950816RXA</v>
          </cell>
          <cell r="D498" t="str">
            <v>Acueducto del Alto Lerma</v>
          </cell>
          <cell r="E498" t="str">
            <v>A</v>
          </cell>
          <cell r="F498">
            <v>6</v>
          </cell>
          <cell r="G498" t="str">
            <v>Zona Industrial Ocoyoacac</v>
          </cell>
          <cell r="H498">
            <v>52740</v>
          </cell>
          <cell r="I498" t="str">
            <v>Ocoyoacac</v>
          </cell>
          <cell r="J498" t="str">
            <v xml:space="preserve">Estado de México, </v>
          </cell>
          <cell r="K498" t="str">
            <v>México</v>
          </cell>
          <cell r="L498" t="str">
            <v>.</v>
          </cell>
          <cell r="M498">
            <v>0</v>
          </cell>
        </row>
        <row r="499">
          <cell r="A499">
            <v>500</v>
          </cell>
          <cell r="B499" t="str">
            <v>SAMCO, S.A. de C.V.</v>
          </cell>
          <cell r="C499" t="str">
            <v>SAM-811123-4G2</v>
          </cell>
          <cell r="D499" t="str">
            <v>Avena</v>
          </cell>
          <cell r="F499">
            <v>218</v>
          </cell>
          <cell r="G499" t="str">
            <v>Granjas México</v>
          </cell>
          <cell r="H499">
            <v>8400</v>
          </cell>
          <cell r="I499" t="str">
            <v>Deleg. Iztacalco</v>
          </cell>
          <cell r="J499" t="str">
            <v xml:space="preserve">Distrito Federal, </v>
          </cell>
          <cell r="K499" t="str">
            <v>México</v>
          </cell>
          <cell r="L499" t="str">
            <v>(55) 56505021</v>
          </cell>
          <cell r="M499">
            <v>0</v>
          </cell>
        </row>
        <row r="500">
          <cell r="A500">
            <v>501</v>
          </cell>
          <cell r="B500" t="str">
            <v>LuK Puebla, S. de R.L. de C.V.</v>
          </cell>
          <cell r="C500" t="str">
            <v>LPU970220T57</v>
          </cell>
          <cell r="D500" t="str">
            <v>Av. Resurrección Norte</v>
          </cell>
          <cell r="F500">
            <v>12</v>
          </cell>
          <cell r="G500" t="str">
            <v>Parque Industrial Resurección</v>
          </cell>
          <cell r="H500">
            <v>72228</v>
          </cell>
          <cell r="I500" t="str">
            <v>Puebla</v>
          </cell>
          <cell r="J500" t="str">
            <v xml:space="preserve">Puebla, </v>
          </cell>
          <cell r="K500" t="str">
            <v>México</v>
          </cell>
          <cell r="M500">
            <v>45</v>
          </cell>
          <cell r="N500" t="str">
            <v>22/04/2015</v>
          </cell>
        </row>
        <row r="501">
          <cell r="A501">
            <v>502</v>
          </cell>
          <cell r="B501" t="str">
            <v>Doga CNC Maquinados , S.A. de C.V.</v>
          </cell>
          <cell r="C501" t="str">
            <v>DCM130212PQ9</v>
          </cell>
          <cell r="D501" t="str">
            <v>Río de Janeiro</v>
          </cell>
          <cell r="E501" t="str">
            <v>6</v>
          </cell>
          <cell r="F501">
            <v>102</v>
          </cell>
          <cell r="G501" t="str">
            <v>Alta Vista</v>
          </cell>
          <cell r="H501">
            <v>64840</v>
          </cell>
          <cell r="I501" t="str">
            <v>Monterrey</v>
          </cell>
          <cell r="J501" t="str">
            <v xml:space="preserve">Nuevo León, </v>
          </cell>
          <cell r="K501" t="str">
            <v>México</v>
          </cell>
          <cell r="L501" t="str">
            <v>(81) 83736289</v>
          </cell>
          <cell r="M501">
            <v>15</v>
          </cell>
          <cell r="N501" t="str">
            <v>08/05/2015</v>
          </cell>
        </row>
        <row r="502">
          <cell r="A502">
            <v>503</v>
          </cell>
          <cell r="B502" t="str">
            <v>Fujikura Automotive México Salamanca, S.A. de C.V.</v>
          </cell>
          <cell r="C502" t="str">
            <v>FAM060721L66</v>
          </cell>
          <cell r="D502" t="str">
            <v>Carretera Salamanca - Celaya Km. 86 + 100</v>
          </cell>
          <cell r="F502" t="str">
            <v>S/N</v>
          </cell>
          <cell r="G502" t="str">
            <v>Rancho Valtierrilla</v>
          </cell>
          <cell r="H502">
            <v>36881</v>
          </cell>
          <cell r="I502" t="str">
            <v>Irapuato</v>
          </cell>
          <cell r="J502" t="str">
            <v xml:space="preserve">Guanajuato, </v>
          </cell>
          <cell r="K502" t="str">
            <v>México</v>
          </cell>
          <cell r="L502" t="str">
            <v>.</v>
          </cell>
          <cell r="M502">
            <v>30</v>
          </cell>
        </row>
        <row r="503">
          <cell r="A503">
            <v>504</v>
          </cell>
          <cell r="B503" t="str">
            <v>TMD Friction México, S.A. de C.V.</v>
          </cell>
          <cell r="C503" t="str">
            <v>TFM9804032D2</v>
          </cell>
          <cell r="D503" t="str">
            <v>Acceso II</v>
          </cell>
          <cell r="F503">
            <v>50</v>
          </cell>
          <cell r="G503" t="str">
            <v>Benito Juárez</v>
          </cell>
          <cell r="H503">
            <v>76120</v>
          </cell>
          <cell r="I503" t="str">
            <v>Querétaro</v>
          </cell>
          <cell r="J503" t="str">
            <v xml:space="preserve">Querétaro, </v>
          </cell>
          <cell r="K503" t="str">
            <v>México</v>
          </cell>
          <cell r="L503" t="str">
            <v>(442) 2384900</v>
          </cell>
          <cell r="M503">
            <v>15</v>
          </cell>
          <cell r="N503" t="str">
            <v>18/08/2014</v>
          </cell>
        </row>
        <row r="504">
          <cell r="A504">
            <v>505</v>
          </cell>
          <cell r="B504" t="str">
            <v>Ingeniería, Servicios y Aplicaciones, S.A. de C.V.</v>
          </cell>
          <cell r="C504" t="str">
            <v>ISA9909226G6</v>
          </cell>
          <cell r="D504" t="str">
            <v>Everardo Márquez</v>
          </cell>
          <cell r="F504">
            <v>101</v>
          </cell>
          <cell r="G504" t="str">
            <v>Pachuquilla</v>
          </cell>
          <cell r="H504">
            <v>42180</v>
          </cell>
          <cell r="I504" t="str">
            <v>Mineral de la Reforma</v>
          </cell>
          <cell r="J504" t="str">
            <v>Hidalgo,</v>
          </cell>
          <cell r="K504" t="str">
            <v>México</v>
          </cell>
          <cell r="L504" t="str">
            <v>(771) 7162040</v>
          </cell>
          <cell r="M504">
            <v>0</v>
          </cell>
        </row>
        <row r="505">
          <cell r="A505">
            <v>506</v>
          </cell>
          <cell r="B505" t="str">
            <v>KoCoS Energía de México, S. de R.L. de C.V.</v>
          </cell>
          <cell r="C505" t="str">
            <v>KEM 090930 HS8</v>
          </cell>
          <cell r="D505" t="str">
            <v>Calle Lima</v>
          </cell>
          <cell r="E505" t="str">
            <v>A</v>
          </cell>
          <cell r="F505">
            <v>625</v>
          </cell>
          <cell r="G505" t="str">
            <v>Lindavista</v>
          </cell>
          <cell r="H505">
            <v>7300</v>
          </cell>
          <cell r="I505" t="str">
            <v>Deleg. Gustavo A. Madero</v>
          </cell>
          <cell r="J505" t="str">
            <v>Distrito Federal,</v>
          </cell>
          <cell r="K505" t="str">
            <v>México</v>
          </cell>
          <cell r="L505" t="str">
            <v>.</v>
          </cell>
          <cell r="M505">
            <v>0</v>
          </cell>
          <cell r="N505" t="str">
            <v>16/04/2014</v>
          </cell>
        </row>
        <row r="506">
          <cell r="A506">
            <v>507</v>
          </cell>
          <cell r="B506" t="str">
            <v>Spiegel Gesellschaft, S.A. de C.V.</v>
          </cell>
          <cell r="C506" t="str">
            <v>SGE120925UT1</v>
          </cell>
          <cell r="D506" t="str">
            <v>Calle Ignacio Zaragoza</v>
          </cell>
          <cell r="F506">
            <v>15</v>
          </cell>
          <cell r="G506" t="str">
            <v>Leandro Valle</v>
          </cell>
          <cell r="H506">
            <v>54040</v>
          </cell>
          <cell r="I506" t="str">
            <v>Tlalnepantla de Baz</v>
          </cell>
          <cell r="J506" t="str">
            <v xml:space="preserve">Estado de México, </v>
          </cell>
          <cell r="K506" t="str">
            <v>México</v>
          </cell>
          <cell r="L506" t="str">
            <v>.</v>
          </cell>
          <cell r="M506">
            <v>0</v>
          </cell>
        </row>
        <row r="507">
          <cell r="A507">
            <v>508</v>
          </cell>
          <cell r="B507" t="str">
            <v>Cold Heading Technologies, S. de R.L. de C.V.</v>
          </cell>
          <cell r="C507" t="str">
            <v>CHT100618SV8</v>
          </cell>
          <cell r="D507" t="str">
            <v>Independencia</v>
          </cell>
          <cell r="F507">
            <v>1415</v>
          </cell>
          <cell r="G507" t="str">
            <v>Centro</v>
          </cell>
          <cell r="H507">
            <v>78000</v>
          </cell>
          <cell r="I507" t="str">
            <v>San Luis Potosí</v>
          </cell>
          <cell r="J507" t="str">
            <v xml:space="preserve">San Luis Potosí, </v>
          </cell>
          <cell r="K507" t="str">
            <v>México</v>
          </cell>
          <cell r="M507">
            <v>30</v>
          </cell>
          <cell r="N507" t="str">
            <v>10/03/2015</v>
          </cell>
        </row>
        <row r="508">
          <cell r="A508">
            <v>509</v>
          </cell>
          <cell r="B508" t="str">
            <v>Arrendadora Capita Corporation, S.A. de C.V.</v>
          </cell>
          <cell r="C508" t="str">
            <v>ACC940830BZA</v>
          </cell>
          <cell r="D508" t="str">
            <v>Javier Barros Sierra</v>
          </cell>
          <cell r="E508" t="str">
            <v>Oficina 504</v>
          </cell>
          <cell r="F508">
            <v>540</v>
          </cell>
          <cell r="G508" t="str">
            <v>Santa Fé</v>
          </cell>
          <cell r="H508" t="str">
            <v>.</v>
          </cell>
          <cell r="I508" t="str">
            <v>Alvaro Obregón</v>
          </cell>
          <cell r="J508" t="str">
            <v>Distrito Federal</v>
          </cell>
          <cell r="K508" t="str">
            <v>México</v>
          </cell>
          <cell r="L508" t="str">
            <v>.</v>
          </cell>
          <cell r="M508">
            <v>0</v>
          </cell>
        </row>
        <row r="509">
          <cell r="A509">
            <v>510</v>
          </cell>
          <cell r="B509" t="str">
            <v>Etiquetas y Más, S.A. de C.V.</v>
          </cell>
          <cell r="C509" t="str">
            <v>EMA010705197</v>
          </cell>
          <cell r="D509" t="str">
            <v>Prolongación Hidalgo</v>
          </cell>
          <cell r="F509">
            <v>1201</v>
          </cell>
          <cell r="G509" t="str">
            <v>Las Fuentes</v>
          </cell>
          <cell r="H509">
            <v>38040</v>
          </cell>
          <cell r="I509" t="str">
            <v>Celaya</v>
          </cell>
          <cell r="J509" t="str">
            <v xml:space="preserve">Guanajuato, </v>
          </cell>
          <cell r="K509" t="str">
            <v>México</v>
          </cell>
          <cell r="L509" t="str">
            <v>(461) 6156222</v>
          </cell>
          <cell r="M509">
            <v>0</v>
          </cell>
          <cell r="N509" t="str">
            <v>04/11/2013</v>
          </cell>
        </row>
        <row r="510">
          <cell r="A510">
            <v>511</v>
          </cell>
          <cell r="B510" t="str">
            <v>Motores Eléctricos Sumergibles de México, S. de R.L.de C.V.</v>
          </cell>
          <cell r="C510" t="str">
            <v>MES0204122KA</v>
          </cell>
          <cell r="D510" t="str">
            <v>Av. Industria Alimentaria</v>
          </cell>
          <cell r="F510">
            <v>2001</v>
          </cell>
          <cell r="G510" t="str">
            <v>Parque Industrial Linares</v>
          </cell>
          <cell r="H510">
            <v>67735</v>
          </cell>
          <cell r="I510" t="str">
            <v>Linares</v>
          </cell>
          <cell r="J510" t="str">
            <v xml:space="preserve">Nuevo León, </v>
          </cell>
          <cell r="K510" t="str">
            <v>México</v>
          </cell>
          <cell r="L510" t="str">
            <v>.</v>
          </cell>
          <cell r="M510">
            <v>30</v>
          </cell>
        </row>
        <row r="511">
          <cell r="A511">
            <v>512</v>
          </cell>
          <cell r="B511" t="str">
            <v>Proplast de Querétaro, S. de R.L. de C.V.</v>
          </cell>
          <cell r="C511" t="str">
            <v>PQU0807284Z7</v>
          </cell>
          <cell r="D511" t="str">
            <v>Camino Real de las Carretas</v>
          </cell>
          <cell r="E511" t="str">
            <v>3</v>
          </cell>
          <cell r="F511">
            <v>393</v>
          </cell>
          <cell r="G511" t="str">
            <v>Milenio III</v>
          </cell>
          <cell r="H511">
            <v>76060</v>
          </cell>
          <cell r="I511" t="str">
            <v>Querétaro</v>
          </cell>
          <cell r="J511" t="str">
            <v xml:space="preserve">Querétaro, </v>
          </cell>
          <cell r="K511" t="str">
            <v>México</v>
          </cell>
          <cell r="L511" t="str">
            <v>(442) 2230312</v>
          </cell>
          <cell r="M511">
            <v>0</v>
          </cell>
          <cell r="N511" t="str">
            <v>07/05/2015</v>
          </cell>
        </row>
        <row r="512">
          <cell r="A512">
            <v>513</v>
          </cell>
          <cell r="B512" t="str">
            <v>Grupo Palancas, S.A. de C.V.</v>
          </cell>
          <cell r="D512" t="str">
            <v>Av. Manantiales</v>
          </cell>
          <cell r="F512">
            <v>8</v>
          </cell>
          <cell r="G512" t="str">
            <v>Parque Industrial Bernardo Quintana</v>
          </cell>
          <cell r="H512">
            <v>76246</v>
          </cell>
          <cell r="I512" t="str">
            <v>El Marqués</v>
          </cell>
          <cell r="J512" t="str">
            <v xml:space="preserve">Querétaro, </v>
          </cell>
          <cell r="K512" t="str">
            <v>México</v>
          </cell>
          <cell r="L512" t="str">
            <v>(442)  2215508</v>
          </cell>
          <cell r="M512">
            <v>0</v>
          </cell>
        </row>
        <row r="513">
          <cell r="A513">
            <v>514</v>
          </cell>
          <cell r="B513" t="str">
            <v>FGR Transformaciones Metálicas S.A. de C.V.</v>
          </cell>
          <cell r="C513" t="str">
            <v>FTM 151208 UTA</v>
          </cell>
          <cell r="D513" t="str">
            <v>Colinas de San José</v>
          </cell>
          <cell r="F513">
            <v>3</v>
          </cell>
          <cell r="G513" t="str">
            <v>Colinas de Santa Cruz</v>
          </cell>
          <cell r="H513">
            <v>76117</v>
          </cell>
          <cell r="I513" t="str">
            <v>Querétaro</v>
          </cell>
          <cell r="J513" t="str">
            <v xml:space="preserve">Querétaro, </v>
          </cell>
          <cell r="K513" t="str">
            <v>México</v>
          </cell>
          <cell r="L513" t="str">
            <v>(442) 2544364 al 67</v>
          </cell>
          <cell r="M513">
            <v>15</v>
          </cell>
          <cell r="N513" t="str">
            <v>04/05/2015</v>
          </cell>
        </row>
        <row r="514">
          <cell r="A514">
            <v>515</v>
          </cell>
          <cell r="B514" t="str">
            <v>Mexmolde Latinoamerica, S.A. de C.V.</v>
          </cell>
          <cell r="C514" t="str">
            <v>MLA090112JVA</v>
          </cell>
          <cell r="D514" t="str">
            <v>Carretera Estatal 431 Km.2 200</v>
          </cell>
          <cell r="E514" t="str">
            <v>2</v>
          </cell>
          <cell r="G514" t="str">
            <v>Parque Tecnológico Innovación</v>
          </cell>
          <cell r="H514">
            <v>76246</v>
          </cell>
          <cell r="I514" t="str">
            <v>Querétaro</v>
          </cell>
          <cell r="J514" t="str">
            <v xml:space="preserve">El Marqués, </v>
          </cell>
          <cell r="K514" t="str">
            <v>México</v>
          </cell>
          <cell r="L514" t="str">
            <v>(442) 2215466/94</v>
          </cell>
          <cell r="M514">
            <v>0</v>
          </cell>
          <cell r="N514" t="str">
            <v>22/08/2014</v>
          </cell>
        </row>
        <row r="515">
          <cell r="A515">
            <v>516</v>
          </cell>
          <cell r="B515" t="str">
            <v>BQ Machining, S.A. de C.V.</v>
          </cell>
          <cell r="C515" t="str">
            <v>BMA041230GF1</v>
          </cell>
          <cell r="D515" t="str">
            <v>Calle 2</v>
          </cell>
          <cell r="F515">
            <v>24</v>
          </cell>
          <cell r="G515" t="str">
            <v>Colonia Industrial Benito Juárez</v>
          </cell>
          <cell r="H515">
            <v>76120</v>
          </cell>
          <cell r="I515" t="str">
            <v>Querétaro</v>
          </cell>
          <cell r="J515" t="str">
            <v>Querétaro</v>
          </cell>
          <cell r="K515" t="str">
            <v>México</v>
          </cell>
          <cell r="L515" t="str">
            <v>.</v>
          </cell>
          <cell r="M515">
            <v>30</v>
          </cell>
        </row>
        <row r="516">
          <cell r="A516">
            <v>517</v>
          </cell>
          <cell r="B516" t="str">
            <v>Polipro, S.A. de C.V.</v>
          </cell>
          <cell r="C516" t="str">
            <v>POL801112DI1</v>
          </cell>
          <cell r="D516" t="str">
            <v>Tenochtitlán</v>
          </cell>
          <cell r="E516" t="str">
            <v>10</v>
          </cell>
          <cell r="F516">
            <v>628</v>
          </cell>
          <cell r="G516" t="str">
            <v>Alameda</v>
          </cell>
          <cell r="H516">
            <v>38050</v>
          </cell>
          <cell r="I516" t="str">
            <v>Celaya</v>
          </cell>
          <cell r="J516" t="str">
            <v xml:space="preserve">Guanajuato, </v>
          </cell>
          <cell r="K516" t="str">
            <v>México</v>
          </cell>
          <cell r="M516">
            <v>0</v>
          </cell>
          <cell r="N516" t="str">
            <v>14/01/2015</v>
          </cell>
        </row>
        <row r="517">
          <cell r="A517">
            <v>518</v>
          </cell>
          <cell r="B517" t="str">
            <v>Prottsa, S.A. de C.V.</v>
          </cell>
          <cell r="C517" t="str">
            <v>PRO700305MB0</v>
          </cell>
          <cell r="D517" t="str">
            <v>Oriente 233</v>
          </cell>
          <cell r="F517">
            <v>91</v>
          </cell>
          <cell r="G517" t="str">
            <v>Agrícola Oriental</v>
          </cell>
          <cell r="H517">
            <v>8500</v>
          </cell>
          <cell r="I517" t="str">
            <v>Deleg. Iztacalco</v>
          </cell>
          <cell r="J517" t="str">
            <v xml:space="preserve">Distrito Federal, </v>
          </cell>
          <cell r="K517" t="str">
            <v>México</v>
          </cell>
          <cell r="L517" t="str">
            <v>.</v>
          </cell>
          <cell r="M517">
            <v>0</v>
          </cell>
        </row>
        <row r="518">
          <cell r="A518">
            <v>519</v>
          </cell>
          <cell r="B518" t="str">
            <v>Mahle Componentes de Motor de México, S. de R.L. de C.V.</v>
          </cell>
          <cell r="C518" t="str">
            <v>MCM841113LT5</v>
          </cell>
          <cell r="D518" t="str">
            <v>Carretera Maravillas - Jesús María Km. 0.3</v>
          </cell>
          <cell r="F518">
            <v>1176</v>
          </cell>
          <cell r="G518" t="str">
            <v>-</v>
          </cell>
          <cell r="H518">
            <v>20900</v>
          </cell>
          <cell r="I518" t="str">
            <v>Aguascalientes</v>
          </cell>
          <cell r="J518" t="str">
            <v xml:space="preserve">Aguascalientes, </v>
          </cell>
          <cell r="K518" t="str">
            <v>México</v>
          </cell>
          <cell r="L518" t="str">
            <v>.</v>
          </cell>
          <cell r="M518">
            <v>30</v>
          </cell>
        </row>
        <row r="519">
          <cell r="A519">
            <v>520</v>
          </cell>
          <cell r="B519" t="str">
            <v>Indumet Aerospace, S.A. de C.V.</v>
          </cell>
          <cell r="C519" t="str">
            <v>IAE111129TH8</v>
          </cell>
          <cell r="D519" t="str">
            <v>Juan Aldama</v>
          </cell>
          <cell r="F519">
            <v>709</v>
          </cell>
          <cell r="G519" t="str">
            <v>Francisco Murguia</v>
          </cell>
          <cell r="H519">
            <v>50130</v>
          </cell>
          <cell r="I519" t="str">
            <v>Toluca</v>
          </cell>
          <cell r="J519" t="str">
            <v xml:space="preserve">Estado de México, </v>
          </cell>
          <cell r="K519" t="str">
            <v>México</v>
          </cell>
          <cell r="L519" t="str">
            <v>.</v>
          </cell>
          <cell r="M519">
            <v>0</v>
          </cell>
        </row>
        <row r="520">
          <cell r="A520">
            <v>521</v>
          </cell>
          <cell r="B520" t="str">
            <v>Troquelados Querétaro, S. de R.L. de C.V.</v>
          </cell>
          <cell r="C520" t="str">
            <v>TQU080207I51</v>
          </cell>
          <cell r="D520" t="str">
            <v>Av. Industria de la Construcción</v>
          </cell>
          <cell r="F520">
            <v>601</v>
          </cell>
          <cell r="G520" t="str">
            <v>Parque Industrial Querétaro</v>
          </cell>
          <cell r="H520">
            <v>76220</v>
          </cell>
          <cell r="I520" t="str">
            <v>Querétaro</v>
          </cell>
          <cell r="J520" t="str">
            <v>Querétaro</v>
          </cell>
          <cell r="K520" t="str">
            <v>México</v>
          </cell>
          <cell r="L520" t="str">
            <v>(442) 2945446</v>
          </cell>
          <cell r="M520">
            <v>15</v>
          </cell>
          <cell r="N520" t="str">
            <v>29/04/2015</v>
          </cell>
          <cell r="Q520" t="str">
            <v>NASG</v>
          </cell>
        </row>
        <row r="521">
          <cell r="A521">
            <v>522</v>
          </cell>
          <cell r="B521" t="str">
            <v>Remak, S.A. de C.V.</v>
          </cell>
          <cell r="C521" t="str">
            <v>REM701113R74</v>
          </cell>
          <cell r="D521" t="str">
            <v>Valle de las Alamedas</v>
          </cell>
          <cell r="F521">
            <v>1</v>
          </cell>
          <cell r="G521" t="str">
            <v>Izcalli del Valle</v>
          </cell>
          <cell r="H521">
            <v>54945</v>
          </cell>
          <cell r="I521" t="str">
            <v>Tultitlán</v>
          </cell>
          <cell r="J521" t="str">
            <v>Estado de México,</v>
          </cell>
          <cell r="K521" t="str">
            <v>México</v>
          </cell>
          <cell r="L521" t="str">
            <v>(55) 53117776</v>
          </cell>
          <cell r="M521">
            <v>0</v>
          </cell>
          <cell r="N521" t="str">
            <v>25/02/2015</v>
          </cell>
        </row>
        <row r="522">
          <cell r="A522">
            <v>523</v>
          </cell>
          <cell r="B522" t="str">
            <v>ZF Suspension Technology Guadalajara, S.A. de C.V.</v>
          </cell>
          <cell r="C522" t="str">
            <v>ZSS8107103P6</v>
          </cell>
          <cell r="D522" t="str">
            <v>Carretera El Salto - La Capilla Km. 3.5</v>
          </cell>
          <cell r="F522" t="str">
            <v>S/N</v>
          </cell>
          <cell r="H522">
            <v>45680</v>
          </cell>
          <cell r="I522" t="str">
            <v>El Salto</v>
          </cell>
          <cell r="J522" t="str">
            <v xml:space="preserve">Jalisco, </v>
          </cell>
          <cell r="K522" t="str">
            <v>México</v>
          </cell>
          <cell r="L522" t="str">
            <v>.</v>
          </cell>
          <cell r="M522">
            <v>0</v>
          </cell>
          <cell r="N522" t="str">
            <v>26/11/2014</v>
          </cell>
        </row>
        <row r="523">
          <cell r="A523">
            <v>524</v>
          </cell>
          <cell r="B523" t="str">
            <v>Kolbenschmidt de México, S. de R.L. de C.V.</v>
          </cell>
          <cell r="C523" t="str">
            <v>KME051123NU0</v>
          </cell>
          <cell r="D523" t="str">
            <v>Carretera Panamericana Km. 284</v>
          </cell>
          <cell r="G523" t="str">
            <v>Sin Colonia 2da. Fracc. de Crespo frente al Camino</v>
          </cell>
          <cell r="H523">
            <v>38110</v>
          </cell>
          <cell r="I523" t="str">
            <v>Celaya</v>
          </cell>
          <cell r="J523" t="str">
            <v xml:space="preserve">Guanajuato, </v>
          </cell>
          <cell r="K523" t="str">
            <v>México</v>
          </cell>
          <cell r="L523" t="str">
            <v>.</v>
          </cell>
          <cell r="M523">
            <v>45</v>
          </cell>
        </row>
        <row r="524">
          <cell r="A524">
            <v>525</v>
          </cell>
          <cell r="B524" t="str">
            <v>Roberto Ramos Ramírez</v>
          </cell>
          <cell r="C524" t="str">
            <v>RARR630820H65</v>
          </cell>
          <cell r="D524" t="str">
            <v>Coporo</v>
          </cell>
          <cell r="E524" t="str">
            <v>3A</v>
          </cell>
          <cell r="F524">
            <v>42</v>
          </cell>
          <cell r="G524" t="str">
            <v>Atizapán Centro</v>
          </cell>
          <cell r="H524">
            <v>52971</v>
          </cell>
          <cell r="I524" t="str">
            <v>Atizapán de Zaragoza</v>
          </cell>
          <cell r="J524" t="str">
            <v xml:space="preserve">Estado de México, </v>
          </cell>
          <cell r="K524" t="str">
            <v>México</v>
          </cell>
          <cell r="L524" t="str">
            <v>.</v>
          </cell>
          <cell r="M524">
            <v>0</v>
          </cell>
        </row>
        <row r="525">
          <cell r="A525">
            <v>526</v>
          </cell>
          <cell r="B525" t="str">
            <v>Transformación Tecnológica de Metales, S.A. de C.V.</v>
          </cell>
          <cell r="C525" t="str">
            <v>TTM111026MK7</v>
          </cell>
          <cell r="D525" t="str">
            <v>Roberto Gayol</v>
          </cell>
          <cell r="E525" t="str">
            <v>301</v>
          </cell>
          <cell r="F525">
            <v>1255</v>
          </cell>
          <cell r="G525" t="str">
            <v>Del Valle</v>
          </cell>
          <cell r="H525">
            <v>3100</v>
          </cell>
          <cell r="I525" t="str">
            <v>Benito Juárez</v>
          </cell>
          <cell r="J525" t="str">
            <v xml:space="preserve">Distrito Federal, </v>
          </cell>
          <cell r="K525" t="str">
            <v>México</v>
          </cell>
          <cell r="L525" t="str">
            <v>(55) 52500591</v>
          </cell>
          <cell r="M525">
            <v>0</v>
          </cell>
          <cell r="N525" t="str">
            <v>06/10/2014</v>
          </cell>
        </row>
        <row r="526">
          <cell r="A526">
            <v>527</v>
          </cell>
          <cell r="B526" t="str">
            <v>María Teresa Zavala Morales</v>
          </cell>
          <cell r="C526" t="str">
            <v>ZAMT700423T61</v>
          </cell>
          <cell r="D526" t="str">
            <v>Platón Sanchez</v>
          </cell>
          <cell r="F526">
            <v>1003</v>
          </cell>
          <cell r="G526" t="str">
            <v>Centro</v>
          </cell>
          <cell r="H526" t="str">
            <v>-9,18</v>
          </cell>
          <cell r="I526" t="str">
            <v>Monterrey</v>
          </cell>
          <cell r="J526" t="str">
            <v xml:space="preserve">Nuevo León, </v>
          </cell>
          <cell r="K526" t="str">
            <v>México</v>
          </cell>
          <cell r="L526" t="str">
            <v>(81) 88800676</v>
          </cell>
          <cell r="M526">
            <v>0</v>
          </cell>
        </row>
        <row r="527">
          <cell r="A527">
            <v>528</v>
          </cell>
          <cell r="B527" t="str">
            <v>GKN Driveline Celaya, S.A. de C.V.</v>
          </cell>
          <cell r="C527" t="str">
            <v>GDC790816T21</v>
          </cell>
          <cell r="D527" t="str">
            <v>Carretera Panamericana Km. 284</v>
          </cell>
          <cell r="F527" t="str">
            <v>S/N</v>
          </cell>
          <cell r="G527" t="str">
            <v>Celaya Carr. Panamericana Km.284</v>
          </cell>
          <cell r="H527">
            <v>38110</v>
          </cell>
          <cell r="I527" t="str">
            <v>Celaya</v>
          </cell>
          <cell r="J527" t="str">
            <v xml:space="preserve">Guanajuato, </v>
          </cell>
          <cell r="K527" t="str">
            <v>México</v>
          </cell>
          <cell r="L527" t="str">
            <v>.</v>
          </cell>
          <cell r="M527">
            <v>30</v>
          </cell>
          <cell r="N527" t="str">
            <v>27/05/2014</v>
          </cell>
        </row>
        <row r="528">
          <cell r="A528">
            <v>529</v>
          </cell>
          <cell r="B528" t="str">
            <v>Bermuz Automatización Industrial, S.A. de C.V.</v>
          </cell>
          <cell r="C528" t="str">
            <v>BAI120110AMA</v>
          </cell>
          <cell r="D528" t="str">
            <v>Francisco I. Madero</v>
          </cell>
          <cell r="F528">
            <v>52</v>
          </cell>
          <cell r="G528" t="str">
            <v>El Carmen Totoltepec</v>
          </cell>
          <cell r="H528">
            <v>50240</v>
          </cell>
          <cell r="I528" t="str">
            <v>Toluca</v>
          </cell>
          <cell r="J528" t="str">
            <v xml:space="preserve">Estado de México, </v>
          </cell>
          <cell r="K528" t="str">
            <v>México</v>
          </cell>
          <cell r="L528" t="str">
            <v>(722) 2110744</v>
          </cell>
          <cell r="M528">
            <v>0</v>
          </cell>
          <cell r="N528" t="str">
            <v>08/04/2015</v>
          </cell>
        </row>
        <row r="529">
          <cell r="A529">
            <v>530</v>
          </cell>
          <cell r="B529" t="str">
            <v>Cia. Nacional de Herrajes Eléctricos, S.A. de C.V.</v>
          </cell>
          <cell r="C529" t="str">
            <v>NHE841129EW9</v>
          </cell>
          <cell r="D529" t="str">
            <v>Calle 22</v>
          </cell>
          <cell r="E529" t="str">
            <v>H</v>
          </cell>
          <cell r="F529">
            <v>2703</v>
          </cell>
          <cell r="G529" t="str">
            <v>Zona Industrial</v>
          </cell>
          <cell r="H529">
            <v>44940</v>
          </cell>
          <cell r="I529" t="str">
            <v>Guadalajara</v>
          </cell>
          <cell r="J529" t="str">
            <v xml:space="preserve">Jalisco, </v>
          </cell>
          <cell r="K529" t="str">
            <v>México</v>
          </cell>
          <cell r="L529" t="str">
            <v>(333) 31452580</v>
          </cell>
          <cell r="M529">
            <v>0</v>
          </cell>
          <cell r="N529" t="str">
            <v>03/09/2014</v>
          </cell>
        </row>
        <row r="530">
          <cell r="A530">
            <v>531</v>
          </cell>
          <cell r="B530" t="str">
            <v>Industrias FC, S.A. de C.V.</v>
          </cell>
          <cell r="C530" t="str">
            <v>IFC970801PEA</v>
          </cell>
          <cell r="D530" t="str">
            <v>José María Castorena</v>
          </cell>
          <cell r="E530" t="str">
            <v>104</v>
          </cell>
          <cell r="F530">
            <v>324</v>
          </cell>
          <cell r="G530" t="str">
            <v>Cuajimalpa de Morelos</v>
          </cell>
          <cell r="H530">
            <v>5000</v>
          </cell>
          <cell r="J530" t="str">
            <v xml:space="preserve">Distrito Federal, </v>
          </cell>
          <cell r="K530" t="str">
            <v>México</v>
          </cell>
          <cell r="L530" t="str">
            <v>.</v>
          </cell>
          <cell r="M530">
            <v>0</v>
          </cell>
        </row>
        <row r="531">
          <cell r="A531">
            <v>532</v>
          </cell>
          <cell r="B531" t="str">
            <v>Especialidades y Aplicaciones Industriales, S.A. de C.V.</v>
          </cell>
          <cell r="C531" t="str">
            <v>EAI961003711</v>
          </cell>
          <cell r="D531" t="str">
            <v>Calle 33</v>
          </cell>
          <cell r="F531">
            <v>1113</v>
          </cell>
          <cell r="G531" t="str">
            <v>Lomas de Casablanca</v>
          </cell>
          <cell r="H531">
            <v>76080</v>
          </cell>
          <cell r="I531" t="str">
            <v>Querétaro</v>
          </cell>
          <cell r="J531" t="str">
            <v>Querétaro</v>
          </cell>
          <cell r="K531" t="str">
            <v>México</v>
          </cell>
          <cell r="L531" t="str">
            <v>.</v>
          </cell>
          <cell r="M531">
            <v>0</v>
          </cell>
          <cell r="Q531" t="str">
            <v>EAISA</v>
          </cell>
        </row>
        <row r="532">
          <cell r="A532">
            <v>533</v>
          </cell>
          <cell r="B532" t="str">
            <v>Lion Supply, S.A. de C.V.</v>
          </cell>
          <cell r="C532" t="str">
            <v>LSU080911BQ8</v>
          </cell>
          <cell r="D532" t="str">
            <v>Arizona</v>
          </cell>
          <cell r="E532" t="str">
            <v>B</v>
          </cell>
          <cell r="F532">
            <v>19</v>
          </cell>
          <cell r="G532" t="str">
            <v>Parque Industrial Cylsa</v>
          </cell>
          <cell r="H532">
            <v>87479</v>
          </cell>
          <cell r="I532" t="str">
            <v>Matamoros</v>
          </cell>
          <cell r="J532" t="str">
            <v xml:space="preserve">Tamaulipas, </v>
          </cell>
          <cell r="K532" t="str">
            <v>México</v>
          </cell>
          <cell r="L532" t="str">
            <v>.</v>
          </cell>
          <cell r="M532">
            <v>0</v>
          </cell>
          <cell r="N532" t="str">
            <v>24/03/2014</v>
          </cell>
        </row>
        <row r="533">
          <cell r="A533">
            <v>534</v>
          </cell>
          <cell r="B533" t="str">
            <v>Sara Moreno Juárez</v>
          </cell>
          <cell r="C533" t="str">
            <v>MOJS5701063I4</v>
          </cell>
          <cell r="D533" t="str">
            <v>Mimiahuapan</v>
          </cell>
          <cell r="F533">
            <v>213</v>
          </cell>
          <cell r="G533" t="str">
            <v>Vista Alegre 2a. Sección</v>
          </cell>
          <cell r="H533">
            <v>76090</v>
          </cell>
          <cell r="I533" t="str">
            <v>Querétaro</v>
          </cell>
          <cell r="J533" t="str">
            <v>Querétaro</v>
          </cell>
          <cell r="K533" t="str">
            <v>México</v>
          </cell>
          <cell r="L533" t="str">
            <v>.</v>
          </cell>
          <cell r="M533">
            <v>15</v>
          </cell>
        </row>
        <row r="534">
          <cell r="A534">
            <v>535</v>
          </cell>
          <cell r="B534" t="str">
            <v>Asahi Sho Ko Sha México, S.A. de C.V.</v>
          </cell>
          <cell r="C534" t="str">
            <v>ASM040209PS8</v>
          </cell>
          <cell r="D534" t="str">
            <v>Av. Aguascalientes Sur</v>
          </cell>
          <cell r="F534">
            <v>2713</v>
          </cell>
          <cell r="G534" t="str">
            <v>Fracc. Jardines de las Fuentes</v>
          </cell>
          <cell r="H534">
            <v>20290</v>
          </cell>
          <cell r="I534" t="str">
            <v>Aguascalientes</v>
          </cell>
          <cell r="J534" t="str">
            <v xml:space="preserve">Aguascalientes, </v>
          </cell>
          <cell r="K534" t="str">
            <v>México</v>
          </cell>
          <cell r="L534" t="str">
            <v>(449) 9781103</v>
          </cell>
          <cell r="M534">
            <v>15</v>
          </cell>
        </row>
        <row r="535">
          <cell r="A535">
            <v>536</v>
          </cell>
          <cell r="B535" t="str">
            <v>Hipólito Díaz Durán</v>
          </cell>
          <cell r="C535" t="str">
            <v>DIDH460813MU4</v>
          </cell>
          <cell r="D535" t="str">
            <v>Heriberto Enriquez</v>
          </cell>
          <cell r="F535">
            <v>308</v>
          </cell>
          <cell r="G535" t="str">
            <v>Universidad</v>
          </cell>
          <cell r="H535" t="str">
            <v>.</v>
          </cell>
          <cell r="I535" t="str">
            <v>Toluca</v>
          </cell>
          <cell r="J535" t="str">
            <v>Estado de México</v>
          </cell>
          <cell r="K535" t="str">
            <v>México</v>
          </cell>
          <cell r="L535" t="str">
            <v>(722) 2122225</v>
          </cell>
          <cell r="M535">
            <v>0</v>
          </cell>
          <cell r="N535" t="str">
            <v>22/04/2014</v>
          </cell>
        </row>
        <row r="536">
          <cell r="A536">
            <v>537</v>
          </cell>
          <cell r="B536" t="str">
            <v>Ingeniería y Mecatrónica, S.A. de C.V.</v>
          </cell>
          <cell r="C536" t="str">
            <v>IME971114QS8</v>
          </cell>
          <cell r="D536" t="str">
            <v>Av. Cantereros</v>
          </cell>
          <cell r="F536">
            <v>12</v>
          </cell>
          <cell r="G536" t="str">
            <v>Parque Industrial Bernardo Quintana</v>
          </cell>
          <cell r="H536">
            <v>76246</v>
          </cell>
          <cell r="I536" t="str">
            <v>El Marqués</v>
          </cell>
          <cell r="J536" t="str">
            <v>Querétaro,</v>
          </cell>
          <cell r="K536" t="str">
            <v>México</v>
          </cell>
          <cell r="L536" t="str">
            <v>(442) 2215437</v>
          </cell>
          <cell r="M536">
            <v>0</v>
          </cell>
        </row>
        <row r="537">
          <cell r="A537">
            <v>538</v>
          </cell>
          <cell r="B537" t="str">
            <v>GM Motriz, S.A. de C.V.</v>
          </cell>
          <cell r="C537" t="str">
            <v>GMO970422PG9</v>
          </cell>
          <cell r="D537" t="str">
            <v>Carretera a México</v>
          </cell>
          <cell r="F537">
            <v>120</v>
          </cell>
          <cell r="G537" t="str">
            <v>Zona Hotelera</v>
          </cell>
          <cell r="H537">
            <v>78390</v>
          </cell>
          <cell r="I537" t="str">
            <v>San Luis Potosí</v>
          </cell>
          <cell r="J537" t="str">
            <v xml:space="preserve">San Luis Potosí, </v>
          </cell>
          <cell r="K537" t="str">
            <v>México</v>
          </cell>
          <cell r="L537" t="str">
            <v>(444) 8256600</v>
          </cell>
          <cell r="M537">
            <v>0</v>
          </cell>
          <cell r="N537" t="str">
            <v>16/07/2014</v>
          </cell>
        </row>
        <row r="538">
          <cell r="A538">
            <v>539</v>
          </cell>
          <cell r="B538" t="str">
            <v>Airbus Helicopters México Querétaro, S.A. de C.V.</v>
          </cell>
          <cell r="C538" t="str">
            <v>EMP110817U86</v>
          </cell>
          <cell r="D538" t="str">
            <v>Carretera Estatal 200 Querétaro - Tequisquiapan Km. 24 + 120</v>
          </cell>
          <cell r="F538" t="str">
            <v>3</v>
          </cell>
          <cell r="G538" t="str">
            <v>Parque Industrial Aerotech</v>
          </cell>
          <cell r="H538">
            <v>76270</v>
          </cell>
          <cell r="I538" t="str">
            <v>Colón</v>
          </cell>
          <cell r="J538" t="str">
            <v xml:space="preserve">Querétaro, </v>
          </cell>
          <cell r="K538" t="str">
            <v>México</v>
          </cell>
          <cell r="L538" t="str">
            <v>(442) 2562600</v>
          </cell>
          <cell r="M538">
            <v>30</v>
          </cell>
          <cell r="N538" t="str">
            <v>04/05/2015</v>
          </cell>
          <cell r="O538" t="str">
            <v>enrique.silva@airbus.com</v>
          </cell>
        </row>
        <row r="539">
          <cell r="A539">
            <v>540</v>
          </cell>
          <cell r="B539" t="str">
            <v>Rubisel Rodríguez Díaz</v>
          </cell>
          <cell r="C539" t="str">
            <v>RODR610809QF9</v>
          </cell>
          <cell r="D539" t="str">
            <v>Paseo de la Constitución</v>
          </cell>
          <cell r="E539" t="str">
            <v>A</v>
          </cell>
          <cell r="F539">
            <v>9</v>
          </cell>
          <cell r="G539" t="str">
            <v>Fracc. Industrial San Pedrito Peñuelas</v>
          </cell>
          <cell r="H539">
            <v>76148</v>
          </cell>
          <cell r="I539" t="str">
            <v>Querétaro</v>
          </cell>
          <cell r="J539" t="str">
            <v>Querétaro</v>
          </cell>
          <cell r="K539" t="str">
            <v>México</v>
          </cell>
          <cell r="L539" t="str">
            <v>(442) 1822062</v>
          </cell>
          <cell r="M539">
            <v>0</v>
          </cell>
          <cell r="N539" t="str">
            <v>24/04/2015</v>
          </cell>
        </row>
        <row r="540">
          <cell r="A540">
            <v>541</v>
          </cell>
          <cell r="B540" t="str">
            <v>BRP Querétaro, S.A. de C.V.</v>
          </cell>
          <cell r="C540" t="str">
            <v>BQU120316S58</v>
          </cell>
          <cell r="D540" t="str">
            <v>Av. Ferrocarril</v>
          </cell>
          <cell r="F540">
            <v>202</v>
          </cell>
          <cell r="G540" t="str">
            <v>Parque Industrial Querétaro</v>
          </cell>
          <cell r="H540">
            <v>76220</v>
          </cell>
          <cell r="I540" t="str">
            <v>Santa Rosa Jáuregui</v>
          </cell>
          <cell r="J540" t="str">
            <v xml:space="preserve">Querétaro, </v>
          </cell>
          <cell r="K540" t="str">
            <v>México</v>
          </cell>
          <cell r="L540" t="str">
            <v>.</v>
          </cell>
          <cell r="M540">
            <v>30</v>
          </cell>
          <cell r="N540" t="str">
            <v>10/12/2014</v>
          </cell>
          <cell r="O540" t="str">
            <v>santiago.hernandez@brp.com / gerardo.jimenez@brp.com</v>
          </cell>
        </row>
        <row r="541">
          <cell r="A541">
            <v>542</v>
          </cell>
          <cell r="B541" t="str">
            <v>Inaprecisión de México, S.A. de C.V.</v>
          </cell>
          <cell r="C541" t="str">
            <v>SWM950706HX9</v>
          </cell>
          <cell r="D541" t="str">
            <v>Av.  Cañada</v>
          </cell>
          <cell r="F541">
            <v>39</v>
          </cell>
          <cell r="G541" t="str">
            <v>Parque Industrial Bernardo Quintana</v>
          </cell>
          <cell r="H541">
            <v>76246</v>
          </cell>
          <cell r="I541" t="str">
            <v>El Marqués</v>
          </cell>
          <cell r="J541" t="str">
            <v xml:space="preserve">Querétaro, </v>
          </cell>
          <cell r="K541" t="str">
            <v>México</v>
          </cell>
          <cell r="L541" t="str">
            <v>.</v>
          </cell>
          <cell r="M541">
            <v>30</v>
          </cell>
        </row>
        <row r="542">
          <cell r="A542">
            <v>543</v>
          </cell>
          <cell r="B542" t="str">
            <v>Hospira Costa Rica Ltd.</v>
          </cell>
          <cell r="C542" t="str">
            <v>XEXX010101000</v>
          </cell>
          <cell r="D542" t="str">
            <v>PO Box</v>
          </cell>
          <cell r="F542">
            <v>212</v>
          </cell>
          <cell r="G542" t="str">
            <v>Barrel de Heredia</v>
          </cell>
          <cell r="H542" t="str">
            <v>.</v>
          </cell>
          <cell r="I542" t="str">
            <v>Heredia</v>
          </cell>
          <cell r="K542" t="str">
            <v>Costa Rica</v>
          </cell>
          <cell r="L542" t="str">
            <v>.</v>
          </cell>
          <cell r="M542">
            <v>30</v>
          </cell>
        </row>
        <row r="543">
          <cell r="A543">
            <v>544</v>
          </cell>
          <cell r="B543" t="str">
            <v>Sulzer Pumps México, S.A. de C.V.</v>
          </cell>
          <cell r="C543" t="str">
            <v>SPM931105G59</v>
          </cell>
          <cell r="D543" t="str">
            <v>Calzada a la Venta</v>
          </cell>
          <cell r="F543">
            <v>19</v>
          </cell>
          <cell r="G543" t="str">
            <v>Parque Industrial Cuamatla</v>
          </cell>
          <cell r="H543">
            <v>54730</v>
          </cell>
          <cell r="I543" t="str">
            <v>Cuautitlán Izcalli</v>
          </cell>
          <cell r="J543" t="str">
            <v xml:space="preserve">Estado de México, </v>
          </cell>
          <cell r="K543" t="str">
            <v>México</v>
          </cell>
          <cell r="M543">
            <v>30</v>
          </cell>
          <cell r="N543" t="str">
            <v>07/05/2015</v>
          </cell>
        </row>
        <row r="544">
          <cell r="A544">
            <v>545</v>
          </cell>
          <cell r="B544" t="str">
            <v>POSCO MPPC, S.A. de C.V.</v>
          </cell>
          <cell r="C544" t="str">
            <v>PMP060127R53</v>
          </cell>
          <cell r="D544" t="str">
            <v>Carretera 190 Km 0.550</v>
          </cell>
          <cell r="G544" t="str">
            <v>Santa Ana</v>
          </cell>
          <cell r="H544">
            <v>74169</v>
          </cell>
          <cell r="I544" t="str">
            <v>Xalmimilulco</v>
          </cell>
          <cell r="J544" t="str">
            <v xml:space="preserve">Puebla, </v>
          </cell>
          <cell r="K544" t="str">
            <v>México</v>
          </cell>
          <cell r="M544">
            <v>30</v>
          </cell>
          <cell r="N544" t="str">
            <v>18/03/2015</v>
          </cell>
        </row>
        <row r="545">
          <cell r="A545">
            <v>546</v>
          </cell>
          <cell r="B545" t="str">
            <v>Industrias Ochoa Mexicana, S. de R.L. de C.V.</v>
          </cell>
          <cell r="C545" t="str">
            <v>IOS1101213V3</v>
          </cell>
          <cell r="D545" t="str">
            <v>Carretera Estatal 431</v>
          </cell>
          <cell r="F545" t="str">
            <v>Km. 2 + 200</v>
          </cell>
          <cell r="G545" t="str">
            <v>Parque Tecnológico Innovación</v>
          </cell>
          <cell r="H545">
            <v>76246</v>
          </cell>
          <cell r="I545" t="str">
            <v>El Marqués</v>
          </cell>
          <cell r="J545" t="str">
            <v xml:space="preserve">Querétaro, </v>
          </cell>
          <cell r="K545" t="str">
            <v>México</v>
          </cell>
          <cell r="L545" t="str">
            <v>(442) 2154635</v>
          </cell>
          <cell r="M545">
            <v>0</v>
          </cell>
          <cell r="N545" t="str">
            <v>12/12/2014</v>
          </cell>
        </row>
        <row r="546">
          <cell r="A546">
            <v>547</v>
          </cell>
          <cell r="B546" t="str">
            <v>Enrique Mondagrón Ballesteros</v>
          </cell>
          <cell r="C546" t="str">
            <v>MOBE390215FX4</v>
          </cell>
          <cell r="D546" t="str">
            <v>Calle Jacarandas</v>
          </cell>
          <cell r="F546">
            <v>3</v>
          </cell>
          <cell r="G546" t="str">
            <v>Alámos 1a. Sección</v>
          </cell>
          <cell r="H546">
            <v>76160</v>
          </cell>
          <cell r="I546" t="str">
            <v>Querétaro</v>
          </cell>
          <cell r="J546" t="str">
            <v>Querétaro</v>
          </cell>
          <cell r="K546" t="str">
            <v>México</v>
          </cell>
          <cell r="L546" t="str">
            <v>.</v>
          </cell>
          <cell r="M546">
            <v>0</v>
          </cell>
        </row>
        <row r="547">
          <cell r="A547">
            <v>548</v>
          </cell>
          <cell r="B547" t="str">
            <v>Maxpa, S. de R.L.</v>
          </cell>
          <cell r="C547" t="str">
            <v>MAX100222RG3</v>
          </cell>
          <cell r="D547" t="str">
            <v>Av. Monte Rosa</v>
          </cell>
          <cell r="F547">
            <v>311</v>
          </cell>
          <cell r="G547" t="str">
            <v>Paseos de Miravalle</v>
          </cell>
          <cell r="H547">
            <v>37400</v>
          </cell>
          <cell r="I547" t="str">
            <v>León</v>
          </cell>
          <cell r="J547" t="str">
            <v xml:space="preserve">Guanajuato, </v>
          </cell>
          <cell r="K547" t="str">
            <v>México</v>
          </cell>
          <cell r="L547" t="str">
            <v>.</v>
          </cell>
          <cell r="M547">
            <v>0</v>
          </cell>
        </row>
        <row r="548">
          <cell r="A548">
            <v>549</v>
          </cell>
          <cell r="B548" t="str">
            <v>CMM-Metrologyca, S.C.</v>
          </cell>
          <cell r="C548" t="str">
            <v>CMM0406031B7</v>
          </cell>
          <cell r="D548" t="str">
            <v>Río Conchos</v>
          </cell>
          <cell r="F548">
            <v>5746</v>
          </cell>
          <cell r="G548" t="str">
            <v>Jardines de San Manuel</v>
          </cell>
          <cell r="H548">
            <v>72570</v>
          </cell>
          <cell r="I548" t="str">
            <v>Puebla</v>
          </cell>
          <cell r="J548" t="str">
            <v xml:space="preserve">Puebla, </v>
          </cell>
          <cell r="K548" t="str">
            <v>México</v>
          </cell>
          <cell r="M548">
            <v>0</v>
          </cell>
          <cell r="N548" t="str">
            <v>26/02/2015</v>
          </cell>
        </row>
        <row r="549">
          <cell r="A549">
            <v>550</v>
          </cell>
          <cell r="B549" t="str">
            <v>LBQ Foundry, S.A. de C.V.</v>
          </cell>
          <cell r="C549" t="str">
            <v>LFO001002TH0</v>
          </cell>
          <cell r="D549" t="str">
            <v>Calle 2</v>
          </cell>
          <cell r="F549">
            <v>18</v>
          </cell>
          <cell r="G549" t="str">
            <v>Colonia Industrial Benito Juárez</v>
          </cell>
          <cell r="H549">
            <v>76120</v>
          </cell>
          <cell r="I549" t="str">
            <v>Querétaro</v>
          </cell>
          <cell r="J549" t="str">
            <v>Querétaro</v>
          </cell>
          <cell r="K549" t="str">
            <v>México</v>
          </cell>
          <cell r="L549" t="str">
            <v>.</v>
          </cell>
          <cell r="M549">
            <v>30</v>
          </cell>
        </row>
        <row r="550">
          <cell r="A550">
            <v>551</v>
          </cell>
          <cell r="B550" t="str">
            <v>Triada Diseño Gerencia y Construcción S.A. de C.V.</v>
          </cell>
          <cell r="C550" t="str">
            <v>TDG890317MT9</v>
          </cell>
          <cell r="D550" t="str">
            <v>Av. Revolución</v>
          </cell>
          <cell r="E550" t="str">
            <v>501-A</v>
          </cell>
          <cell r="F550">
            <v>374</v>
          </cell>
          <cell r="G550" t="str">
            <v>San Pedro de los Pinos</v>
          </cell>
          <cell r="H550">
            <v>3800</v>
          </cell>
          <cell r="I550" t="str">
            <v>Deleg. Benito Juárez</v>
          </cell>
          <cell r="J550" t="str">
            <v xml:space="preserve">Distrito Federal, </v>
          </cell>
          <cell r="K550" t="str">
            <v>México</v>
          </cell>
          <cell r="L550" t="str">
            <v>(55) 55169406</v>
          </cell>
          <cell r="M550">
            <v>0</v>
          </cell>
        </row>
        <row r="551">
          <cell r="A551">
            <v>552</v>
          </cell>
          <cell r="B551" t="str">
            <v>Maq de la Región Hidalguense, S.A. de C.V.</v>
          </cell>
          <cell r="C551" t="str">
            <v>MRH090615US0</v>
          </cell>
          <cell r="D551" t="str">
            <v>Carretera Querétaro -  San Luis Potosí</v>
          </cell>
          <cell r="E551" t="str">
            <v>Lote 1 - 3</v>
          </cell>
          <cell r="F551" t="str">
            <v>Parcela 573</v>
          </cell>
          <cell r="G551" t="str">
            <v>Santa Rosa Jauregui</v>
          </cell>
          <cell r="H551">
            <v>76220</v>
          </cell>
          <cell r="I551" t="str">
            <v>Querétaro</v>
          </cell>
          <cell r="J551" t="str">
            <v>Querétaro</v>
          </cell>
          <cell r="K551" t="str">
            <v>México</v>
          </cell>
          <cell r="L551" t="str">
            <v>.</v>
          </cell>
          <cell r="M551">
            <v>0</v>
          </cell>
        </row>
        <row r="552">
          <cell r="A552">
            <v>553</v>
          </cell>
          <cell r="B552" t="str">
            <v>SCHOTT de México, S.A. de C.V.</v>
          </cell>
          <cell r="C552" t="str">
            <v>FVM890712P83</v>
          </cell>
          <cell r="D552" t="str">
            <v>Carretera México - Veracruz Km. 349</v>
          </cell>
          <cell r="F552" t="str">
            <v>S/N</v>
          </cell>
          <cell r="G552" t="str">
            <v>Venta Parada</v>
          </cell>
          <cell r="H552">
            <v>94946</v>
          </cell>
          <cell r="I552" t="str">
            <v>Amatlan de los Reyes</v>
          </cell>
          <cell r="J552" t="str">
            <v xml:space="preserve">Veracruz, </v>
          </cell>
          <cell r="K552" t="str">
            <v>México</v>
          </cell>
          <cell r="L552" t="str">
            <v>(271) 7171347</v>
          </cell>
          <cell r="M552">
            <v>0</v>
          </cell>
          <cell r="N552" t="str">
            <v>09/01/2014</v>
          </cell>
        </row>
        <row r="553">
          <cell r="A553">
            <v>554</v>
          </cell>
          <cell r="B553" t="str">
            <v>Sisttemex, S.A. de C.V.</v>
          </cell>
          <cell r="C553" t="str">
            <v>SIS981209CY5</v>
          </cell>
          <cell r="D553" t="str">
            <v>Gobernador J. Gpe. Covarrubias</v>
          </cell>
          <cell r="E553" t="str">
            <v>PB</v>
          </cell>
          <cell r="F553">
            <v>22</v>
          </cell>
          <cell r="G553" t="str">
            <v>San Miguel Chapultepec</v>
          </cell>
          <cell r="H553">
            <v>11850</v>
          </cell>
          <cell r="I553" t="str">
            <v>Deleg. Miguel Hidalgo</v>
          </cell>
          <cell r="J553" t="str">
            <v xml:space="preserve">Distrito Federal, </v>
          </cell>
          <cell r="K553" t="str">
            <v>México</v>
          </cell>
          <cell r="L553" t="str">
            <v>.</v>
          </cell>
          <cell r="M553">
            <v>0</v>
          </cell>
        </row>
        <row r="554">
          <cell r="A554">
            <v>555</v>
          </cell>
          <cell r="B554" t="str">
            <v>Innovación Conectiva, S.A. de C.V.</v>
          </cell>
          <cell r="C554" t="str">
            <v>ICO070315RU7</v>
          </cell>
          <cell r="D554" t="str">
            <v>Pdte. Adolfo Lopez Mateos</v>
          </cell>
          <cell r="F554" t="str">
            <v>47C</v>
          </cell>
          <cell r="G554" t="str">
            <v>Las Americas</v>
          </cell>
          <cell r="H554">
            <v>76121</v>
          </cell>
          <cell r="I554" t="str">
            <v>Querétaro</v>
          </cell>
          <cell r="J554" t="str">
            <v>Querétaro</v>
          </cell>
          <cell r="K554" t="str">
            <v>México</v>
          </cell>
          <cell r="L554" t="str">
            <v>(442) 1989880</v>
          </cell>
          <cell r="M554">
            <v>0</v>
          </cell>
          <cell r="N554" t="str">
            <v>02/12/2013</v>
          </cell>
        </row>
        <row r="555">
          <cell r="A555">
            <v>556</v>
          </cell>
          <cell r="B555" t="str">
            <v>Remetec, S. de R.L. de C.V.</v>
          </cell>
          <cell r="C555" t="str">
            <v>REM1307036X0</v>
          </cell>
          <cell r="D555" t="str">
            <v>Av. Peñuelas</v>
          </cell>
          <cell r="E555" t="str">
            <v>D1</v>
          </cell>
          <cell r="F555">
            <v>21</v>
          </cell>
          <cell r="G555" t="str">
            <v>San Pedrito Peñuelas</v>
          </cell>
          <cell r="H555">
            <v>76148</v>
          </cell>
          <cell r="I555" t="str">
            <v>Querétaro</v>
          </cell>
          <cell r="J555" t="str">
            <v>Querétaro</v>
          </cell>
          <cell r="K555" t="str">
            <v>México</v>
          </cell>
          <cell r="M555">
            <v>30</v>
          </cell>
          <cell r="N555" t="str">
            <v>12/02/2015</v>
          </cell>
        </row>
        <row r="556">
          <cell r="A556">
            <v>557</v>
          </cell>
          <cell r="B556" t="str">
            <v>Rototex, S. de R.L. de C.V.</v>
          </cell>
          <cell r="C556" t="str">
            <v>ROT070620T86</v>
          </cell>
          <cell r="D556" t="str">
            <v>Río Grande</v>
          </cell>
          <cell r="F556">
            <v>128</v>
          </cell>
          <cell r="G556" t="str">
            <v>Arquitos</v>
          </cell>
          <cell r="H556">
            <v>76048</v>
          </cell>
          <cell r="I556" t="str">
            <v>Querétaro</v>
          </cell>
          <cell r="J556" t="str">
            <v>Querétaro</v>
          </cell>
          <cell r="K556" t="str">
            <v>México</v>
          </cell>
          <cell r="L556" t="str">
            <v>.</v>
          </cell>
          <cell r="M556">
            <v>0</v>
          </cell>
          <cell r="N556" t="str">
            <v>05/11/2013</v>
          </cell>
        </row>
        <row r="557">
          <cell r="A557">
            <v>558</v>
          </cell>
          <cell r="B557" t="str">
            <v>Víctor Antonio Chávez Uribe</v>
          </cell>
          <cell r="C557" t="str">
            <v>CAUV740918SRA</v>
          </cell>
          <cell r="D557" t="str">
            <v>Marqués de Saltillo</v>
          </cell>
          <cell r="F557">
            <v>159</v>
          </cell>
          <cell r="G557" t="str">
            <v>Lomas del Marqués</v>
          </cell>
          <cell r="H557">
            <v>76146</v>
          </cell>
          <cell r="I557" t="str">
            <v>Querétaro</v>
          </cell>
          <cell r="J557" t="str">
            <v>Querétaro</v>
          </cell>
          <cell r="K557" t="str">
            <v>México</v>
          </cell>
          <cell r="L557" t="str">
            <v>(442) 2455672</v>
          </cell>
          <cell r="M557">
            <v>0</v>
          </cell>
          <cell r="N557" t="str">
            <v>07/11/2013</v>
          </cell>
        </row>
        <row r="558">
          <cell r="A558">
            <v>559</v>
          </cell>
          <cell r="B558" t="str">
            <v>Excell Metrología, S.A. de C.V.</v>
          </cell>
          <cell r="C558" t="str">
            <v>EME0612153Q2</v>
          </cell>
          <cell r="D558" t="str">
            <v>Padre Mier</v>
          </cell>
          <cell r="F558">
            <v>306</v>
          </cell>
          <cell r="G558" t="str">
            <v>Fracc. Guadalupe Victoria</v>
          </cell>
          <cell r="H558">
            <v>66050</v>
          </cell>
          <cell r="I558" t="str">
            <v>Escobedo</v>
          </cell>
          <cell r="J558" t="str">
            <v xml:space="preserve">Nuevo León, </v>
          </cell>
          <cell r="K558" t="str">
            <v>México</v>
          </cell>
          <cell r="L558" t="str">
            <v>.</v>
          </cell>
          <cell r="M558">
            <v>0</v>
          </cell>
          <cell r="N558" t="str">
            <v>08/11/2013</v>
          </cell>
        </row>
        <row r="559">
          <cell r="A559">
            <v>560</v>
          </cell>
          <cell r="B559" t="str">
            <v>PC&amp;C México, S.A. de C.V.</v>
          </cell>
          <cell r="C559" t="str">
            <v>PAC120227QM9</v>
          </cell>
          <cell r="D559" t="str">
            <v>Acceso II, Calle 2</v>
          </cell>
          <cell r="F559">
            <v>19</v>
          </cell>
          <cell r="G559" t="str">
            <v>Zona Industrial Benito Juárez</v>
          </cell>
          <cell r="H559">
            <v>76120</v>
          </cell>
          <cell r="I559" t="str">
            <v>Querétaro</v>
          </cell>
          <cell r="J559" t="str">
            <v>Querétaro</v>
          </cell>
          <cell r="K559" t="str">
            <v>México</v>
          </cell>
          <cell r="L559" t="str">
            <v>(442) 3093200</v>
          </cell>
          <cell r="M559">
            <v>0</v>
          </cell>
          <cell r="N559" t="str">
            <v>16/12/2014</v>
          </cell>
        </row>
        <row r="560">
          <cell r="A560">
            <v>561</v>
          </cell>
          <cell r="B560" t="str">
            <v>Tridimensional Monterrey y Servicios, S. de R.L. de C.V.</v>
          </cell>
          <cell r="C560" t="str">
            <v>TMY130708KY2</v>
          </cell>
          <cell r="D560" t="str">
            <v>Cerrada de los Navegantes</v>
          </cell>
          <cell r="F560">
            <v>2964</v>
          </cell>
          <cell r="G560" t="str">
            <v>Las Cumbres 4to Sector</v>
          </cell>
          <cell r="H560">
            <v>64640</v>
          </cell>
          <cell r="I560" t="str">
            <v>Monterrey</v>
          </cell>
          <cell r="J560" t="str">
            <v xml:space="preserve">Nuevo León, </v>
          </cell>
          <cell r="K560" t="str">
            <v>México</v>
          </cell>
          <cell r="L560" t="str">
            <v>(81) 10950010</v>
          </cell>
          <cell r="M560">
            <v>0</v>
          </cell>
          <cell r="N560" t="str">
            <v>16/01/2015</v>
          </cell>
        </row>
        <row r="561">
          <cell r="A561">
            <v>562</v>
          </cell>
          <cell r="B561" t="str">
            <v>Industrial Cerwinka, S.A. de C.V.</v>
          </cell>
          <cell r="C561" t="str">
            <v>ICE111111MA6</v>
          </cell>
          <cell r="D561" t="str">
            <v>13 Poniente</v>
          </cell>
          <cell r="F561">
            <v>1324</v>
          </cell>
          <cell r="G561" t="str">
            <v>Santa María Xixitla</v>
          </cell>
          <cell r="H561">
            <v>72762</v>
          </cell>
          <cell r="I561" t="str">
            <v>Puebla</v>
          </cell>
          <cell r="J561" t="str">
            <v xml:space="preserve">San Pedro Cholula, </v>
          </cell>
          <cell r="K561" t="str">
            <v>México</v>
          </cell>
          <cell r="L561" t="str">
            <v>(222) 4092649</v>
          </cell>
          <cell r="M561">
            <v>0</v>
          </cell>
          <cell r="N561" t="str">
            <v>27/11/2013</v>
          </cell>
        </row>
        <row r="562">
          <cell r="A562">
            <v>563</v>
          </cell>
          <cell r="B562" t="str">
            <v>Manufacturera de Cigueñales de México, S.A. de C.V.</v>
          </cell>
          <cell r="C562" t="str">
            <v>MCM781122NV9</v>
          </cell>
          <cell r="D562" t="str">
            <v>Carr. La Marqueza a Tenango  Km. 38.5</v>
          </cell>
          <cell r="G562" t="str">
            <v>Tenango del Valle</v>
          </cell>
          <cell r="H562">
            <v>52300</v>
          </cell>
          <cell r="J562" t="str">
            <v xml:space="preserve">Estado de México, </v>
          </cell>
          <cell r="K562" t="str">
            <v>México</v>
          </cell>
          <cell r="L562" t="str">
            <v>.</v>
          </cell>
          <cell r="M562">
            <v>0</v>
          </cell>
          <cell r="N562" t="str">
            <v>24/02/2014</v>
          </cell>
        </row>
        <row r="563">
          <cell r="A563">
            <v>564</v>
          </cell>
          <cell r="B563" t="str">
            <v>Equipos y Manufacturas T/A, S.A. de C.V.</v>
          </cell>
          <cell r="C563" t="str">
            <v>EMT951204P99</v>
          </cell>
          <cell r="D563" t="str">
            <v>Av. Muñoz</v>
          </cell>
          <cell r="E563" t="str">
            <v>2</v>
          </cell>
          <cell r="F563">
            <v>497</v>
          </cell>
          <cell r="G563" t="str">
            <v>Tequisquiapán</v>
          </cell>
          <cell r="H563">
            <v>78250</v>
          </cell>
          <cell r="I563" t="str">
            <v>San Luis Potosí</v>
          </cell>
          <cell r="J563" t="str">
            <v xml:space="preserve">San Luis Potosí, </v>
          </cell>
          <cell r="K563" t="str">
            <v>México</v>
          </cell>
          <cell r="L563" t="str">
            <v>8245833</v>
          </cell>
          <cell r="M563">
            <v>0</v>
          </cell>
          <cell r="N563" t="str">
            <v>22/01/2015</v>
          </cell>
        </row>
        <row r="564">
          <cell r="A564">
            <v>565</v>
          </cell>
          <cell r="B564" t="str">
            <v>Consorcio Ingenieros de Guanajuato, S.A. de C.V.</v>
          </cell>
          <cell r="C564" t="str">
            <v>CIG940311FJ4</v>
          </cell>
          <cell r="D564" t="str">
            <v>Carr. Silao - Irapuato Km.3</v>
          </cell>
          <cell r="G564" t="str">
            <v>Ejido de Menores</v>
          </cell>
          <cell r="H564">
            <v>36100</v>
          </cell>
          <cell r="I564" t="str">
            <v>Silao</v>
          </cell>
          <cell r="J564" t="str">
            <v xml:space="preserve">Guanajuato, </v>
          </cell>
          <cell r="K564" t="str">
            <v>México</v>
          </cell>
          <cell r="L564" t="str">
            <v>(472) 7224719</v>
          </cell>
          <cell r="M564">
            <v>0</v>
          </cell>
          <cell r="N564" t="str">
            <v>02/12/2013</v>
          </cell>
        </row>
        <row r="565">
          <cell r="A565">
            <v>566</v>
          </cell>
          <cell r="B565" t="str">
            <v>Termoformados, S.A. de C.V.</v>
          </cell>
          <cell r="C565" t="str">
            <v>IET0701246J3</v>
          </cell>
          <cell r="D565" t="str">
            <v>Obrero</v>
          </cell>
          <cell r="F565">
            <v>14</v>
          </cell>
          <cell r="G565" t="str">
            <v>San Pablo</v>
          </cell>
          <cell r="H565">
            <v>76130</v>
          </cell>
          <cell r="I565" t="str">
            <v>Querétaro</v>
          </cell>
          <cell r="J565" t="str">
            <v>Querétaro</v>
          </cell>
          <cell r="K565" t="str">
            <v>México</v>
          </cell>
          <cell r="L565" t="str">
            <v>(442) 2179402</v>
          </cell>
          <cell r="M565">
            <v>0</v>
          </cell>
          <cell r="N565" t="str">
            <v>03/12/2013</v>
          </cell>
        </row>
        <row r="566">
          <cell r="A566">
            <v>567</v>
          </cell>
          <cell r="B566" t="str">
            <v>Instituto de Ecología, A.C.</v>
          </cell>
          <cell r="C566" t="str">
            <v>IEC7508071B2</v>
          </cell>
          <cell r="D566" t="str">
            <v>Carretera Antigua a Coatepec</v>
          </cell>
          <cell r="F566">
            <v>351</v>
          </cell>
          <cell r="G566" t="str">
            <v>El Haya</v>
          </cell>
          <cell r="H566">
            <v>91070</v>
          </cell>
          <cell r="I566" t="str">
            <v>Xalapa</v>
          </cell>
          <cell r="J566" t="str">
            <v xml:space="preserve">Veracruz, </v>
          </cell>
          <cell r="K566" t="str">
            <v>México</v>
          </cell>
          <cell r="L566" t="str">
            <v>.</v>
          </cell>
          <cell r="M566">
            <v>0</v>
          </cell>
          <cell r="N566" t="str">
            <v>04/12/2013</v>
          </cell>
        </row>
        <row r="567">
          <cell r="A567">
            <v>568</v>
          </cell>
          <cell r="B567" t="str">
            <v>INOVASYS, S.A. de C.V.</v>
          </cell>
          <cell r="C567" t="str">
            <v>INO010608H55</v>
          </cell>
          <cell r="D567" t="str">
            <v>Privada Avanzada</v>
          </cell>
          <cell r="F567" t="str">
            <v>120 Bis 80</v>
          </cell>
          <cell r="G567" t="str">
            <v>Ciudad Satélite</v>
          </cell>
          <cell r="H567">
            <v>78423</v>
          </cell>
          <cell r="I567" t="str">
            <v>San Luis Potosí</v>
          </cell>
          <cell r="J567" t="str">
            <v xml:space="preserve">San Luis Potosí, </v>
          </cell>
          <cell r="K567" t="str">
            <v>México</v>
          </cell>
          <cell r="L567" t="str">
            <v>.</v>
          </cell>
          <cell r="M567">
            <v>0</v>
          </cell>
          <cell r="N567" t="str">
            <v>09/12/2013</v>
          </cell>
        </row>
        <row r="568">
          <cell r="A568">
            <v>569</v>
          </cell>
          <cell r="B568" t="str">
            <v>FISCHER Mexicana, S.A. de C.V.</v>
          </cell>
          <cell r="C568" t="str">
            <v>FME9112185Z1</v>
          </cell>
          <cell r="D568" t="str">
            <v>Eje 124</v>
          </cell>
          <cell r="F568">
            <v>115</v>
          </cell>
          <cell r="G568" t="str">
            <v>Zona Industrial</v>
          </cell>
          <cell r="H568">
            <v>78395</v>
          </cell>
          <cell r="I568" t="str">
            <v>San Luis Potosí</v>
          </cell>
          <cell r="J568" t="str">
            <v xml:space="preserve">San Luis Potosí, </v>
          </cell>
          <cell r="K568" t="str">
            <v>México</v>
          </cell>
          <cell r="L568" t="str">
            <v>.</v>
          </cell>
          <cell r="M568">
            <v>0</v>
          </cell>
          <cell r="N568" t="str">
            <v>09/12/2013</v>
          </cell>
        </row>
        <row r="569">
          <cell r="A569">
            <v>570</v>
          </cell>
          <cell r="B569" t="str">
            <v>Tecnovamet, S.A. de C.V.</v>
          </cell>
          <cell r="C569" t="str">
            <v>TEC9903258T8</v>
          </cell>
          <cell r="D569" t="str">
            <v>Zapotecas</v>
          </cell>
          <cell r="F569">
            <v>663</v>
          </cell>
          <cell r="G569" t="str">
            <v>Ajusco</v>
          </cell>
          <cell r="H569">
            <v>4300</v>
          </cell>
          <cell r="I569" t="str">
            <v>Coyoacan</v>
          </cell>
          <cell r="J569" t="str">
            <v>CDMX</v>
          </cell>
          <cell r="K569" t="str">
            <v>México</v>
          </cell>
          <cell r="L569" t="str">
            <v>(55) 56183989</v>
          </cell>
          <cell r="M569">
            <v>0</v>
          </cell>
          <cell r="N569" t="str">
            <v>24/11/2014</v>
          </cell>
        </row>
        <row r="570">
          <cell r="A570">
            <v>571</v>
          </cell>
          <cell r="B570" t="str">
            <v>Surfamex, S.A. de C.V.</v>
          </cell>
          <cell r="C570" t="str">
            <v>SUR8805074S2</v>
          </cell>
          <cell r="D570" t="str">
            <v>Ave. San Miguel Allende</v>
          </cell>
          <cell r="F570" t="str">
            <v>S/N</v>
          </cell>
          <cell r="G570" t="str">
            <v>Cd. Industrial</v>
          </cell>
          <cell r="H570">
            <v>36541</v>
          </cell>
          <cell r="I570" t="str">
            <v>Irapuato</v>
          </cell>
          <cell r="J570" t="str">
            <v xml:space="preserve">Guanajuato, </v>
          </cell>
          <cell r="K570" t="str">
            <v>México</v>
          </cell>
          <cell r="L570" t="str">
            <v>(462) 6225345</v>
          </cell>
          <cell r="M570">
            <v>0</v>
          </cell>
          <cell r="N570" t="str">
            <v>16/12/2013</v>
          </cell>
        </row>
        <row r="571">
          <cell r="A571">
            <v>572</v>
          </cell>
          <cell r="B571" t="str">
            <v>Plafima Placa Fierro y Maquila, S.A. de C.V.</v>
          </cell>
          <cell r="C571" t="str">
            <v>PPF970110FR7</v>
          </cell>
          <cell r="D571" t="str">
            <v>Thomas Jefferson</v>
          </cell>
          <cell r="F571">
            <v>99</v>
          </cell>
          <cell r="G571" t="str">
            <v>Fracc. Ind. Carrillo Puerto</v>
          </cell>
          <cell r="H571">
            <v>76138</v>
          </cell>
          <cell r="I571" t="str">
            <v>Querétaro</v>
          </cell>
          <cell r="J571" t="str">
            <v>Querétaro</v>
          </cell>
          <cell r="K571" t="str">
            <v>México</v>
          </cell>
          <cell r="L571" t="str">
            <v>(442) 2173300</v>
          </cell>
          <cell r="M571">
            <v>0</v>
          </cell>
          <cell r="N571" t="str">
            <v>12/12/2013</v>
          </cell>
        </row>
        <row r="572">
          <cell r="A572">
            <v>573</v>
          </cell>
          <cell r="B572" t="str">
            <v>Validación y Metrología, S.A. de C.V.</v>
          </cell>
          <cell r="C572" t="str">
            <v>VME980209HJ0</v>
          </cell>
          <cell r="D572" t="str">
            <v>Av. Ejido San Francisco Culhuacán</v>
          </cell>
          <cell r="F572">
            <v>196</v>
          </cell>
          <cell r="G572" t="str">
            <v>Presidentes Ejidales</v>
          </cell>
          <cell r="H572">
            <v>4470</v>
          </cell>
          <cell r="J572" t="str">
            <v xml:space="preserve">Distrito Federal, </v>
          </cell>
          <cell r="K572" t="str">
            <v>México</v>
          </cell>
          <cell r="L572" t="str">
            <v>(55) 56568414</v>
          </cell>
          <cell r="M572">
            <v>0</v>
          </cell>
          <cell r="N572" t="str">
            <v>12/12/2013</v>
          </cell>
        </row>
        <row r="573">
          <cell r="A573">
            <v>574</v>
          </cell>
          <cell r="B573" t="str">
            <v>Aernnova Componentes México, S.A. de C.V.</v>
          </cell>
          <cell r="C573" t="str">
            <v>ACM0708165MA</v>
          </cell>
          <cell r="D573" t="str">
            <v>Av. Industria de la Transformación</v>
          </cell>
          <cell r="F573">
            <v>431</v>
          </cell>
          <cell r="G573" t="str">
            <v xml:space="preserve">Parque Industrial Querétaro </v>
          </cell>
          <cell r="H573">
            <v>76220</v>
          </cell>
          <cell r="I573" t="str">
            <v>Querétaro</v>
          </cell>
          <cell r="J573" t="str">
            <v>Querétaro</v>
          </cell>
          <cell r="K573" t="str">
            <v>México</v>
          </cell>
          <cell r="L573" t="str">
            <v>(442) 2272850 / 76</v>
          </cell>
          <cell r="M573">
            <v>45</v>
          </cell>
          <cell r="N573" t="str">
            <v>18/11/2014</v>
          </cell>
          <cell r="R573" t="str">
            <v>LILIANA RODRUIGEZ</v>
          </cell>
        </row>
        <row r="574">
          <cell r="A574">
            <v>575</v>
          </cell>
          <cell r="B574" t="str">
            <v>Euroquip, S.A. de C.V.</v>
          </cell>
          <cell r="C574" t="str">
            <v>EUR890525UF9</v>
          </cell>
          <cell r="D574" t="str">
            <v>Misión de Landa</v>
          </cell>
          <cell r="F574">
            <v>1</v>
          </cell>
          <cell r="G574" t="str">
            <v>Parque Industrial Bernardo Quintana</v>
          </cell>
          <cell r="H574">
            <v>76246</v>
          </cell>
          <cell r="I574" t="str">
            <v>El Marqués</v>
          </cell>
          <cell r="J574" t="str">
            <v xml:space="preserve">Querétaro, </v>
          </cell>
          <cell r="K574" t="str">
            <v>México</v>
          </cell>
          <cell r="L574" t="str">
            <v>.</v>
          </cell>
          <cell r="M574">
            <v>0</v>
          </cell>
          <cell r="N574" t="str">
            <v>16/01/2014</v>
          </cell>
        </row>
        <row r="575">
          <cell r="A575">
            <v>576</v>
          </cell>
          <cell r="B575" t="str">
            <v>Mexitrade y Servicios Empresariales, S.A. de C.V.</v>
          </cell>
          <cell r="C575" t="str">
            <v>MSE090529NB9</v>
          </cell>
          <cell r="D575" t="str">
            <v>República de Haití</v>
          </cell>
          <cell r="E575" t="str">
            <v>Local A</v>
          </cell>
          <cell r="F575">
            <v>106</v>
          </cell>
          <cell r="G575" t="str">
            <v>Américas</v>
          </cell>
          <cell r="H575">
            <v>50130</v>
          </cell>
          <cell r="I575" t="str">
            <v>Toluca</v>
          </cell>
          <cell r="J575" t="str">
            <v xml:space="preserve">Estado de México, </v>
          </cell>
          <cell r="K575" t="str">
            <v>México</v>
          </cell>
          <cell r="L575" t="str">
            <v>(722) 6244704</v>
          </cell>
          <cell r="M575">
            <v>0</v>
          </cell>
          <cell r="N575" t="str">
            <v>17/12/2013</v>
          </cell>
        </row>
        <row r="576">
          <cell r="A576">
            <v>577</v>
          </cell>
          <cell r="B576" t="str">
            <v>Productos Eléctricos Roca, S.A. de C.V.</v>
          </cell>
          <cell r="C576" t="str">
            <v>PER080218K67</v>
          </cell>
          <cell r="D576" t="str">
            <v>Calle 34</v>
          </cell>
          <cell r="F576">
            <v>2691</v>
          </cell>
          <cell r="G576" t="str">
            <v>Zona Industrial</v>
          </cell>
          <cell r="H576">
            <v>44950</v>
          </cell>
          <cell r="I576" t="str">
            <v>Guadalajara</v>
          </cell>
          <cell r="J576" t="str">
            <v xml:space="preserve">Jalisco, </v>
          </cell>
          <cell r="K576" t="str">
            <v>México</v>
          </cell>
          <cell r="L576" t="str">
            <v>.</v>
          </cell>
          <cell r="M576">
            <v>0</v>
          </cell>
          <cell r="N576" t="str">
            <v>18/12/2013</v>
          </cell>
        </row>
        <row r="577">
          <cell r="A577">
            <v>578</v>
          </cell>
          <cell r="B577" t="str">
            <v>Alstom Mexicana, S.A. de C.V.</v>
          </cell>
          <cell r="C577" t="str">
            <v>AME800717ME8</v>
          </cell>
          <cell r="D577" t="str">
            <v>Montes Urales</v>
          </cell>
          <cell r="F577">
            <v>727</v>
          </cell>
          <cell r="G577" t="str">
            <v>Lomas de Chapultepec</v>
          </cell>
          <cell r="H577">
            <v>11000</v>
          </cell>
          <cell r="J577" t="str">
            <v>Distrito Federal,</v>
          </cell>
          <cell r="K577" t="str">
            <v>México</v>
          </cell>
          <cell r="M577">
            <v>30</v>
          </cell>
          <cell r="N577" t="str">
            <v>12/02/2015</v>
          </cell>
        </row>
        <row r="578">
          <cell r="A578">
            <v>579</v>
          </cell>
          <cell r="B578" t="str">
            <v>TECT Aerospace Components, S. de R.L. de C.V.</v>
          </cell>
          <cell r="C578" t="str">
            <v>TAC101022464</v>
          </cell>
          <cell r="D578" t="str">
            <v>Carretera Libramiento Norte Querétaro Léon, Km.4.6, Lote 3</v>
          </cell>
          <cell r="G578" t="str">
            <v>Malvas Parque Industrial Apolo</v>
          </cell>
          <cell r="H578">
            <v>36547</v>
          </cell>
          <cell r="I578" t="str">
            <v>Irapuato</v>
          </cell>
          <cell r="J578" t="str">
            <v xml:space="preserve">Guanajuato, </v>
          </cell>
          <cell r="K578" t="str">
            <v>México</v>
          </cell>
          <cell r="L578" t="str">
            <v>.</v>
          </cell>
          <cell r="M578">
            <v>30</v>
          </cell>
          <cell r="N578" t="str">
            <v>10/04/2014</v>
          </cell>
        </row>
        <row r="579">
          <cell r="A579">
            <v>580</v>
          </cell>
          <cell r="B579" t="str">
            <v>Megatropa, S.C. de R.L. de C.V.</v>
          </cell>
          <cell r="C579" t="str">
            <v>MEG061128KL1</v>
          </cell>
          <cell r="D579" t="str">
            <v>Gasoducto</v>
          </cell>
          <cell r="F579">
            <v>98</v>
          </cell>
          <cell r="G579" t="str">
            <v>Felipe Carrillo Puerto</v>
          </cell>
          <cell r="H579">
            <v>76138</v>
          </cell>
          <cell r="I579" t="str">
            <v>Queretaro</v>
          </cell>
          <cell r="J579" t="str">
            <v xml:space="preserve">Queretaro, </v>
          </cell>
          <cell r="K579" t="str">
            <v>México</v>
          </cell>
          <cell r="L579" t="str">
            <v>.</v>
          </cell>
          <cell r="M579">
            <v>0</v>
          </cell>
          <cell r="N579" t="str">
            <v>24/03/2014</v>
          </cell>
        </row>
        <row r="580">
          <cell r="A580">
            <v>581</v>
          </cell>
          <cell r="B580" t="str">
            <v>IDEA del Bajío, S.A. de C.V.</v>
          </cell>
          <cell r="C580" t="str">
            <v>BA091020ER6</v>
          </cell>
          <cell r="D580" t="str">
            <v>Parque del Bajío</v>
          </cell>
          <cell r="F580">
            <v>218</v>
          </cell>
          <cell r="G580" t="str">
            <v>Residencial del Parque</v>
          </cell>
          <cell r="H580">
            <v>38010</v>
          </cell>
          <cell r="I580" t="str">
            <v>Celaya</v>
          </cell>
          <cell r="J580" t="str">
            <v xml:space="preserve">Guanajuato, </v>
          </cell>
          <cell r="K580" t="str">
            <v>México</v>
          </cell>
          <cell r="L580" t="str">
            <v>.</v>
          </cell>
          <cell r="M580">
            <v>0</v>
          </cell>
          <cell r="N580" t="str">
            <v>20/12/2013</v>
          </cell>
        </row>
        <row r="581">
          <cell r="A581">
            <v>582</v>
          </cell>
          <cell r="B581" t="str">
            <v>Metálicos al Punto, S.A. de C.V.</v>
          </cell>
          <cell r="C581" t="str">
            <v>MAL121001PY5</v>
          </cell>
          <cell r="D581" t="str">
            <v>Carretera México - Tequisquiapan Km. 3,1</v>
          </cell>
          <cell r="G581" t="str">
            <v>Zona Industrial Valle de Oro</v>
          </cell>
          <cell r="H581">
            <v>76802</v>
          </cell>
          <cell r="I581" t="str">
            <v>San Juan del Río</v>
          </cell>
          <cell r="J581" t="str">
            <v xml:space="preserve">Querétaro, </v>
          </cell>
          <cell r="K581" t="str">
            <v>México</v>
          </cell>
          <cell r="L581" t="str">
            <v>.</v>
          </cell>
          <cell r="M581">
            <v>0</v>
          </cell>
          <cell r="N581" t="str">
            <v>15/01/2014</v>
          </cell>
        </row>
        <row r="582">
          <cell r="A582">
            <v>583</v>
          </cell>
          <cell r="B582" t="str">
            <v>HC Querétaro, S.A. de C.V.</v>
          </cell>
          <cell r="C582" t="str">
            <v>HQU940503293</v>
          </cell>
          <cell r="D582" t="str">
            <v>Circuito el Marqués Norte</v>
          </cell>
          <cell r="F582">
            <v>76</v>
          </cell>
          <cell r="G582" t="str">
            <v>Parque Industrial El Marqués</v>
          </cell>
          <cell r="H582">
            <v>76246</v>
          </cell>
          <cell r="I582" t="str">
            <v>El Marqués</v>
          </cell>
          <cell r="J582" t="str">
            <v xml:space="preserve">Querétaro, </v>
          </cell>
          <cell r="K582" t="str">
            <v>México</v>
          </cell>
          <cell r="L582" t="str">
            <v>.</v>
          </cell>
          <cell r="M582">
            <v>30</v>
          </cell>
          <cell r="N582" t="str">
            <v>08/01/2014</v>
          </cell>
        </row>
        <row r="583">
          <cell r="A583">
            <v>584</v>
          </cell>
          <cell r="B583" t="str">
            <v>Aplicaciones Industriales de Calidad, S.A. de C.V.</v>
          </cell>
          <cell r="C583" t="str">
            <v>AIC850417MM1</v>
          </cell>
          <cell r="D583" t="str">
            <v>Av. San Rafael</v>
          </cell>
          <cell r="F583">
            <v>9</v>
          </cell>
          <cell r="G583" t="str">
            <v>Parque Industrial Lerma</v>
          </cell>
          <cell r="H583">
            <v>52000</v>
          </cell>
          <cell r="I583" t="str">
            <v>Lerma</v>
          </cell>
          <cell r="J583" t="str">
            <v>Estado de México,</v>
          </cell>
          <cell r="K583" t="str">
            <v>México</v>
          </cell>
          <cell r="L583" t="str">
            <v>(728) 2850540</v>
          </cell>
          <cell r="M583">
            <v>0</v>
          </cell>
          <cell r="N583" t="str">
            <v>18/12/2014</v>
          </cell>
        </row>
        <row r="584">
          <cell r="A584">
            <v>585</v>
          </cell>
          <cell r="B584" t="str">
            <v>Asial Alfer Motors, S.A. de C.V.</v>
          </cell>
          <cell r="C584" t="str">
            <v>AAM070717M56</v>
          </cell>
          <cell r="D584" t="str">
            <v>Blvd. Macario Gaxiola</v>
          </cell>
          <cell r="F584" t="str">
            <v>755 Nte.</v>
          </cell>
          <cell r="G584" t="str">
            <v>Fracc. El Parque</v>
          </cell>
          <cell r="H584">
            <v>81259</v>
          </cell>
          <cell r="I584" t="str">
            <v>Los Mochis</v>
          </cell>
          <cell r="J584" t="str">
            <v>Sinaloa,</v>
          </cell>
          <cell r="K584" t="str">
            <v>México</v>
          </cell>
          <cell r="L584" t="str">
            <v>.</v>
          </cell>
          <cell r="M584">
            <v>0</v>
          </cell>
          <cell r="N584" t="str">
            <v>15/01/2014</v>
          </cell>
        </row>
        <row r="585">
          <cell r="A585">
            <v>586</v>
          </cell>
          <cell r="B585" t="str">
            <v>Procesos Controlados, S.A. de C.V.</v>
          </cell>
          <cell r="C585" t="str">
            <v>PCO930830JT3</v>
          </cell>
          <cell r="D585" t="str">
            <v>21 de Agosto</v>
          </cell>
          <cell r="F585">
            <v>10</v>
          </cell>
          <cell r="G585" t="str">
            <v>San José el Alto</v>
          </cell>
          <cell r="H585">
            <v>76147</v>
          </cell>
          <cell r="I585" t="str">
            <v>Querétaro</v>
          </cell>
          <cell r="J585" t="str">
            <v>Querétaro</v>
          </cell>
          <cell r="K585" t="str">
            <v>México</v>
          </cell>
          <cell r="L585" t="str">
            <v>.</v>
          </cell>
          <cell r="M585">
            <v>0</v>
          </cell>
          <cell r="N585" t="str">
            <v>16/01/2014</v>
          </cell>
        </row>
        <row r="586">
          <cell r="A586">
            <v>587</v>
          </cell>
          <cell r="B586" t="str">
            <v>KI México S. de R.L.de C.V.</v>
          </cell>
          <cell r="C586" t="str">
            <v>IKM981217SD5</v>
          </cell>
          <cell r="D586" t="str">
            <v>Acceso II</v>
          </cell>
          <cell r="F586">
            <v>32</v>
          </cell>
          <cell r="G586" t="str">
            <v>Zona Industrial Benito Juárez</v>
          </cell>
          <cell r="H586">
            <v>76120</v>
          </cell>
          <cell r="I586" t="str">
            <v>Querétaro</v>
          </cell>
          <cell r="J586" t="str">
            <v>Querétaro</v>
          </cell>
          <cell r="K586" t="str">
            <v>México</v>
          </cell>
          <cell r="L586" t="str">
            <v>.</v>
          </cell>
          <cell r="M586">
            <v>30</v>
          </cell>
          <cell r="N586" t="str">
            <v>27/10/2014</v>
          </cell>
        </row>
        <row r="587">
          <cell r="A587">
            <v>588</v>
          </cell>
          <cell r="B587" t="str">
            <v>Qualos Servicio y Asesoría, S.C.</v>
          </cell>
          <cell r="C587" t="str">
            <v>QSA080627PT7</v>
          </cell>
          <cell r="D587" t="str">
            <v>Pedro Figueroa</v>
          </cell>
          <cell r="F587">
            <v>907</v>
          </cell>
          <cell r="G587" t="str">
            <v>Real de Peña</v>
          </cell>
          <cell r="H587">
            <v>25256</v>
          </cell>
          <cell r="I587" t="str">
            <v>Querétaro</v>
          </cell>
          <cell r="J587" t="str">
            <v>Querétaro</v>
          </cell>
          <cell r="K587" t="str">
            <v>México</v>
          </cell>
          <cell r="L587" t="str">
            <v>.</v>
          </cell>
          <cell r="M587">
            <v>0</v>
          </cell>
          <cell r="N587" t="str">
            <v>01/04/2014</v>
          </cell>
        </row>
        <row r="588">
          <cell r="A588">
            <v>589</v>
          </cell>
          <cell r="B588" t="str">
            <v>PLACOSA, S.A. de C.V.</v>
          </cell>
          <cell r="C588" t="str">
            <v>PLA750623DFA</v>
          </cell>
          <cell r="D588" t="str">
            <v>Calle 56 Sur</v>
          </cell>
          <cell r="F588">
            <v>11</v>
          </cell>
          <cell r="G588" t="str">
            <v>Civac</v>
          </cell>
          <cell r="H588">
            <v>62578</v>
          </cell>
          <cell r="I588" t="str">
            <v>Jiutepec</v>
          </cell>
          <cell r="J588" t="str">
            <v xml:space="preserve">Morelos, </v>
          </cell>
          <cell r="K588" t="str">
            <v>México</v>
          </cell>
          <cell r="L588" t="str">
            <v>(73) 193477</v>
          </cell>
          <cell r="M588">
            <v>0</v>
          </cell>
          <cell r="N588" t="str">
            <v>08/05/2015</v>
          </cell>
        </row>
        <row r="589">
          <cell r="A589">
            <v>590</v>
          </cell>
          <cell r="B589" t="str">
            <v>Técnicos en Manufactura, S.C.</v>
          </cell>
          <cell r="C589" t="str">
            <v>TMA001027FG4</v>
          </cell>
          <cell r="D589" t="str">
            <v>Juan Sánchez Azcona</v>
          </cell>
          <cell r="E589" t="str">
            <v>Piso 5-A</v>
          </cell>
          <cell r="F589">
            <v>403</v>
          </cell>
          <cell r="G589" t="str">
            <v>Narvarte</v>
          </cell>
          <cell r="H589">
            <v>3020</v>
          </cell>
          <cell r="I589" t="str">
            <v>Deleg. Benito Juárez</v>
          </cell>
          <cell r="J589" t="str">
            <v>Distrito Federal,</v>
          </cell>
          <cell r="K589" t="str">
            <v>México</v>
          </cell>
          <cell r="L589" t="str">
            <v>(55) 56380478</v>
          </cell>
          <cell r="M589">
            <v>0</v>
          </cell>
          <cell r="N589" t="str">
            <v>22/01/2014</v>
          </cell>
        </row>
        <row r="590">
          <cell r="A590">
            <v>591</v>
          </cell>
          <cell r="B590" t="str">
            <v>Técnicos en la Alta Producción, S.A. de C.V.</v>
          </cell>
          <cell r="C590" t="str">
            <v>TAP740821MJ2</v>
          </cell>
          <cell r="D590" t="str">
            <v>Avenida Central 21</v>
          </cell>
          <cell r="F590" t="str">
            <v>Lote 5 Manzana</v>
          </cell>
          <cell r="G590" t="str">
            <v>Parque Industrial Tepeji</v>
          </cell>
          <cell r="H590">
            <v>42884</v>
          </cell>
          <cell r="I590" t="str">
            <v>Tepeji del Río de Ocampo</v>
          </cell>
          <cell r="J590" t="str">
            <v>Hidalgo,</v>
          </cell>
          <cell r="K590" t="str">
            <v>México</v>
          </cell>
          <cell r="L590" t="str">
            <v>.</v>
          </cell>
          <cell r="M590">
            <v>0</v>
          </cell>
          <cell r="N590" t="str">
            <v>27/01/2014</v>
          </cell>
        </row>
        <row r="591">
          <cell r="A591">
            <v>592</v>
          </cell>
          <cell r="B591" t="str">
            <v>Soldadoras Industriales Infra, S.A. de C.V.</v>
          </cell>
          <cell r="C591" t="str">
            <v>SII980525GQ4</v>
          </cell>
          <cell r="D591" t="str">
            <v>Calle Plasticos</v>
          </cell>
          <cell r="F591">
            <v>17</v>
          </cell>
          <cell r="G591" t="str">
            <v>San Francisco Cuautlalpan</v>
          </cell>
          <cell r="H591">
            <v>53569</v>
          </cell>
          <cell r="I591" t="str">
            <v>Naucalpan de Juárez</v>
          </cell>
          <cell r="J591" t="str">
            <v xml:space="preserve">Estado de México, </v>
          </cell>
          <cell r="K591" t="str">
            <v>México</v>
          </cell>
          <cell r="M591">
            <v>0</v>
          </cell>
          <cell r="N591" t="str">
            <v>06/04/2015</v>
          </cell>
        </row>
        <row r="592">
          <cell r="A592">
            <v>593</v>
          </cell>
          <cell r="B592" t="str">
            <v>Lumen Comercializadora, S.A. de C.V.</v>
          </cell>
          <cell r="C592" t="str">
            <v>ICO050607JV2</v>
          </cell>
          <cell r="D592" t="str">
            <v>Sierra de Bucareli</v>
          </cell>
          <cell r="F592">
            <v>303</v>
          </cell>
          <cell r="G592" t="str">
            <v>Villas del Sol</v>
          </cell>
          <cell r="H592">
            <v>76046</v>
          </cell>
          <cell r="I592" t="str">
            <v>Querétaro</v>
          </cell>
          <cell r="J592" t="str">
            <v>Querétaro</v>
          </cell>
          <cell r="K592" t="str">
            <v>México</v>
          </cell>
          <cell r="L592" t="str">
            <v>.</v>
          </cell>
          <cell r="M592">
            <v>0</v>
          </cell>
          <cell r="N592" t="str">
            <v>28/01/2014</v>
          </cell>
        </row>
        <row r="593">
          <cell r="A593">
            <v>594</v>
          </cell>
          <cell r="B593" t="str">
            <v>Hitachi Chemical México, S.A. de C.V.</v>
          </cell>
          <cell r="C593" t="str">
            <v>HCM080710HQ1</v>
          </cell>
          <cell r="D593" t="str">
            <v>Ave. Encino</v>
          </cell>
          <cell r="F593">
            <v>1020</v>
          </cell>
          <cell r="G593" t="str">
            <v>Montemorelos Industrial Park</v>
          </cell>
          <cell r="H593">
            <v>67500</v>
          </cell>
          <cell r="I593" t="str">
            <v>Montemorelos</v>
          </cell>
          <cell r="J593" t="str">
            <v>Nuevo León,</v>
          </cell>
          <cell r="K593" t="str">
            <v>México</v>
          </cell>
          <cell r="L593" t="str">
            <v>.</v>
          </cell>
          <cell r="M593">
            <v>0</v>
          </cell>
          <cell r="N593" t="str">
            <v>29/01/2014</v>
          </cell>
        </row>
        <row r="594">
          <cell r="A594">
            <v>595</v>
          </cell>
          <cell r="B594" t="str">
            <v>Autotransportes el Bisonte, S.A. de C.V.</v>
          </cell>
          <cell r="C594" t="str">
            <v>ABI930927HI2</v>
          </cell>
          <cell r="D594" t="str">
            <v>Privada del Eje 128</v>
          </cell>
          <cell r="F594" t="str">
            <v>S/N</v>
          </cell>
          <cell r="G594" t="str">
            <v>Zona Industrial</v>
          </cell>
          <cell r="H594">
            <v>78395</v>
          </cell>
          <cell r="I594" t="str">
            <v>San Luis Potosí</v>
          </cell>
          <cell r="J594" t="str">
            <v xml:space="preserve">San Luis Potosí, </v>
          </cell>
          <cell r="K594" t="str">
            <v>México</v>
          </cell>
          <cell r="M594">
            <v>0</v>
          </cell>
          <cell r="N594" t="str">
            <v>28/01/2015</v>
          </cell>
        </row>
        <row r="595">
          <cell r="A595">
            <v>596</v>
          </cell>
          <cell r="B595" t="str">
            <v>Skyworks Solutions de México, S. de R.L. de C.V.</v>
          </cell>
          <cell r="C595" t="str">
            <v>SSM060616J7A</v>
          </cell>
          <cell r="D595" t="str">
            <v>Calzada Gomez Morin</v>
          </cell>
          <cell r="F595">
            <v>1690</v>
          </cell>
          <cell r="G595" t="str">
            <v>Rivera</v>
          </cell>
          <cell r="H595">
            <v>21259</v>
          </cell>
          <cell r="I595" t="str">
            <v>Mexicali</v>
          </cell>
          <cell r="J595" t="str">
            <v xml:space="preserve">Baja California, </v>
          </cell>
          <cell r="K595" t="str">
            <v>México</v>
          </cell>
          <cell r="L595" t="str">
            <v>(686) 5642100</v>
          </cell>
          <cell r="M595">
            <v>0</v>
          </cell>
          <cell r="N595" t="str">
            <v>25/02/2014</v>
          </cell>
        </row>
        <row r="596">
          <cell r="A596">
            <v>597</v>
          </cell>
          <cell r="B596" t="str">
            <v>Magna Powertrain de México, S.A. de C.V.</v>
          </cell>
          <cell r="C596" t="str">
            <v>MPM0606059TA</v>
          </cell>
          <cell r="D596" t="str">
            <v>104 Calle Uno</v>
          </cell>
          <cell r="E596" t="str">
            <v>-</v>
          </cell>
          <cell r="F596" t="str">
            <v>-</v>
          </cell>
          <cell r="G596" t="str">
            <v>Parque Industrial Santa María</v>
          </cell>
          <cell r="H596">
            <v>25903</v>
          </cell>
          <cell r="I596" t="str">
            <v>Ramos Arizpe</v>
          </cell>
          <cell r="J596" t="str">
            <v>Coahuila</v>
          </cell>
          <cell r="K596" t="str">
            <v>México</v>
          </cell>
          <cell r="M596">
            <v>0</v>
          </cell>
          <cell r="N596" t="str">
            <v>23/01/2015</v>
          </cell>
        </row>
        <row r="597">
          <cell r="A597">
            <v>598</v>
          </cell>
          <cell r="B597" t="str">
            <v>TZINAPU, S.A. de C.V.</v>
          </cell>
          <cell r="C597" t="str">
            <v>TZI061020BC1</v>
          </cell>
          <cell r="D597" t="str">
            <v>Calle Acceso III</v>
          </cell>
          <cell r="E597" t="str">
            <v>7</v>
          </cell>
          <cell r="F597">
            <v>14</v>
          </cell>
          <cell r="G597" t="str">
            <v>Zona Industrial Benito Juárez</v>
          </cell>
          <cell r="H597">
            <v>76127</v>
          </cell>
          <cell r="I597" t="str">
            <v>Querétaro</v>
          </cell>
          <cell r="J597" t="str">
            <v>Querétaro</v>
          </cell>
          <cell r="K597" t="str">
            <v>México</v>
          </cell>
          <cell r="L597" t="str">
            <v>.</v>
          </cell>
          <cell r="M597">
            <v>30</v>
          </cell>
          <cell r="N597" t="str">
            <v>10/03/2014</v>
          </cell>
        </row>
        <row r="598">
          <cell r="A598">
            <v>599</v>
          </cell>
          <cell r="B598" t="str">
            <v>Arneses y Plásticos, S.A. de C.V.</v>
          </cell>
          <cell r="C598" t="str">
            <v>APL1006104A9</v>
          </cell>
          <cell r="D598" t="str">
            <v>Calle Pirineos</v>
          </cell>
          <cell r="F598">
            <v>515</v>
          </cell>
          <cell r="G598" t="str">
            <v>Zona Industrial Benito Juárez</v>
          </cell>
          <cell r="H598">
            <v>76120</v>
          </cell>
          <cell r="I598" t="str">
            <v>Querétaro</v>
          </cell>
          <cell r="J598" t="str">
            <v>Querétaro</v>
          </cell>
          <cell r="K598" t="str">
            <v>México</v>
          </cell>
          <cell r="M598">
            <v>0</v>
          </cell>
          <cell r="N598" t="str">
            <v>26/01/2015</v>
          </cell>
        </row>
        <row r="599">
          <cell r="A599">
            <v>600</v>
          </cell>
          <cell r="B599" t="str">
            <v>Mantenimiento y Máquinas Especiales, S.A. de C.V.</v>
          </cell>
          <cell r="C599" t="str">
            <v>MME110610NC9</v>
          </cell>
          <cell r="D599" t="str">
            <v>Carretera Libre Federal Panamericana Km. 280</v>
          </cell>
          <cell r="F599">
            <v>1131</v>
          </cell>
          <cell r="G599" t="str">
            <v>Ciudad Industrial</v>
          </cell>
          <cell r="H599">
            <v>38010</v>
          </cell>
          <cell r="I599" t="str">
            <v>Celaya</v>
          </cell>
          <cell r="J599" t="str">
            <v xml:space="preserve">Guanajuato, </v>
          </cell>
          <cell r="K599" t="str">
            <v>México</v>
          </cell>
          <cell r="L599" t="str">
            <v>.</v>
          </cell>
          <cell r="M599">
            <v>30</v>
          </cell>
          <cell r="N599" t="str">
            <v>01/10/2014</v>
          </cell>
        </row>
        <row r="600">
          <cell r="A600">
            <v>601</v>
          </cell>
          <cell r="B600" t="str">
            <v>BYPASA, S.A. de C.V.</v>
          </cell>
          <cell r="C600" t="str">
            <v>BYP860401HH5</v>
          </cell>
          <cell r="D600" t="str">
            <v>Oriente Seis</v>
          </cell>
          <cell r="F600">
            <v>6</v>
          </cell>
          <cell r="G600" t="str">
            <v>Nuevo Parque Industrial</v>
          </cell>
          <cell r="H600">
            <v>76809</v>
          </cell>
          <cell r="I600" t="str">
            <v>San Juan del Río</v>
          </cell>
          <cell r="J600" t="str">
            <v xml:space="preserve">Querétaro, </v>
          </cell>
          <cell r="K600" t="str">
            <v>México</v>
          </cell>
          <cell r="L600" t="str">
            <v>.</v>
          </cell>
          <cell r="M600">
            <v>0</v>
          </cell>
          <cell r="N600" t="str">
            <v>12/02/2014</v>
          </cell>
        </row>
        <row r="601">
          <cell r="A601">
            <v>602</v>
          </cell>
          <cell r="B601" t="str">
            <v>Manómetros de Proceso, S.A. de C.V.</v>
          </cell>
          <cell r="C601" t="str">
            <v>MPR010827CX9</v>
          </cell>
          <cell r="D601" t="str">
            <v>La Lomita</v>
          </cell>
          <cell r="F601" t="str">
            <v>Lt.5</v>
          </cell>
          <cell r="G601" t="str">
            <v>Bellavista</v>
          </cell>
          <cell r="H601">
            <v>54710</v>
          </cell>
          <cell r="I601" t="str">
            <v>Cuautitlán Izcalli</v>
          </cell>
          <cell r="J601" t="str">
            <v xml:space="preserve">Estado de México, </v>
          </cell>
          <cell r="K601" t="str">
            <v>México</v>
          </cell>
          <cell r="L601" t="str">
            <v>.</v>
          </cell>
          <cell r="M601">
            <v>0</v>
          </cell>
          <cell r="N601" t="str">
            <v>20/02/2014</v>
          </cell>
        </row>
        <row r="602">
          <cell r="A602">
            <v>603</v>
          </cell>
          <cell r="B602" t="str">
            <v>Daido Metal México, S.A. de C.V.</v>
          </cell>
          <cell r="C602" t="str">
            <v>DMM120201G43</v>
          </cell>
          <cell r="D602" t="str">
            <v>Carretera San Isidro Mazatepec</v>
          </cell>
          <cell r="F602" t="str">
            <v>Tlajomulco de Z</v>
          </cell>
          <cell r="G602" t="str">
            <v>Santa Cruz de las Flores</v>
          </cell>
          <cell r="H602">
            <v>45640</v>
          </cell>
          <cell r="I602" t="str">
            <v>Tlajomulco de Zuñiga</v>
          </cell>
          <cell r="J602" t="str">
            <v xml:space="preserve">Jalisco, </v>
          </cell>
          <cell r="K602" t="str">
            <v>México</v>
          </cell>
          <cell r="L602" t="str">
            <v>.</v>
          </cell>
          <cell r="M602">
            <v>0</v>
          </cell>
          <cell r="N602" t="str">
            <v>27/05/2014</v>
          </cell>
        </row>
        <row r="603">
          <cell r="A603">
            <v>604</v>
          </cell>
          <cell r="B603" t="str">
            <v>Alumoclad de Mexico, S.A. de C.V.</v>
          </cell>
          <cell r="C603" t="str">
            <v>AME9006253R4</v>
          </cell>
          <cell r="D603" t="str">
            <v>Calle Acceso III</v>
          </cell>
          <cell r="E603" t="str">
            <v>C</v>
          </cell>
          <cell r="F603">
            <v>1</v>
          </cell>
          <cell r="G603" t="str">
            <v>Fracc. Industrial Benito Juárez</v>
          </cell>
          <cell r="H603">
            <v>76130</v>
          </cell>
          <cell r="I603" t="str">
            <v>Querétaro</v>
          </cell>
          <cell r="J603" t="str">
            <v>Querétaro</v>
          </cell>
          <cell r="K603" t="str">
            <v>México</v>
          </cell>
          <cell r="L603" t="str">
            <v>(442) 2173061/ 2172143</v>
          </cell>
          <cell r="M603">
            <v>0</v>
          </cell>
          <cell r="N603" t="str">
            <v>27/02/2015</v>
          </cell>
        </row>
        <row r="604">
          <cell r="A604">
            <v>605</v>
          </cell>
          <cell r="B604" t="str">
            <v>Metrology &amp; Consultant, S.A. de C.V.</v>
          </cell>
          <cell r="C604" t="str">
            <v>MAC0910088NA</v>
          </cell>
          <cell r="D604" t="str">
            <v>Palma</v>
          </cell>
          <cell r="F604">
            <v>334</v>
          </cell>
          <cell r="G604" t="str">
            <v>Los Girasoles 4to. Sector</v>
          </cell>
          <cell r="H604">
            <v>66050</v>
          </cell>
          <cell r="I604" t="str">
            <v>General Escobedo</v>
          </cell>
          <cell r="J604" t="str">
            <v xml:space="preserve">Nuevo León, </v>
          </cell>
          <cell r="K604" t="str">
            <v>México</v>
          </cell>
          <cell r="L604" t="str">
            <v>.</v>
          </cell>
          <cell r="M604">
            <v>0</v>
          </cell>
          <cell r="N604" t="str">
            <v>05/03/2014</v>
          </cell>
        </row>
        <row r="605">
          <cell r="A605">
            <v>606</v>
          </cell>
          <cell r="B605" t="str">
            <v>Leticia Espino Salinas</v>
          </cell>
          <cell r="C605" t="str">
            <v>EISL8404079J7</v>
          </cell>
          <cell r="D605" t="str">
            <v>Belizario Domínguez</v>
          </cell>
          <cell r="G605" t="str">
            <v>San Pedro Mártir Comevi</v>
          </cell>
          <cell r="H605">
            <v>76200</v>
          </cell>
          <cell r="I605" t="str">
            <v>Querétaro</v>
          </cell>
          <cell r="J605" t="str">
            <v>Querétaro</v>
          </cell>
          <cell r="K605" t="str">
            <v>México</v>
          </cell>
          <cell r="L605" t="str">
            <v>.</v>
          </cell>
          <cell r="M605">
            <v>0</v>
          </cell>
          <cell r="N605" t="str">
            <v>07/03/2014</v>
          </cell>
        </row>
        <row r="606">
          <cell r="A606">
            <v>607</v>
          </cell>
          <cell r="B606" t="str">
            <v>Sew Eurodrive México, S.A. de C.V.</v>
          </cell>
          <cell r="C606" t="str">
            <v>SEM981118M93</v>
          </cell>
          <cell r="D606" t="str">
            <v>Tequisquiapan</v>
          </cell>
          <cell r="F606">
            <v>102</v>
          </cell>
          <cell r="G606" t="str">
            <v>Parque Industrial Querétaro</v>
          </cell>
          <cell r="H606">
            <v>76220</v>
          </cell>
          <cell r="I606" t="str">
            <v>Querétaro</v>
          </cell>
          <cell r="J606" t="str">
            <v>Querétaro</v>
          </cell>
          <cell r="K606" t="str">
            <v>México</v>
          </cell>
          <cell r="M606">
            <v>0</v>
          </cell>
          <cell r="N606" t="str">
            <v>29/04/2015</v>
          </cell>
        </row>
        <row r="607">
          <cell r="A607">
            <v>608</v>
          </cell>
          <cell r="B607" t="str">
            <v>JD Norman de San Luis Potosí, S. de R.L. de C.V.</v>
          </cell>
          <cell r="C607" t="str">
            <v>JNS1402043G2</v>
          </cell>
          <cell r="D607" t="str">
            <v>Avenida Libertad</v>
          </cell>
          <cell r="F607" t="str">
            <v>S/N</v>
          </cell>
          <cell r="G607" t="str">
            <v>Zona Industrial Urbano</v>
          </cell>
          <cell r="H607">
            <v>78395</v>
          </cell>
          <cell r="I607" t="str">
            <v>San Luis Potosí</v>
          </cell>
          <cell r="J607" t="str">
            <v xml:space="preserve">San Luis Potosí, </v>
          </cell>
          <cell r="K607" t="str">
            <v>México</v>
          </cell>
          <cell r="M607">
            <v>30</v>
          </cell>
          <cell r="N607" t="str">
            <v>05/05/2015</v>
          </cell>
        </row>
        <row r="608">
          <cell r="A608">
            <v>609</v>
          </cell>
          <cell r="B608" t="str">
            <v>Flex-N-Gate México, S. de R.L. de C.V.</v>
          </cell>
          <cell r="C608" t="str">
            <v>FNG991014C66</v>
          </cell>
          <cell r="D608" t="str">
            <v>Ave. Principal</v>
          </cell>
          <cell r="F608">
            <v>1</v>
          </cell>
          <cell r="G608" t="str">
            <v>Parque Industrial Opción</v>
          </cell>
          <cell r="H608">
            <v>37980</v>
          </cell>
          <cell r="I608" t="str">
            <v>San José Iturbide</v>
          </cell>
          <cell r="J608" t="str">
            <v xml:space="preserve">Guanajuato, </v>
          </cell>
          <cell r="K608" t="str">
            <v>México</v>
          </cell>
          <cell r="M608">
            <v>0</v>
          </cell>
          <cell r="N608" t="str">
            <v>23/04/2015</v>
          </cell>
        </row>
        <row r="609">
          <cell r="A609">
            <v>610</v>
          </cell>
          <cell r="B609" t="str">
            <v>DIEHL Controls México, S.A. de C.V.</v>
          </cell>
          <cell r="C609" t="str">
            <v>DCM030212ET4</v>
          </cell>
          <cell r="D609" t="str">
            <v>Av. El Tepeyac</v>
          </cell>
          <cell r="F609">
            <v>1730</v>
          </cell>
          <cell r="G609" t="str">
            <v>Parque Industrial El Tepeyac</v>
          </cell>
          <cell r="H609">
            <v>76250</v>
          </cell>
          <cell r="I609" t="str">
            <v>El Marqués</v>
          </cell>
          <cell r="J609" t="str">
            <v xml:space="preserve">Querétaro, </v>
          </cell>
          <cell r="K609" t="str">
            <v>México</v>
          </cell>
          <cell r="L609" t="str">
            <v>.</v>
          </cell>
          <cell r="M609">
            <v>0</v>
          </cell>
          <cell r="N609" t="str">
            <v>20/03/2014</v>
          </cell>
        </row>
        <row r="610">
          <cell r="A610">
            <v>611</v>
          </cell>
          <cell r="B610" t="str">
            <v>Ferretería Modelo del Bajío, S.A. de C.V.</v>
          </cell>
          <cell r="C610" t="str">
            <v>FMB871228QF7</v>
          </cell>
          <cell r="D610" t="str">
            <v>Blvd. Adolfo Lopez Mateos</v>
          </cell>
          <cell r="F610" t="str">
            <v>1236 Ote.</v>
          </cell>
          <cell r="G610" t="str">
            <v>Las Insurgentes</v>
          </cell>
          <cell r="H610">
            <v>38080</v>
          </cell>
          <cell r="I610" t="str">
            <v>Celaya</v>
          </cell>
          <cell r="J610" t="str">
            <v xml:space="preserve">Guanajuato, </v>
          </cell>
          <cell r="K610" t="str">
            <v>México</v>
          </cell>
          <cell r="L610" t="str">
            <v>(461) 1598900</v>
          </cell>
          <cell r="M610">
            <v>0</v>
          </cell>
          <cell r="N610" t="str">
            <v>23/04/2015</v>
          </cell>
        </row>
        <row r="611">
          <cell r="A611">
            <v>612</v>
          </cell>
          <cell r="B611" t="str">
            <v>Portinox México, .S.A. de C.V.</v>
          </cell>
          <cell r="C611" t="str">
            <v>PME070416LM6</v>
          </cell>
          <cell r="D611" t="str">
            <v>Calle Eje 124</v>
          </cell>
          <cell r="E611" t="str">
            <v>7</v>
          </cell>
          <cell r="F611">
            <v>115</v>
          </cell>
          <cell r="G611" t="str">
            <v>Zona Industrial</v>
          </cell>
          <cell r="H611">
            <v>78395</v>
          </cell>
          <cell r="I611" t="str">
            <v>San Luis Potosí</v>
          </cell>
          <cell r="J611" t="str">
            <v xml:space="preserve">San Luis Potosí, </v>
          </cell>
          <cell r="K611" t="str">
            <v>México</v>
          </cell>
          <cell r="L611" t="str">
            <v>(444) 8042444</v>
          </cell>
          <cell r="M611">
            <v>30</v>
          </cell>
          <cell r="N611" t="str">
            <v>31/03/2015</v>
          </cell>
        </row>
        <row r="612">
          <cell r="A612">
            <v>613</v>
          </cell>
          <cell r="B612" t="str">
            <v>Hiruta México, S.A. de C.V.</v>
          </cell>
          <cell r="C612" t="str">
            <v>HME120411N64</v>
          </cell>
          <cell r="D612" t="str">
            <v>Circuito Mexiamora Poniente</v>
          </cell>
          <cell r="F612">
            <v>150</v>
          </cell>
          <cell r="G612" t="str">
            <v>Parque Industrial Santa Fé</v>
          </cell>
          <cell r="H612">
            <v>36275</v>
          </cell>
          <cell r="I612" t="str">
            <v>Ampliación Silao</v>
          </cell>
          <cell r="J612" t="str">
            <v xml:space="preserve">Guanajuato, </v>
          </cell>
          <cell r="K612" t="str">
            <v>México</v>
          </cell>
          <cell r="L612" t="str">
            <v>(472) 1032600</v>
          </cell>
          <cell r="M612">
            <v>30</v>
          </cell>
          <cell r="N612" t="str">
            <v>22/04/2015</v>
          </cell>
        </row>
        <row r="613">
          <cell r="A613">
            <v>614</v>
          </cell>
          <cell r="B613" t="str">
            <v>ATyV Desarrollos y Manufacturas, S.A. de C.V.</v>
          </cell>
          <cell r="C613" t="str">
            <v>AVD900911L83</v>
          </cell>
          <cell r="D613" t="str">
            <v>Av. Ceylan</v>
          </cell>
          <cell r="F613">
            <v>897</v>
          </cell>
          <cell r="G613" t="str">
            <v>Industrial Vallejo</v>
          </cell>
          <cell r="H613">
            <v>2300</v>
          </cell>
          <cell r="I613" t="str">
            <v>Azcapotzalco</v>
          </cell>
          <cell r="J613" t="str">
            <v xml:space="preserve">Distrito Federal, </v>
          </cell>
          <cell r="K613" t="str">
            <v>México</v>
          </cell>
          <cell r="M613">
            <v>30</v>
          </cell>
          <cell r="N613" t="str">
            <v>27/04/2015</v>
          </cell>
        </row>
        <row r="614">
          <cell r="A614">
            <v>615</v>
          </cell>
          <cell r="B614" t="str">
            <v>Forja y Maquinados, S.A. de C.V.</v>
          </cell>
          <cell r="C614" t="str">
            <v>FMA000413Q75</v>
          </cell>
          <cell r="D614" t="str">
            <v>Av. Peñuelas</v>
          </cell>
          <cell r="E614" t="str">
            <v>Bodega 9</v>
          </cell>
          <cell r="F614">
            <v>5</v>
          </cell>
          <cell r="G614" t="str">
            <v>Vista 2000</v>
          </cell>
          <cell r="H614" t="str">
            <v xml:space="preserve"> </v>
          </cell>
          <cell r="I614" t="str">
            <v>Querétaro</v>
          </cell>
          <cell r="J614" t="str">
            <v>Querétaro</v>
          </cell>
          <cell r="K614" t="str">
            <v>México</v>
          </cell>
          <cell r="M614">
            <v>0</v>
          </cell>
          <cell r="N614" t="str">
            <v>06/04/2015</v>
          </cell>
        </row>
        <row r="615">
          <cell r="A615">
            <v>616</v>
          </cell>
          <cell r="B615" t="str">
            <v>Siemens, S.A. de C.V.</v>
          </cell>
          <cell r="C615" t="str">
            <v>SIE931112PA1</v>
          </cell>
          <cell r="D615" t="str">
            <v>Ejército Nacional</v>
          </cell>
          <cell r="F615">
            <v>350</v>
          </cell>
          <cell r="G615" t="str">
            <v>Polanco V Sección</v>
          </cell>
          <cell r="H615">
            <v>11560</v>
          </cell>
          <cell r="I615" t="str">
            <v>Deleg. Miguel Hidalgo</v>
          </cell>
          <cell r="J615" t="str">
            <v xml:space="preserve">Distrito Federal, </v>
          </cell>
          <cell r="K615" t="str">
            <v>México</v>
          </cell>
          <cell r="L615" t="str">
            <v>.</v>
          </cell>
          <cell r="M615">
            <v>0</v>
          </cell>
          <cell r="N615" t="str">
            <v>26/03/2014</v>
          </cell>
        </row>
        <row r="616">
          <cell r="A616">
            <v>617</v>
          </cell>
          <cell r="B616" t="str">
            <v>AUTOCOM NOVA SAPI DE CV</v>
          </cell>
          <cell r="C616" t="str">
            <v>ACQ980113CL5</v>
          </cell>
          <cell r="D616" t="str">
            <v>Blvd. Bernardo Quintana</v>
          </cell>
          <cell r="F616">
            <v>5113</v>
          </cell>
          <cell r="G616" t="str">
            <v>San Pablo</v>
          </cell>
          <cell r="H616">
            <v>76130</v>
          </cell>
          <cell r="I616" t="str">
            <v>Querétaro</v>
          </cell>
          <cell r="J616" t="str">
            <v>Querétaro</v>
          </cell>
          <cell r="K616" t="str">
            <v>México</v>
          </cell>
          <cell r="L616" t="str">
            <v>(442) 3094600</v>
          </cell>
          <cell r="M616">
            <v>0</v>
          </cell>
          <cell r="N616" t="str">
            <v>03/04/2014</v>
          </cell>
        </row>
        <row r="617">
          <cell r="A617">
            <v>618</v>
          </cell>
          <cell r="B617" t="str">
            <v>C&amp;C Compañias, S. de R.L. de C.V.</v>
          </cell>
          <cell r="C617" t="str">
            <v>CCO111201C65</v>
          </cell>
          <cell r="D617" t="str">
            <v>Michoacan</v>
          </cell>
          <cell r="F617">
            <v>44</v>
          </cell>
          <cell r="G617" t="str">
            <v>San José de los Olvera</v>
          </cell>
          <cell r="H617">
            <v>76902</v>
          </cell>
          <cell r="I617" t="str">
            <v>Corregidora</v>
          </cell>
          <cell r="J617" t="str">
            <v>Querétaro,</v>
          </cell>
          <cell r="K617" t="str">
            <v>México</v>
          </cell>
          <cell r="L617" t="str">
            <v>(442) 1935493</v>
          </cell>
          <cell r="M617">
            <v>0</v>
          </cell>
          <cell r="N617" t="str">
            <v>04/04/2014</v>
          </cell>
        </row>
        <row r="618">
          <cell r="A618">
            <v>619</v>
          </cell>
          <cell r="B618" t="str">
            <v>CIATEC, A.C.</v>
          </cell>
          <cell r="C618" t="str">
            <v>CIA940610MS9</v>
          </cell>
          <cell r="D618" t="str">
            <v>Omega</v>
          </cell>
          <cell r="F618">
            <v>201</v>
          </cell>
          <cell r="G618" t="str">
            <v>Fracc. Ind. Delta</v>
          </cell>
          <cell r="H618">
            <v>37545</v>
          </cell>
          <cell r="I618" t="str">
            <v>León</v>
          </cell>
          <cell r="J618" t="str">
            <v xml:space="preserve">Guanajuato, </v>
          </cell>
          <cell r="K618" t="str">
            <v>México</v>
          </cell>
          <cell r="L618" t="str">
            <v>(477) 7100011</v>
          </cell>
          <cell r="M618">
            <v>0</v>
          </cell>
          <cell r="N618" t="str">
            <v>11/04/2014</v>
          </cell>
        </row>
        <row r="619">
          <cell r="A619">
            <v>620</v>
          </cell>
          <cell r="B619" t="str">
            <v>Maintenance Services &amp; System, S.A. de C.V.</v>
          </cell>
          <cell r="C619" t="str">
            <v>MSA080910PX8</v>
          </cell>
          <cell r="D619" t="str">
            <v>Circuito Laguna de los Andes</v>
          </cell>
          <cell r="F619">
            <v>206</v>
          </cell>
          <cell r="G619" t="str">
            <v>Hacienda el Perul</v>
          </cell>
          <cell r="H619">
            <v>36764</v>
          </cell>
          <cell r="I619" t="str">
            <v>Salamanca</v>
          </cell>
          <cell r="J619" t="str">
            <v xml:space="preserve">Guanajuato, </v>
          </cell>
          <cell r="K619" t="str">
            <v>México</v>
          </cell>
          <cell r="L619" t="str">
            <v>.</v>
          </cell>
          <cell r="M619">
            <v>0</v>
          </cell>
          <cell r="N619" t="str">
            <v>14/04/2014</v>
          </cell>
        </row>
        <row r="620">
          <cell r="A620">
            <v>621</v>
          </cell>
          <cell r="B620" t="str">
            <v>Mettler Toledo, S.A. de C.V.</v>
          </cell>
          <cell r="C620" t="str">
            <v>MTO930218QSA</v>
          </cell>
          <cell r="D620" t="str">
            <v>Ejército Nacional</v>
          </cell>
          <cell r="F620">
            <v>340</v>
          </cell>
          <cell r="H620">
            <v>11570</v>
          </cell>
          <cell r="I620" t="str">
            <v>Chapultepec Morales</v>
          </cell>
          <cell r="J620" t="str">
            <v xml:space="preserve">Distrito Federal, </v>
          </cell>
          <cell r="K620" t="str">
            <v>México</v>
          </cell>
          <cell r="L620" t="str">
            <v>.</v>
          </cell>
          <cell r="M620">
            <v>0</v>
          </cell>
          <cell r="N620" t="str">
            <v>02/05/2014</v>
          </cell>
        </row>
        <row r="621">
          <cell r="A621">
            <v>622</v>
          </cell>
          <cell r="B621" t="str">
            <v>International Relocations de México, S. de R.L. de C.V.</v>
          </cell>
          <cell r="C621" t="str">
            <v>IRM0907176D3</v>
          </cell>
          <cell r="D621" t="str">
            <v>Carretera Federal Querétaro - San Luis Potosí</v>
          </cell>
          <cell r="F621" t="str">
            <v>Km. 16368</v>
          </cell>
          <cell r="G621" t="str">
            <v>Santa Rosa Jáuregui</v>
          </cell>
          <cell r="H621">
            <v>76220</v>
          </cell>
          <cell r="I621" t="str">
            <v>Querétaro</v>
          </cell>
          <cell r="J621" t="str">
            <v>Querétaro</v>
          </cell>
          <cell r="K621" t="str">
            <v>México</v>
          </cell>
          <cell r="L621" t="str">
            <v>(442) 9628912</v>
          </cell>
          <cell r="M621">
            <v>0</v>
          </cell>
          <cell r="N621" t="str">
            <v>13/05/2014</v>
          </cell>
        </row>
        <row r="622">
          <cell r="A622">
            <v>623</v>
          </cell>
          <cell r="B622" t="str">
            <v>Metrología &amp; Servicio Industrial S.C.</v>
          </cell>
          <cell r="C622" t="str">
            <v>MAS1105097J0</v>
          </cell>
          <cell r="D622" t="str">
            <v>Carretera a Tlacote</v>
          </cell>
          <cell r="E622" t="str">
            <v>4</v>
          </cell>
          <cell r="F622">
            <v>334</v>
          </cell>
          <cell r="G622" t="str">
            <v>Italia</v>
          </cell>
          <cell r="H622">
            <v>76110</v>
          </cell>
          <cell r="I622" t="str">
            <v>Querétaro</v>
          </cell>
          <cell r="J622" t="str">
            <v>Querétaro</v>
          </cell>
          <cell r="K622" t="str">
            <v>México</v>
          </cell>
          <cell r="L622" t="str">
            <v>(442) 3840070</v>
          </cell>
          <cell r="M622">
            <v>30</v>
          </cell>
          <cell r="N622" t="str">
            <v>05/05/2015</v>
          </cell>
        </row>
        <row r="623">
          <cell r="A623">
            <v>624</v>
          </cell>
          <cell r="B623" t="str">
            <v>Mauricio Barrera Bucio</v>
          </cell>
          <cell r="C623" t="str">
            <v>BABM660611RU5</v>
          </cell>
          <cell r="D623" t="str">
            <v>Juan de la Barrera</v>
          </cell>
          <cell r="F623">
            <v>12</v>
          </cell>
          <cell r="G623" t="str">
            <v>Niños Héroes</v>
          </cell>
          <cell r="H623">
            <v>76010</v>
          </cell>
          <cell r="I623" t="str">
            <v>Querétaro</v>
          </cell>
          <cell r="J623" t="str">
            <v>Querétaro</v>
          </cell>
          <cell r="K623" t="str">
            <v>México</v>
          </cell>
          <cell r="L623" t="str">
            <v>.</v>
          </cell>
          <cell r="M623">
            <v>0</v>
          </cell>
          <cell r="N623" t="str">
            <v>22/05/2014</v>
          </cell>
        </row>
        <row r="624">
          <cell r="A624">
            <v>625</v>
          </cell>
          <cell r="B624" t="str">
            <v>Metrología Profesional, S.A. de C.V.</v>
          </cell>
          <cell r="C624" t="str">
            <v>MPR0605172Q3</v>
          </cell>
          <cell r="D624" t="str">
            <v>Circuito Alcatraz</v>
          </cell>
          <cell r="F624">
            <v>319</v>
          </cell>
          <cell r="G624" t="str">
            <v>Fracc. Residencial Floresta</v>
          </cell>
          <cell r="H624">
            <v>36584</v>
          </cell>
          <cell r="I624" t="str">
            <v>Irapuato</v>
          </cell>
          <cell r="J624" t="str">
            <v xml:space="preserve">Guanajuato, </v>
          </cell>
          <cell r="K624" t="str">
            <v>México</v>
          </cell>
          <cell r="L624" t="str">
            <v>.</v>
          </cell>
          <cell r="M624">
            <v>0</v>
          </cell>
          <cell r="N624" t="str">
            <v>22/05/2014</v>
          </cell>
        </row>
        <row r="625">
          <cell r="A625">
            <v>626</v>
          </cell>
          <cell r="B625" t="str">
            <v>Universidad Autónoma de Querétaro</v>
          </cell>
          <cell r="C625" t="str">
            <v>UAQ510111MQ9</v>
          </cell>
          <cell r="D625" t="str">
            <v>Cerro de las Campanas</v>
          </cell>
          <cell r="F625" t="str">
            <v>S/N</v>
          </cell>
          <cell r="G625" t="str">
            <v>Las Campanas</v>
          </cell>
          <cell r="H625">
            <v>76010</v>
          </cell>
          <cell r="I625" t="str">
            <v>Querétaro</v>
          </cell>
          <cell r="J625" t="str">
            <v>Querétaro</v>
          </cell>
          <cell r="K625" t="str">
            <v>México</v>
          </cell>
          <cell r="L625" t="str">
            <v>.</v>
          </cell>
          <cell r="M625">
            <v>0</v>
          </cell>
          <cell r="N625" t="str">
            <v>23/05/2014</v>
          </cell>
        </row>
        <row r="626">
          <cell r="A626">
            <v>627</v>
          </cell>
          <cell r="B626" t="str">
            <v>Plastics Technology de México, S. de R.L. de C.V.</v>
          </cell>
          <cell r="C626" t="str">
            <v>PTM03042519A</v>
          </cell>
          <cell r="D626" t="str">
            <v>Av. Montes Urales</v>
          </cell>
          <cell r="F626">
            <v>8</v>
          </cell>
          <cell r="G626" t="str">
            <v>Parque Opción Los Nogales</v>
          </cell>
          <cell r="H626">
            <v>37980</v>
          </cell>
          <cell r="I626" t="str">
            <v>San José Iturbide</v>
          </cell>
          <cell r="J626" t="str">
            <v xml:space="preserve">Guanajuato, </v>
          </cell>
          <cell r="K626" t="str">
            <v>México</v>
          </cell>
          <cell r="L626" t="str">
            <v>.</v>
          </cell>
          <cell r="M626">
            <v>0</v>
          </cell>
          <cell r="N626" t="str">
            <v>26/05/2014</v>
          </cell>
        </row>
        <row r="627">
          <cell r="A627">
            <v>628</v>
          </cell>
          <cell r="B627" t="str">
            <v>Herramientas de Precisión Sanders, S.A. de C.V.</v>
          </cell>
          <cell r="C627" t="str">
            <v>HPS790416186</v>
          </cell>
          <cell r="D627" t="str">
            <v>Avenida Mollendo</v>
          </cell>
          <cell r="E627" t="str">
            <v>1</v>
          </cell>
          <cell r="F627">
            <v>956</v>
          </cell>
          <cell r="G627" t="str">
            <v>Linda Vista</v>
          </cell>
          <cell r="H627">
            <v>7300</v>
          </cell>
          <cell r="I627" t="str">
            <v>Gustavo A. Madero</v>
          </cell>
          <cell r="J627" t="str">
            <v xml:space="preserve">Distrito Federal, </v>
          </cell>
          <cell r="K627" t="str">
            <v>México</v>
          </cell>
          <cell r="M627">
            <v>0</v>
          </cell>
          <cell r="N627" t="str">
            <v>12/01/2015</v>
          </cell>
        </row>
        <row r="628">
          <cell r="A628">
            <v>629</v>
          </cell>
          <cell r="B628" t="str">
            <v>David Parroquín Vargas</v>
          </cell>
          <cell r="C628" t="str">
            <v>PAVD8412297E8</v>
          </cell>
          <cell r="D628" t="str">
            <v>Mezcala</v>
          </cell>
          <cell r="F628">
            <v>102</v>
          </cell>
          <cell r="G628" t="str">
            <v>Fracc. Pirámides</v>
          </cell>
          <cell r="H628">
            <v>20277</v>
          </cell>
          <cell r="I628" t="str">
            <v>Aguascalientes</v>
          </cell>
          <cell r="J628" t="str">
            <v xml:space="preserve">Aguascalientes, </v>
          </cell>
          <cell r="K628" t="str">
            <v>México</v>
          </cell>
          <cell r="L628" t="str">
            <v>(449) 4415668</v>
          </cell>
          <cell r="M628">
            <v>30</v>
          </cell>
          <cell r="N628" t="str">
            <v>29/04/2015</v>
          </cell>
        </row>
        <row r="629">
          <cell r="A629">
            <v>630</v>
          </cell>
          <cell r="B629" t="str">
            <v>Centerline México, S. de R.L. de C.V.</v>
          </cell>
          <cell r="C629" t="str">
            <v>CME0505167U5</v>
          </cell>
          <cell r="D629" t="str">
            <v>Av. La Noria</v>
          </cell>
          <cell r="F629">
            <v>110</v>
          </cell>
          <cell r="G629" t="str">
            <v>Parque Industrial Querétaro</v>
          </cell>
          <cell r="H629">
            <v>76220</v>
          </cell>
          <cell r="I629" t="str">
            <v>Querétaro</v>
          </cell>
          <cell r="J629" t="str">
            <v>Querétaro</v>
          </cell>
          <cell r="K629" t="str">
            <v>México</v>
          </cell>
          <cell r="L629" t="str">
            <v>(442) 2409255</v>
          </cell>
          <cell r="M629">
            <v>30</v>
          </cell>
          <cell r="N629" t="str">
            <v>01/07/2014</v>
          </cell>
        </row>
        <row r="630">
          <cell r="A630">
            <v>631</v>
          </cell>
          <cell r="B630" t="str">
            <v>Waukesha Metal Products de México, S. de R.L. de C.V.</v>
          </cell>
          <cell r="C630" t="str">
            <v>WMP130703TT1</v>
          </cell>
          <cell r="D630" t="str">
            <v>Circuito Exportación</v>
          </cell>
          <cell r="F630">
            <v>101</v>
          </cell>
          <cell r="G630" t="str">
            <v>Parque Industrial Tres Naciones 2a. Secc.</v>
          </cell>
          <cell r="H630">
            <v>78395</v>
          </cell>
          <cell r="I630" t="str">
            <v>San Luis Potosí</v>
          </cell>
          <cell r="J630" t="str">
            <v>San Luis Potosí,</v>
          </cell>
          <cell r="K630" t="str">
            <v>México</v>
          </cell>
          <cell r="L630" t="str">
            <v>(444) 4998130</v>
          </cell>
          <cell r="M630">
            <v>0</v>
          </cell>
          <cell r="N630" t="str">
            <v>29/05/2014</v>
          </cell>
        </row>
        <row r="631">
          <cell r="A631">
            <v>632</v>
          </cell>
          <cell r="B631" t="str">
            <v>Aerosoles y Líquidos, S.A. de C.V.</v>
          </cell>
          <cell r="C631" t="str">
            <v>ALI040624IR5</v>
          </cell>
          <cell r="D631" t="str">
            <v>Av. del Marqués</v>
          </cell>
          <cell r="F631">
            <v>47</v>
          </cell>
          <cell r="G631" t="str">
            <v>Parque Industrial Bernardo Quintana</v>
          </cell>
          <cell r="H631">
            <v>76246</v>
          </cell>
          <cell r="I631" t="str">
            <v>Querétaro</v>
          </cell>
          <cell r="J631" t="str">
            <v>Querétaro</v>
          </cell>
          <cell r="K631" t="str">
            <v>México</v>
          </cell>
          <cell r="L631" t="str">
            <v>(442) 2215722</v>
          </cell>
          <cell r="M631">
            <v>0</v>
          </cell>
          <cell r="N631" t="str">
            <v>29/04/2015</v>
          </cell>
        </row>
        <row r="632">
          <cell r="A632">
            <v>633</v>
          </cell>
          <cell r="B632" t="str">
            <v>Forja de Monterrey, S.A. de C.V.</v>
          </cell>
          <cell r="C632" t="str">
            <v>FMO9608275B3</v>
          </cell>
          <cell r="D632" t="str">
            <v>Carretera Monterrey - Colombia Km 6.5</v>
          </cell>
          <cell r="G632" t="str">
            <v>Gral Escobedo</v>
          </cell>
          <cell r="H632">
            <v>66050</v>
          </cell>
          <cell r="J632" t="str">
            <v xml:space="preserve">Nuevo León, </v>
          </cell>
          <cell r="K632" t="str">
            <v>México</v>
          </cell>
          <cell r="L632" t="str">
            <v>(81) 83050000</v>
          </cell>
          <cell r="M632">
            <v>0</v>
          </cell>
          <cell r="N632" t="str">
            <v>04/05/2015</v>
          </cell>
        </row>
        <row r="633">
          <cell r="A633">
            <v>634</v>
          </cell>
          <cell r="B633" t="str">
            <v>Innovación en Termoformado S.A. de C.V.</v>
          </cell>
          <cell r="D633" t="str">
            <v>Av. del Marqués</v>
          </cell>
          <cell r="E633">
            <v>5</v>
          </cell>
          <cell r="F633">
            <v>38</v>
          </cell>
          <cell r="G633" t="str">
            <v>Parque Industrial Bernardo Quintana</v>
          </cell>
          <cell r="H633">
            <v>76246</v>
          </cell>
          <cell r="I633" t="str">
            <v>El Marqués</v>
          </cell>
          <cell r="J633" t="str">
            <v>Querétaro,</v>
          </cell>
          <cell r="K633" t="str">
            <v>México</v>
          </cell>
          <cell r="L633" t="str">
            <v>(442) 2215943</v>
          </cell>
          <cell r="M633">
            <v>0</v>
          </cell>
          <cell r="N633" t="str">
            <v>22/04/2015</v>
          </cell>
          <cell r="P633" t="str">
            <v>INNOVET</v>
          </cell>
        </row>
        <row r="634">
          <cell r="A634">
            <v>635</v>
          </cell>
          <cell r="B634" t="str">
            <v>Centro de Investigación y Desarrollo Tecnológico en Electroquímica, S.C.</v>
          </cell>
          <cell r="C634" t="str">
            <v>CID910926P7A</v>
          </cell>
          <cell r="D634" t="str">
            <v>Parque Tecnológico Querétaro</v>
          </cell>
          <cell r="F634" t="str">
            <v>S/N</v>
          </cell>
          <cell r="G634" t="str">
            <v>Sanfalia</v>
          </cell>
          <cell r="H634">
            <v>76703</v>
          </cell>
          <cell r="I634" t="str">
            <v>Pedro Escobedo</v>
          </cell>
          <cell r="J634" t="str">
            <v xml:space="preserve">Querétaro, </v>
          </cell>
          <cell r="K634" t="str">
            <v>México</v>
          </cell>
          <cell r="L634" t="str">
            <v>(442) 2116023</v>
          </cell>
          <cell r="M634">
            <v>0</v>
          </cell>
          <cell r="N634" t="str">
            <v>12/06/2014</v>
          </cell>
        </row>
        <row r="635">
          <cell r="A635">
            <v>636</v>
          </cell>
          <cell r="B635" t="str">
            <v>Maquiser Industrial, S.A. de C.V.</v>
          </cell>
          <cell r="C635" t="str">
            <v>MIN980526CG2</v>
          </cell>
          <cell r="D635" t="str">
            <v>Niños Héroes</v>
          </cell>
          <cell r="F635">
            <v>955</v>
          </cell>
          <cell r="G635" t="str">
            <v>Fraccionamiento Camichines</v>
          </cell>
          <cell r="H635">
            <v>45500</v>
          </cell>
          <cell r="I635" t="str">
            <v>Tlaquepaque</v>
          </cell>
          <cell r="J635" t="str">
            <v xml:space="preserve">Jalisco, </v>
          </cell>
          <cell r="K635" t="str">
            <v>México</v>
          </cell>
          <cell r="L635" t="str">
            <v>.</v>
          </cell>
          <cell r="M635">
            <v>0</v>
          </cell>
          <cell r="N635" t="str">
            <v>12/06/2014</v>
          </cell>
        </row>
        <row r="636">
          <cell r="A636">
            <v>637</v>
          </cell>
          <cell r="B636" t="str">
            <v>Grupo Manufacturero Industrial GMI, S.A.P.I. de C.V.</v>
          </cell>
          <cell r="C636" t="str">
            <v>GMI120209I85</v>
          </cell>
          <cell r="D636" t="str">
            <v>Avenida Paseo Central</v>
          </cell>
          <cell r="F636">
            <v>260</v>
          </cell>
          <cell r="G636" t="str">
            <v>Valle de Oro</v>
          </cell>
          <cell r="H636">
            <v>76803</v>
          </cell>
          <cell r="I636" t="str">
            <v>San Juan del Río</v>
          </cell>
          <cell r="J636" t="str">
            <v>Querétaro,</v>
          </cell>
          <cell r="K636" t="str">
            <v>México</v>
          </cell>
          <cell r="L636" t="str">
            <v>.</v>
          </cell>
          <cell r="M636">
            <v>30</v>
          </cell>
          <cell r="N636" t="str">
            <v>04/11/2014</v>
          </cell>
        </row>
        <row r="637">
          <cell r="A637">
            <v>638</v>
          </cell>
          <cell r="B637" t="str">
            <v>TRI Anvis México, S.A.P.I. de C.V.</v>
          </cell>
          <cell r="C637" t="str">
            <v>AME960329NZ9</v>
          </cell>
          <cell r="D637" t="str">
            <v>Av. de las Fuentes</v>
          </cell>
          <cell r="F637">
            <v>19</v>
          </cell>
          <cell r="G637" t="str">
            <v>Parque Industrial Bernardo Quintana</v>
          </cell>
          <cell r="H637">
            <v>76246</v>
          </cell>
          <cell r="I637" t="str">
            <v>El Marqués</v>
          </cell>
          <cell r="J637" t="str">
            <v xml:space="preserve">Querétaro, </v>
          </cell>
          <cell r="K637" t="str">
            <v>México</v>
          </cell>
          <cell r="L637" t="str">
            <v>(442) 1019400</v>
          </cell>
          <cell r="M637">
            <v>30</v>
          </cell>
          <cell r="N637" t="str">
            <v>08/05/2015</v>
          </cell>
        </row>
        <row r="638">
          <cell r="A638">
            <v>639</v>
          </cell>
          <cell r="B638" t="str">
            <v>Salmantina Motors, S.A. de C.V.</v>
          </cell>
          <cell r="C638" t="str">
            <v>SMO011012HF0</v>
          </cell>
          <cell r="D638" t="str">
            <v>Av. Faja de Oro Poniente</v>
          </cell>
          <cell r="F638">
            <v>1403</v>
          </cell>
          <cell r="G638" t="str">
            <v>Guadalupe</v>
          </cell>
          <cell r="H638">
            <v>36747</v>
          </cell>
          <cell r="I638" t="str">
            <v>Salamanca</v>
          </cell>
          <cell r="J638" t="str">
            <v xml:space="preserve">Guanajuato, </v>
          </cell>
          <cell r="K638" t="str">
            <v>México</v>
          </cell>
          <cell r="L638" t="str">
            <v>.</v>
          </cell>
          <cell r="M638">
            <v>0</v>
          </cell>
          <cell r="N638" t="str">
            <v>19/06/2014</v>
          </cell>
        </row>
        <row r="639">
          <cell r="A639">
            <v>640</v>
          </cell>
          <cell r="B639" t="str">
            <v>TECHINT, S.A. de C.V.</v>
          </cell>
          <cell r="C639" t="str">
            <v>TEC540519CV1</v>
          </cell>
          <cell r="D639" t="str">
            <v>Guillermo González Camarena</v>
          </cell>
          <cell r="F639">
            <v>1200</v>
          </cell>
          <cell r="G639" t="str">
            <v>Centro</v>
          </cell>
          <cell r="H639">
            <v>1210</v>
          </cell>
          <cell r="I639" t="str">
            <v>Deleg. Alvaro Obregón</v>
          </cell>
          <cell r="J639" t="str">
            <v xml:space="preserve">Distrito Federal, </v>
          </cell>
          <cell r="K639" t="str">
            <v>México</v>
          </cell>
          <cell r="L639" t="str">
            <v>.</v>
          </cell>
          <cell r="M639">
            <v>0</v>
          </cell>
          <cell r="N639" t="str">
            <v>20/06/2014</v>
          </cell>
        </row>
        <row r="640">
          <cell r="A640">
            <v>641</v>
          </cell>
          <cell r="B640" t="str">
            <v>Nuclear Ingeniería, S.A. de C.V.</v>
          </cell>
          <cell r="C640" t="str">
            <v>NIN0212230AA</v>
          </cell>
          <cell r="D640" t="str">
            <v>Av. República Federal Sur Mz.11 Lt.6</v>
          </cell>
          <cell r="G640" t="str">
            <v>Santa Martha Acatitla</v>
          </cell>
          <cell r="H640">
            <v>9510</v>
          </cell>
          <cell r="I640" t="str">
            <v>Iztapalapa</v>
          </cell>
          <cell r="J640" t="str">
            <v xml:space="preserve">Distrito Federal, </v>
          </cell>
          <cell r="K640" t="str">
            <v>México</v>
          </cell>
          <cell r="L640" t="str">
            <v>(55) 57450984</v>
          </cell>
          <cell r="M640">
            <v>0</v>
          </cell>
          <cell r="N640" t="str">
            <v>23/06/2014</v>
          </cell>
        </row>
        <row r="641">
          <cell r="A641">
            <v>642</v>
          </cell>
          <cell r="B641" t="str">
            <v>Maquinados Santa Bárbara de Querétaro, S. de R.L. de C.V.</v>
          </cell>
          <cell r="C641" t="str">
            <v>MSB031208UG1</v>
          </cell>
          <cell r="D641" t="str">
            <v>Carr. Huimilpan</v>
          </cell>
          <cell r="F641">
            <v>66</v>
          </cell>
          <cell r="G641" t="str">
            <v>Santa Bárbara</v>
          </cell>
          <cell r="H641">
            <v>76905</v>
          </cell>
          <cell r="I641" t="str">
            <v>Corregidora</v>
          </cell>
          <cell r="J641" t="str">
            <v xml:space="preserve">Querétaro, </v>
          </cell>
          <cell r="K641" t="str">
            <v>México</v>
          </cell>
          <cell r="L641" t="str">
            <v>.</v>
          </cell>
          <cell r="M641">
            <v>0</v>
          </cell>
          <cell r="N641" t="str">
            <v>24/06/2014</v>
          </cell>
        </row>
        <row r="642">
          <cell r="A642">
            <v>643</v>
          </cell>
          <cell r="B642" t="str">
            <v>Lotheq Logística Tecnológica de Querétaro, S.A. de C.V.</v>
          </cell>
          <cell r="C642" t="str">
            <v>LLT140211H76</v>
          </cell>
          <cell r="D642" t="str">
            <v>Adolfo López Mateos</v>
          </cell>
          <cell r="F642">
            <v>156</v>
          </cell>
          <cell r="G642" t="str">
            <v>San Pablo</v>
          </cell>
          <cell r="H642">
            <v>76130</v>
          </cell>
          <cell r="I642" t="str">
            <v>Querétaro</v>
          </cell>
          <cell r="J642" t="str">
            <v>Querétaro</v>
          </cell>
          <cell r="K642" t="str">
            <v>México</v>
          </cell>
          <cell r="L642" t="str">
            <v>.</v>
          </cell>
          <cell r="M642">
            <v>0</v>
          </cell>
          <cell r="N642" t="str">
            <v>26/01/2015</v>
          </cell>
        </row>
        <row r="643">
          <cell r="A643">
            <v>644</v>
          </cell>
          <cell r="B643" t="str">
            <v>Xolox, S.A. de C.V.</v>
          </cell>
          <cell r="C643" t="str">
            <v>XOL7708181M3</v>
          </cell>
          <cell r="D643" t="str">
            <v>Acceso 2</v>
          </cell>
          <cell r="F643">
            <v>3</v>
          </cell>
          <cell r="G643" t="str">
            <v>Fracc. Industrial Benito Juárez</v>
          </cell>
          <cell r="H643">
            <v>76120</v>
          </cell>
          <cell r="I643" t="str">
            <v>Querétaro</v>
          </cell>
          <cell r="J643" t="str">
            <v>Querétaro</v>
          </cell>
          <cell r="K643" t="str">
            <v>México</v>
          </cell>
          <cell r="L643" t="str">
            <v>(442) 2186600</v>
          </cell>
          <cell r="M643">
            <v>0</v>
          </cell>
          <cell r="N643" t="str">
            <v>24/06/2014</v>
          </cell>
        </row>
        <row r="644">
          <cell r="A644">
            <v>645</v>
          </cell>
          <cell r="B644" t="str">
            <v>Comercial del Centro, S.A. de C.V.</v>
          </cell>
          <cell r="C644" t="str">
            <v>CCE860210MB0</v>
          </cell>
          <cell r="D644" t="str">
            <v>Blvd. A.L.M.</v>
          </cell>
          <cell r="F644" t="str">
            <v>1101 Ote.</v>
          </cell>
          <cell r="G644" t="str">
            <v>Jardínes de Celaya</v>
          </cell>
          <cell r="H644">
            <v>38080</v>
          </cell>
          <cell r="I644" t="str">
            <v>Celaya</v>
          </cell>
          <cell r="J644" t="str">
            <v xml:space="preserve">Guanajuato, </v>
          </cell>
          <cell r="K644" t="str">
            <v>México</v>
          </cell>
          <cell r="L644" t="str">
            <v>(461) 6125555</v>
          </cell>
          <cell r="M644">
            <v>0</v>
          </cell>
          <cell r="N644" t="str">
            <v>03/07/2014</v>
          </cell>
        </row>
        <row r="645">
          <cell r="A645">
            <v>646</v>
          </cell>
          <cell r="B645" t="str">
            <v>Centro Herramental de Aguascalientes, S.A. de C.V.</v>
          </cell>
          <cell r="C645" t="str">
            <v>CHA9312085V8</v>
          </cell>
          <cell r="D645" t="str">
            <v>Circuito Aguascalientes  Nte.</v>
          </cell>
          <cell r="F645">
            <v>134</v>
          </cell>
          <cell r="G645" t="str">
            <v>Parque Industrial del Valle de Aguascalientes</v>
          </cell>
          <cell r="H645">
            <v>20358</v>
          </cell>
          <cell r="I645" t="str">
            <v>San Francisco de los Romo</v>
          </cell>
          <cell r="J645" t="str">
            <v xml:space="preserve">Aguascalientes, </v>
          </cell>
          <cell r="K645" t="str">
            <v>México</v>
          </cell>
          <cell r="L645" t="str">
            <v>(449) 9731129</v>
          </cell>
          <cell r="M645">
            <v>0</v>
          </cell>
          <cell r="N645" t="str">
            <v>29/07/2014</v>
          </cell>
        </row>
        <row r="646">
          <cell r="A646">
            <v>647</v>
          </cell>
          <cell r="B646" t="str">
            <v>PROIC Proyectos Industriales de Calidad, S. de R.L. de C.V.</v>
          </cell>
          <cell r="D646" t="str">
            <v xml:space="preserve">Simon Bolivar </v>
          </cell>
          <cell r="E646" t="str">
            <v>-</v>
          </cell>
          <cell r="F646">
            <v>201</v>
          </cell>
          <cell r="G646" t="str">
            <v>Libertadores de America</v>
          </cell>
          <cell r="H646">
            <v>76147</v>
          </cell>
          <cell r="I646" t="str">
            <v>San Jose el Alto</v>
          </cell>
          <cell r="J646" t="str">
            <v xml:space="preserve">Querétaro, </v>
          </cell>
          <cell r="K646" t="str">
            <v>México</v>
          </cell>
          <cell r="L646" t="str">
            <v>.</v>
          </cell>
          <cell r="M646">
            <v>0</v>
          </cell>
          <cell r="N646" t="str">
            <v>14/08/2014</v>
          </cell>
        </row>
        <row r="647">
          <cell r="A647">
            <v>648</v>
          </cell>
          <cell r="B647" t="str">
            <v>Hexagon Metrology INC</v>
          </cell>
          <cell r="C647" t="str">
            <v>XEXX010101000</v>
          </cell>
          <cell r="D647" t="str">
            <v>250 Circuit Drive. North Kingstown, RI 02852</v>
          </cell>
          <cell r="K647" t="str">
            <v>USA</v>
          </cell>
          <cell r="M647">
            <v>0</v>
          </cell>
          <cell r="N647" t="str">
            <v>14/01/2015</v>
          </cell>
        </row>
        <row r="648">
          <cell r="A648">
            <v>649</v>
          </cell>
          <cell r="B648" t="str">
            <v>PAME Creatividad Industrial y Metales, S.A. de C.V.</v>
          </cell>
          <cell r="C648" t="str">
            <v>PCI110112JM1</v>
          </cell>
          <cell r="D648" t="str">
            <v>Avenida Fulton</v>
          </cell>
          <cell r="F648">
            <v>18</v>
          </cell>
          <cell r="G648" t="str">
            <v>Valle de Oro</v>
          </cell>
          <cell r="H648">
            <v>76802</v>
          </cell>
          <cell r="I648" t="str">
            <v>San Juan del Río</v>
          </cell>
          <cell r="J648" t="str">
            <v xml:space="preserve">Querétaro, </v>
          </cell>
          <cell r="K648" t="str">
            <v>México</v>
          </cell>
          <cell r="L648" t="str">
            <v>(427) 2648364</v>
          </cell>
          <cell r="M648">
            <v>0</v>
          </cell>
          <cell r="N648" t="str">
            <v>29/01/2015</v>
          </cell>
        </row>
        <row r="649">
          <cell r="A649">
            <v>650</v>
          </cell>
          <cell r="B649" t="str">
            <v>United Pipeline de México, S.A. de C.V.</v>
          </cell>
          <cell r="C649" t="str">
            <v>UPM960315T58</v>
          </cell>
          <cell r="D649" t="str">
            <v>Oleoducto</v>
          </cell>
          <cell r="F649">
            <v>5</v>
          </cell>
          <cell r="G649" t="str">
            <v>Felipe Carrillo Puerto</v>
          </cell>
          <cell r="H649">
            <v>76138</v>
          </cell>
          <cell r="I649" t="str">
            <v>Querétaro</v>
          </cell>
          <cell r="J649" t="str">
            <v>Querétaro</v>
          </cell>
          <cell r="K649" t="str">
            <v>México</v>
          </cell>
          <cell r="M649">
            <v>0</v>
          </cell>
          <cell r="N649" t="str">
            <v>23/03/2015</v>
          </cell>
        </row>
        <row r="650">
          <cell r="A650">
            <v>651</v>
          </cell>
          <cell r="B650" t="str">
            <v>Alejandro Rafael  Hernández Mendoza</v>
          </cell>
          <cell r="C650" t="str">
            <v>HEMA880929EG4</v>
          </cell>
          <cell r="D650" t="str">
            <v>Universidad Autónoma de Querétaro</v>
          </cell>
          <cell r="F650">
            <v>8</v>
          </cell>
          <cell r="G650" t="str">
            <v>San Pedro Martir</v>
          </cell>
          <cell r="H650">
            <v>76117</v>
          </cell>
          <cell r="I650" t="str">
            <v>Querétaro</v>
          </cell>
          <cell r="J650" t="str">
            <v>Querétaro</v>
          </cell>
          <cell r="K650" t="str">
            <v>México</v>
          </cell>
          <cell r="L650" t="str">
            <v>.</v>
          </cell>
          <cell r="M650">
            <v>0</v>
          </cell>
          <cell r="N650" t="str">
            <v>31/07/2014</v>
          </cell>
        </row>
        <row r="651">
          <cell r="A651">
            <v>652</v>
          </cell>
          <cell r="B651" t="str">
            <v>Comercializadora MEYH, S.A.P.I. de C.V.</v>
          </cell>
          <cell r="C651" t="str">
            <v>CME1303014JA</v>
          </cell>
          <cell r="D651" t="str">
            <v>Camino a Santa Cruz Escandon</v>
          </cell>
          <cell r="E651" t="str">
            <v>B</v>
          </cell>
          <cell r="F651">
            <v>10</v>
          </cell>
          <cell r="G651" t="str">
            <v>Santa Cruz Escandon</v>
          </cell>
          <cell r="H651">
            <v>76833</v>
          </cell>
          <cell r="I651" t="str">
            <v>San Juan del Río</v>
          </cell>
          <cell r="J651" t="str">
            <v xml:space="preserve">Querétaro, </v>
          </cell>
          <cell r="K651" t="str">
            <v>México</v>
          </cell>
          <cell r="M651">
            <v>0</v>
          </cell>
          <cell r="N651" t="str">
            <v>13/04/2015</v>
          </cell>
          <cell r="O651" t="str">
            <v>calidad_meyh@hotmail.com</v>
          </cell>
        </row>
        <row r="652">
          <cell r="A652">
            <v>653</v>
          </cell>
          <cell r="B652" t="str">
            <v>Casa de Moneda de México</v>
          </cell>
          <cell r="C652" t="str">
            <v>CMM860120KI1</v>
          </cell>
          <cell r="D652" t="str">
            <v>Paseo de la Reforma</v>
          </cell>
          <cell r="F652">
            <v>295</v>
          </cell>
          <cell r="G652" t="str">
            <v>Cuauhtémoc</v>
          </cell>
          <cell r="H652">
            <v>6500</v>
          </cell>
          <cell r="I652" t="str">
            <v>Deleg. Cuauhtémoc</v>
          </cell>
          <cell r="J652" t="str">
            <v xml:space="preserve">Distrito Federal, </v>
          </cell>
          <cell r="K652" t="str">
            <v>México</v>
          </cell>
          <cell r="L652" t="str">
            <v>.</v>
          </cell>
          <cell r="M652">
            <v>0</v>
          </cell>
          <cell r="N652" t="str">
            <v>20/10/2014</v>
          </cell>
        </row>
        <row r="653">
          <cell r="A653">
            <v>654</v>
          </cell>
          <cell r="B653" t="str">
            <v>International Knife and Saw de México, S.A. de C.V.</v>
          </cell>
          <cell r="C653" t="str">
            <v>IKS9605302D6</v>
          </cell>
          <cell r="D653" t="str">
            <v>Constitución</v>
          </cell>
          <cell r="F653">
            <v>20</v>
          </cell>
          <cell r="G653" t="str">
            <v>Parque Industrial Bernardo Quintana</v>
          </cell>
          <cell r="H653">
            <v>76046</v>
          </cell>
          <cell r="J653" t="str">
            <v xml:space="preserve">Querétaro, </v>
          </cell>
          <cell r="K653" t="str">
            <v>México</v>
          </cell>
          <cell r="M653">
            <v>0</v>
          </cell>
          <cell r="N653" t="str">
            <v>22/01/2015</v>
          </cell>
        </row>
        <row r="654">
          <cell r="A654">
            <v>655</v>
          </cell>
          <cell r="B654" t="str">
            <v>MAQPRE, S.A. de C.V.</v>
          </cell>
          <cell r="C654" t="str">
            <v>MAQ050201SY4</v>
          </cell>
          <cell r="D654" t="str">
            <v>Avenida Economía</v>
          </cell>
          <cell r="F654">
            <v>86</v>
          </cell>
          <cell r="G654" t="str">
            <v>Federal</v>
          </cell>
          <cell r="H654">
            <v>15700</v>
          </cell>
          <cell r="I654" t="str">
            <v>Deleg. Venustiano Carranza</v>
          </cell>
          <cell r="J654" t="str">
            <v xml:space="preserve">Distrito Federal, </v>
          </cell>
          <cell r="K654" t="str">
            <v>México</v>
          </cell>
          <cell r="L654" t="str">
            <v>(55) 57843511</v>
          </cell>
          <cell r="M654">
            <v>0</v>
          </cell>
          <cell r="N654" t="str">
            <v>07/08/2014</v>
          </cell>
        </row>
        <row r="655">
          <cell r="A655">
            <v>656</v>
          </cell>
          <cell r="B655" t="str">
            <v>Grupo ABC de México, S.A. de C.V.</v>
          </cell>
          <cell r="C655" t="str">
            <v>GAM950228IZ5</v>
          </cell>
          <cell r="D655" t="str">
            <v>Av. Norte Cuatro</v>
          </cell>
          <cell r="F655">
            <v>7</v>
          </cell>
          <cell r="G655" t="str">
            <v>Nuevo Parque Industrial San Juan del Río</v>
          </cell>
          <cell r="H655">
            <v>76806</v>
          </cell>
          <cell r="I655" t="str">
            <v>San Juan del Río</v>
          </cell>
          <cell r="J655" t="str">
            <v>Querétaro,</v>
          </cell>
          <cell r="K655" t="str">
            <v>México</v>
          </cell>
          <cell r="M655">
            <v>30</v>
          </cell>
          <cell r="N655" t="str">
            <v>04/05/2015</v>
          </cell>
        </row>
        <row r="656">
          <cell r="A656">
            <v>657</v>
          </cell>
          <cell r="B656" t="str">
            <v>HYUNBO, S. de R.L. de C.V.</v>
          </cell>
          <cell r="C656" t="str">
            <v>HYU130910HP9</v>
          </cell>
          <cell r="D656" t="str">
            <v>Paseo de la Reforma</v>
          </cell>
          <cell r="F656">
            <v>222</v>
          </cell>
          <cell r="G656" t="str">
            <v>Juárez</v>
          </cell>
          <cell r="H656">
            <v>6600</v>
          </cell>
          <cell r="I656" t="str">
            <v>Cuahutemoc</v>
          </cell>
          <cell r="J656" t="str">
            <v xml:space="preserve">Distrito Federal, </v>
          </cell>
          <cell r="K656" t="str">
            <v>México</v>
          </cell>
          <cell r="L656" t="str">
            <v>.</v>
          </cell>
          <cell r="M656">
            <v>0</v>
          </cell>
          <cell r="N656" t="str">
            <v>15/08/2014</v>
          </cell>
        </row>
        <row r="657">
          <cell r="A657">
            <v>658</v>
          </cell>
          <cell r="B657" t="str">
            <v>Mexicana de Electrónica Industrial, S.A. de C.V.</v>
          </cell>
          <cell r="C657" t="str">
            <v>MEI850701UK5</v>
          </cell>
          <cell r="D657" t="str">
            <v>Diagonal</v>
          </cell>
          <cell r="F657">
            <v>27</v>
          </cell>
          <cell r="G657" t="str">
            <v>Del Valle</v>
          </cell>
          <cell r="H657">
            <v>3100</v>
          </cell>
          <cell r="J657" t="str">
            <v xml:space="preserve">Distrito Federal, </v>
          </cell>
          <cell r="K657" t="str">
            <v>México</v>
          </cell>
          <cell r="L657" t="str">
            <v>.</v>
          </cell>
          <cell r="M657">
            <v>30</v>
          </cell>
          <cell r="N657" t="str">
            <v>15/08/2014</v>
          </cell>
        </row>
        <row r="658">
          <cell r="A658">
            <v>659</v>
          </cell>
          <cell r="B658" t="str">
            <v>Troquelados Big, S.A. de C.V.</v>
          </cell>
          <cell r="C658" t="str">
            <v>TBI860526A16</v>
          </cell>
          <cell r="D658" t="str">
            <v>Camino Real a San Pedro</v>
          </cell>
          <cell r="E658" t="str">
            <v>2</v>
          </cell>
          <cell r="F658">
            <v>100</v>
          </cell>
          <cell r="G658" t="str">
            <v>Fracc. El Portezuelo</v>
          </cell>
          <cell r="H658">
            <v>78440</v>
          </cell>
          <cell r="I658" t="str">
            <v>Cerro de San Pedro</v>
          </cell>
          <cell r="J658" t="str">
            <v xml:space="preserve">San Luis Potosí, </v>
          </cell>
          <cell r="K658" t="str">
            <v>México</v>
          </cell>
          <cell r="L658" t="str">
            <v>(444) 1440130</v>
          </cell>
          <cell r="M658">
            <v>0</v>
          </cell>
          <cell r="N658" t="str">
            <v>27/04/2015</v>
          </cell>
        </row>
        <row r="659">
          <cell r="A659">
            <v>660</v>
          </cell>
          <cell r="B659" t="str">
            <v>Mexicana de Ingeniería y Maquinaria, S.A. de C.V.</v>
          </cell>
          <cell r="C659" t="str">
            <v>MIM850110FM0</v>
          </cell>
          <cell r="D659" t="str">
            <v>Blvd. Bernardo Quintana</v>
          </cell>
          <cell r="F659">
            <v>27</v>
          </cell>
          <cell r="G659" t="str">
            <v>Fracc. Loma Dorada</v>
          </cell>
          <cell r="H659">
            <v>76060</v>
          </cell>
          <cell r="I659" t="str">
            <v>Querétaro</v>
          </cell>
          <cell r="J659" t="str">
            <v>Querétaro</v>
          </cell>
          <cell r="K659" t="str">
            <v>México</v>
          </cell>
          <cell r="L659" t="str">
            <v>(442) 2134013</v>
          </cell>
          <cell r="M659">
            <v>0</v>
          </cell>
          <cell r="N659" t="str">
            <v>25/08/2014</v>
          </cell>
        </row>
        <row r="660">
          <cell r="A660">
            <v>661</v>
          </cell>
          <cell r="B660" t="str">
            <v>Hudson Garden Products, S.A. de C.V.</v>
          </cell>
          <cell r="C660" t="str">
            <v>HGP040402IP7</v>
          </cell>
          <cell r="D660" t="str">
            <v>Km. 3.5 Ant. Carr. a Tequisquiapan</v>
          </cell>
          <cell r="F660" t="str">
            <v>S/N</v>
          </cell>
          <cell r="G660" t="str">
            <v>Zona Industrial</v>
          </cell>
          <cell r="H660">
            <v>76802</v>
          </cell>
          <cell r="I660" t="str">
            <v>San Juan del Río</v>
          </cell>
          <cell r="J660" t="str">
            <v xml:space="preserve">Querétaro, </v>
          </cell>
          <cell r="K660" t="str">
            <v>México</v>
          </cell>
          <cell r="L660" t="str">
            <v>.</v>
          </cell>
          <cell r="M660">
            <v>0</v>
          </cell>
          <cell r="N660" t="str">
            <v>26/08/2014</v>
          </cell>
        </row>
        <row r="661">
          <cell r="A661">
            <v>662</v>
          </cell>
          <cell r="B661" t="str">
            <v>Hoffmann Quality Tools México, S. de R.L. de C.V.</v>
          </cell>
          <cell r="C661" t="str">
            <v>HQT130527BL5</v>
          </cell>
          <cell r="D661" t="str">
            <v>Avenida Ébano FINSA II</v>
          </cell>
          <cell r="F661" t="str">
            <v>Lote A</v>
          </cell>
          <cell r="G661" t="str">
            <v>Parque Industrial FINSA</v>
          </cell>
          <cell r="H661">
            <v>72710</v>
          </cell>
          <cell r="I661" t="str">
            <v>Cuautlancingo</v>
          </cell>
          <cell r="J661" t="str">
            <v xml:space="preserve">Puebla, </v>
          </cell>
          <cell r="K661" t="str">
            <v>México</v>
          </cell>
          <cell r="M661">
            <v>0</v>
          </cell>
          <cell r="N661" t="str">
            <v>30/01/2015</v>
          </cell>
        </row>
        <row r="662">
          <cell r="A662">
            <v>663</v>
          </cell>
          <cell r="B662" t="str">
            <v>Oscar Alberto Carrillo Solis</v>
          </cell>
          <cell r="C662" t="str">
            <v>CASO680218LW3</v>
          </cell>
          <cell r="D662" t="str">
            <v>Barranca de Urique</v>
          </cell>
          <cell r="F662">
            <v>3205</v>
          </cell>
          <cell r="G662" t="str">
            <v>Fracc. Barrancas</v>
          </cell>
          <cell r="H662">
            <v>31115</v>
          </cell>
          <cell r="I662" t="str">
            <v>Chihuahua</v>
          </cell>
          <cell r="J662" t="str">
            <v>Chihuahua,</v>
          </cell>
          <cell r="K662" t="str">
            <v>México</v>
          </cell>
          <cell r="L662" t="str">
            <v>.</v>
          </cell>
          <cell r="M662">
            <v>0</v>
          </cell>
          <cell r="N662" t="str">
            <v>27/08/2014</v>
          </cell>
        </row>
        <row r="663">
          <cell r="A663">
            <v>664</v>
          </cell>
          <cell r="B663" t="str">
            <v>Calinstrexa, S.A. de C.V.</v>
          </cell>
          <cell r="C663" t="str">
            <v>CAL121203310</v>
          </cell>
          <cell r="D663" t="str">
            <v>Ignacio Mejía</v>
          </cell>
          <cell r="F663">
            <v>19</v>
          </cell>
          <cell r="G663" t="str">
            <v>Lomas de Loreto</v>
          </cell>
          <cell r="H663">
            <v>72260</v>
          </cell>
          <cell r="I663" t="str">
            <v>Puebla</v>
          </cell>
          <cell r="J663" t="str">
            <v>Puebla,</v>
          </cell>
          <cell r="K663" t="str">
            <v>México</v>
          </cell>
          <cell r="L663" t="str">
            <v>.</v>
          </cell>
          <cell r="M663">
            <v>0</v>
          </cell>
          <cell r="N663" t="str">
            <v>19/09/2014</v>
          </cell>
        </row>
        <row r="664">
          <cell r="A664">
            <v>665</v>
          </cell>
          <cell r="B664" t="str">
            <v>Mitsubishi Electric Automotive de México, S.A. de C.V.</v>
          </cell>
          <cell r="D664" t="str">
            <v>Carretera Estatal 500 Km. 4 + 300</v>
          </cell>
          <cell r="F664" t="str">
            <v>Lote 6</v>
          </cell>
          <cell r="G664" t="str">
            <v>Parque Industrial O' Donnell Aeropuerto</v>
          </cell>
          <cell r="H664">
            <v>76250</v>
          </cell>
          <cell r="I664" t="str">
            <v>El Marqués</v>
          </cell>
          <cell r="J664" t="str">
            <v>Querétaro,</v>
          </cell>
          <cell r="K664" t="str">
            <v>México</v>
          </cell>
        </row>
        <row r="665">
          <cell r="A665">
            <v>666</v>
          </cell>
          <cell r="B665" t="str">
            <v>Regent Aerospace Corporation México, S. de R.L. de C.V.</v>
          </cell>
          <cell r="C665" t="str">
            <v>RAC140110M87</v>
          </cell>
          <cell r="D665" t="str">
            <v>Paseo de la Reforma</v>
          </cell>
          <cell r="F665">
            <v>404</v>
          </cell>
          <cell r="G665" t="str">
            <v>Juárez</v>
          </cell>
          <cell r="H665">
            <v>6600</v>
          </cell>
          <cell r="I665" t="str">
            <v>Cuauhtemoc</v>
          </cell>
          <cell r="J665" t="str">
            <v xml:space="preserve">Distrito Federal, </v>
          </cell>
          <cell r="K665" t="str">
            <v>México</v>
          </cell>
          <cell r="L665" t="str">
            <v>.</v>
          </cell>
          <cell r="M665">
            <v>0</v>
          </cell>
          <cell r="N665" t="str">
            <v>09/09/2014</v>
          </cell>
        </row>
        <row r="666">
          <cell r="A666">
            <v>667</v>
          </cell>
          <cell r="B666" t="str">
            <v>Aerometal, S.A. de C.V.</v>
          </cell>
          <cell r="D666" t="str">
            <v>Abraham Lincoln</v>
          </cell>
          <cell r="F666">
            <v>16</v>
          </cell>
          <cell r="G666" t="str">
            <v>Zona Industrial Felipe Carrillo Puerto</v>
          </cell>
          <cell r="H666">
            <v>76138</v>
          </cell>
          <cell r="I666" t="str">
            <v>Querétaro</v>
          </cell>
          <cell r="J666" t="str">
            <v>Querétaro</v>
          </cell>
          <cell r="K666" t="str">
            <v>México</v>
          </cell>
          <cell r="M666">
            <v>0</v>
          </cell>
          <cell r="N666" t="str">
            <v>15/04/2015</v>
          </cell>
        </row>
        <row r="667">
          <cell r="A667">
            <v>668</v>
          </cell>
          <cell r="B667" t="str">
            <v>Canel's, S.A. de C.V.</v>
          </cell>
          <cell r="C667" t="str">
            <v>CAN830210LE8</v>
          </cell>
          <cell r="D667" t="str">
            <v>General I. Martínez</v>
          </cell>
          <cell r="F667">
            <v>500</v>
          </cell>
          <cell r="G667" t="str">
            <v>Santiago del Río</v>
          </cell>
          <cell r="H667">
            <v>78049</v>
          </cell>
          <cell r="I667" t="str">
            <v>San Luis Potosí</v>
          </cell>
          <cell r="J667" t="str">
            <v xml:space="preserve">San Luis Potosí, </v>
          </cell>
          <cell r="K667" t="str">
            <v>México</v>
          </cell>
          <cell r="L667" t="str">
            <v>.</v>
          </cell>
          <cell r="M667">
            <v>0</v>
          </cell>
          <cell r="N667" t="str">
            <v>09/09/2014</v>
          </cell>
        </row>
        <row r="668">
          <cell r="A668">
            <v>669</v>
          </cell>
          <cell r="B668" t="str">
            <v>Jesús Fajardo Reyes</v>
          </cell>
          <cell r="C668" t="str">
            <v>FARJ681005SV2</v>
          </cell>
          <cell r="D668" t="str">
            <v>Huitzilopoztli</v>
          </cell>
          <cell r="F668">
            <v>166</v>
          </cell>
          <cell r="G668" t="str">
            <v>Teotihuacan</v>
          </cell>
          <cell r="H668">
            <v>76116</v>
          </cell>
          <cell r="I668" t="str">
            <v>Querétaro</v>
          </cell>
          <cell r="J668" t="str">
            <v>Querétaro</v>
          </cell>
          <cell r="K668" t="str">
            <v>México</v>
          </cell>
          <cell r="L668" t="str">
            <v>(442) 2436981</v>
          </cell>
          <cell r="M668">
            <v>0</v>
          </cell>
          <cell r="N668" t="str">
            <v>07/04/2015</v>
          </cell>
        </row>
        <row r="669">
          <cell r="A669">
            <v>670</v>
          </cell>
          <cell r="B669" t="str">
            <v>Supply Chain Management Industrial, S. de R.L. de C.V.</v>
          </cell>
          <cell r="C669" t="str">
            <v>SCM090630MN3</v>
          </cell>
          <cell r="D669" t="str">
            <v>Privada los Industriales</v>
          </cell>
          <cell r="E669" t="str">
            <v>105-107</v>
          </cell>
          <cell r="F669">
            <v>110</v>
          </cell>
          <cell r="G669" t="str">
            <v>Parque Industrial Jurica</v>
          </cell>
          <cell r="H669">
            <v>76100</v>
          </cell>
          <cell r="I669" t="str">
            <v>Jurica</v>
          </cell>
          <cell r="J669" t="str">
            <v xml:space="preserve">Querétaro, </v>
          </cell>
          <cell r="K669" t="str">
            <v>México</v>
          </cell>
          <cell r="L669" t="str">
            <v>.</v>
          </cell>
          <cell r="M669">
            <v>0</v>
          </cell>
          <cell r="N669" t="str">
            <v>24/09/2014</v>
          </cell>
        </row>
        <row r="670">
          <cell r="A670">
            <v>671</v>
          </cell>
          <cell r="B670" t="str">
            <v>Alcaraz Antillon, S.A. de C.V.</v>
          </cell>
          <cell r="C670" t="str">
            <v>AAN9108032U8</v>
          </cell>
          <cell r="D670" t="str">
            <v>Av. México - Japón</v>
          </cell>
          <cell r="F670">
            <v>182</v>
          </cell>
          <cell r="G670" t="str">
            <v>Ciudad Industrial</v>
          </cell>
          <cell r="H670">
            <v>38010</v>
          </cell>
          <cell r="I670" t="str">
            <v>Celaya</v>
          </cell>
          <cell r="J670" t="str">
            <v xml:space="preserve">Guanajuato, </v>
          </cell>
          <cell r="K670" t="str">
            <v>México</v>
          </cell>
          <cell r="L670" t="str">
            <v>.</v>
          </cell>
          <cell r="M670">
            <v>0</v>
          </cell>
          <cell r="N670" t="str">
            <v>25/09/2014</v>
          </cell>
        </row>
        <row r="671">
          <cell r="A671">
            <v>673</v>
          </cell>
          <cell r="B671" t="str">
            <v>Inyecciones Plásticas de Querétaro, S.A. de C.V.</v>
          </cell>
          <cell r="C671" t="str">
            <v>IPQ060425H37</v>
          </cell>
          <cell r="D671" t="str">
            <v>Calle Jurica, Bodega 1 y 2</v>
          </cell>
          <cell r="F671">
            <v>124</v>
          </cell>
          <cell r="G671" t="str">
            <v>Parque Industrial Querétaro</v>
          </cell>
          <cell r="H671">
            <v>76220</v>
          </cell>
          <cell r="I671" t="str">
            <v>Santa Rosa Jáuregui</v>
          </cell>
          <cell r="J671" t="str">
            <v>Querétaro,</v>
          </cell>
          <cell r="K671" t="str">
            <v>México</v>
          </cell>
          <cell r="L671" t="str">
            <v>.</v>
          </cell>
          <cell r="M671">
            <v>0</v>
          </cell>
          <cell r="N671" t="str">
            <v>02/10/2014</v>
          </cell>
        </row>
        <row r="672">
          <cell r="A672">
            <v>674</v>
          </cell>
          <cell r="B672" t="str">
            <v>ThyssenKrupp Presta de México, S.A. de C.V.</v>
          </cell>
          <cell r="C672" t="str">
            <v>TPM9809038X0</v>
          </cell>
          <cell r="D672" t="str">
            <v>Calle Circuito Esteban de Antuñano</v>
          </cell>
          <cell r="E672" t="str">
            <v>Manzana 4</v>
          </cell>
          <cell r="F672">
            <v>1</v>
          </cell>
          <cell r="G672" t="str">
            <v>Parque Industrial Cd. Textil Puebla</v>
          </cell>
          <cell r="H672">
            <v>74160</v>
          </cell>
          <cell r="I672" t="str">
            <v>Huejotzingo</v>
          </cell>
          <cell r="J672" t="str">
            <v xml:space="preserve">Puebla, </v>
          </cell>
          <cell r="K672" t="str">
            <v>México</v>
          </cell>
          <cell r="L672" t="str">
            <v>(222) 2237060</v>
          </cell>
          <cell r="M672">
            <v>30</v>
          </cell>
          <cell r="N672" t="str">
            <v>22/04/2015</v>
          </cell>
        </row>
        <row r="673">
          <cell r="A673">
            <v>675</v>
          </cell>
          <cell r="B673" t="str">
            <v>Ecenarro México, S. de R.L. de C.V.</v>
          </cell>
          <cell r="C673" t="str">
            <v>EME140516RA8</v>
          </cell>
          <cell r="D673" t="str">
            <v>Norte</v>
          </cell>
          <cell r="F673">
            <v>2</v>
          </cell>
          <cell r="G673" t="str">
            <v>Ciudad Industrial</v>
          </cell>
          <cell r="H673">
            <v>38010</v>
          </cell>
          <cell r="I673" t="str">
            <v>Celaya</v>
          </cell>
          <cell r="J673" t="str">
            <v xml:space="preserve">Guanajuato, </v>
          </cell>
          <cell r="K673" t="str">
            <v>México</v>
          </cell>
          <cell r="L673" t="str">
            <v>.</v>
          </cell>
          <cell r="M673">
            <v>0</v>
          </cell>
          <cell r="N673" t="str">
            <v>16/12/2014</v>
          </cell>
        </row>
        <row r="674">
          <cell r="A674">
            <v>676</v>
          </cell>
          <cell r="B674" t="str">
            <v>FLEXITECH AUTOMOTIVE MEXICO S de R.L. de C.V.</v>
          </cell>
          <cell r="C674" t="str">
            <v>CFA091019U83</v>
          </cell>
          <cell r="D674" t="str">
            <v>Avenida C.F.E.</v>
          </cell>
          <cell r="F674">
            <v>840</v>
          </cell>
          <cell r="G674" t="str">
            <v>Parque Industrial Milennium</v>
          </cell>
          <cell r="H674">
            <v>78395</v>
          </cell>
          <cell r="I674" t="str">
            <v>San Luis Potosí</v>
          </cell>
          <cell r="J674" t="str">
            <v>San Luis Potosí,</v>
          </cell>
          <cell r="K674" t="str">
            <v>México</v>
          </cell>
          <cell r="L674" t="str">
            <v>(444) 7997345</v>
          </cell>
          <cell r="M674">
            <v>0</v>
          </cell>
          <cell r="N674" t="str">
            <v>13/04/2015</v>
          </cell>
          <cell r="O674" t="str">
            <v>flexitech</v>
          </cell>
        </row>
        <row r="675">
          <cell r="A675">
            <v>677</v>
          </cell>
          <cell r="B675" t="str">
            <v>SPEQTRUM AEROSPACE S. de R.L. de C.V.</v>
          </cell>
          <cell r="C675" t="str">
            <v>-</v>
          </cell>
          <cell r="D675" t="str">
            <v>Av. Parque Ind. Cuadritos</v>
          </cell>
          <cell r="E675">
            <v>114</v>
          </cell>
          <cell r="F675" t="str">
            <v>Mza. A - Lote 11</v>
          </cell>
          <cell r="G675" t="str">
            <v>Condominio Parque Industrial Cuadritos</v>
          </cell>
          <cell r="H675">
            <v>38104</v>
          </cell>
          <cell r="I675" t="str">
            <v>Celaya</v>
          </cell>
          <cell r="J675" t="str">
            <v xml:space="preserve">Guanajuato, </v>
          </cell>
          <cell r="K675" t="str">
            <v>México</v>
          </cell>
          <cell r="L675" t="str">
            <v>.</v>
          </cell>
          <cell r="M675">
            <v>0</v>
          </cell>
          <cell r="N675" t="str">
            <v>24/10/2014</v>
          </cell>
          <cell r="O675" t="str">
            <v>tsoto@spectrum-aero.com</v>
          </cell>
        </row>
        <row r="676">
          <cell r="A676">
            <v>678</v>
          </cell>
          <cell r="B676" t="str">
            <v>Curtiss Wright Controls de México, S.A. de C.V.</v>
          </cell>
          <cell r="C676" t="str">
            <v>CCM930817I38</v>
          </cell>
          <cell r="D676" t="str">
            <v>Circuito el Marqués Norte</v>
          </cell>
          <cell r="F676">
            <v>50</v>
          </cell>
          <cell r="G676" t="str">
            <v>Parque Industrial el Marqués</v>
          </cell>
          <cell r="H676">
            <v>76246</v>
          </cell>
          <cell r="I676" t="str">
            <v>El Marqués</v>
          </cell>
          <cell r="J676" t="str">
            <v xml:space="preserve">Querétaro, </v>
          </cell>
          <cell r="K676" t="str">
            <v>México</v>
          </cell>
          <cell r="L676" t="str">
            <v>.</v>
          </cell>
          <cell r="M676">
            <v>30</v>
          </cell>
          <cell r="N676" t="str">
            <v>23/10/2014</v>
          </cell>
          <cell r="O676" t="str">
            <v>jccastro@curtisswright.com</v>
          </cell>
        </row>
        <row r="677">
          <cell r="A677">
            <v>679</v>
          </cell>
          <cell r="B677" t="str">
            <v>ACG División Maquinados, S.A. de C.V.</v>
          </cell>
          <cell r="C677" t="str">
            <v>ADM021119PK3</v>
          </cell>
          <cell r="D677" t="str">
            <v>Guayakiri</v>
          </cell>
          <cell r="E677" t="str">
            <v>Nave 1</v>
          </cell>
          <cell r="F677">
            <v>624</v>
          </cell>
          <cell r="G677" t="str">
            <v>Loma Bonita</v>
          </cell>
          <cell r="H677">
            <v>76049</v>
          </cell>
          <cell r="I677" t="str">
            <v>Querétaro</v>
          </cell>
          <cell r="J677" t="str">
            <v>Querétaro</v>
          </cell>
          <cell r="K677" t="str">
            <v>México</v>
          </cell>
          <cell r="L677" t="str">
            <v>(442) 182497</v>
          </cell>
          <cell r="M677">
            <v>0</v>
          </cell>
          <cell r="N677" t="str">
            <v>17/04/2015</v>
          </cell>
        </row>
        <row r="678">
          <cell r="A678">
            <v>680</v>
          </cell>
          <cell r="B678" t="str">
            <v>Mazda Motor Manufacturing de México, S.A. de C.V.</v>
          </cell>
          <cell r="C678" t="str">
            <v>MMM110613MZ4</v>
          </cell>
          <cell r="D678" t="str">
            <v>Av. Hiroshima</v>
          </cell>
          <cell r="F678">
            <v>1000</v>
          </cell>
          <cell r="G678" t="str">
            <v>Complejo Industrial Salamanca</v>
          </cell>
          <cell r="H678">
            <v>36875</v>
          </cell>
          <cell r="I678" t="str">
            <v>Salamanca</v>
          </cell>
          <cell r="J678" t="str">
            <v xml:space="preserve">Guanajuato, </v>
          </cell>
          <cell r="K678" t="str">
            <v>México</v>
          </cell>
          <cell r="M678">
            <v>60</v>
          </cell>
          <cell r="N678" t="str">
            <v>16/04/2015</v>
          </cell>
        </row>
        <row r="679">
          <cell r="A679">
            <v>681</v>
          </cell>
          <cell r="B679" t="str">
            <v>Maquindell, S.A. de C.V.</v>
          </cell>
          <cell r="C679" t="str">
            <v>MAQ100116QK8</v>
          </cell>
          <cell r="D679" t="str">
            <v>Calle Cerro del Chiquihuite</v>
          </cell>
          <cell r="F679" t="str">
            <v>22A</v>
          </cell>
          <cell r="G679" t="str">
            <v>San Pablo</v>
          </cell>
          <cell r="H679">
            <v>76130</v>
          </cell>
          <cell r="I679" t="str">
            <v>Querétaro</v>
          </cell>
          <cell r="J679" t="str">
            <v>Querétaro</v>
          </cell>
          <cell r="K679" t="str">
            <v>México</v>
          </cell>
          <cell r="L679" t="str">
            <v>(442) 2102121</v>
          </cell>
          <cell r="M679">
            <v>0</v>
          </cell>
          <cell r="N679" t="str">
            <v>28/10/2014</v>
          </cell>
        </row>
        <row r="680">
          <cell r="A680">
            <v>682</v>
          </cell>
          <cell r="B680" t="str">
            <v>Bombas Verticales BNJ, S.A. de C.V.</v>
          </cell>
          <cell r="C680" t="str">
            <v>BVB811118CX0</v>
          </cell>
          <cell r="D680" t="str">
            <v>Blvd. Adolfo López Mateos</v>
          </cell>
          <cell r="F680" t="str">
            <v>206 Pte.</v>
          </cell>
          <cell r="G680" t="str">
            <v>Centro</v>
          </cell>
          <cell r="H680">
            <v>38000</v>
          </cell>
          <cell r="I680" t="str">
            <v>Celaya</v>
          </cell>
          <cell r="J680" t="str">
            <v xml:space="preserve">Guanajuato, </v>
          </cell>
          <cell r="K680" t="str">
            <v>México</v>
          </cell>
          <cell r="L680" t="str">
            <v>(461) 611 5960</v>
          </cell>
          <cell r="M680">
            <v>0</v>
          </cell>
          <cell r="N680" t="str">
            <v>29/10/2014</v>
          </cell>
        </row>
        <row r="681">
          <cell r="A681">
            <v>683</v>
          </cell>
          <cell r="B681" t="str">
            <v>INNOVIA FILMS MEXICO S.A. de C.V.</v>
          </cell>
          <cell r="D681" t="str">
            <v>Colorines</v>
          </cell>
          <cell r="F681">
            <v>255</v>
          </cell>
          <cell r="G681" t="str">
            <v>Centro</v>
          </cell>
          <cell r="H681">
            <v>58600</v>
          </cell>
          <cell r="I681" t="str">
            <v>Zacapu</v>
          </cell>
          <cell r="J681" t="str">
            <v xml:space="preserve">Michoacán, </v>
          </cell>
          <cell r="K681" t="str">
            <v>México</v>
          </cell>
          <cell r="M681">
            <v>30</v>
          </cell>
          <cell r="N681" t="str">
            <v>04/12/2014</v>
          </cell>
        </row>
        <row r="682">
          <cell r="A682">
            <v>684</v>
          </cell>
          <cell r="B682" t="str">
            <v>Fabricaciones C.N.C. de Querétaro, S.A. de C.V.</v>
          </cell>
          <cell r="C682" t="str">
            <v>FCQ060511CU6</v>
          </cell>
          <cell r="D682" t="str">
            <v>Monterrey</v>
          </cell>
          <cell r="F682">
            <v>17</v>
          </cell>
          <cell r="G682" t="str">
            <v>San José de los Olvera</v>
          </cell>
          <cell r="H682">
            <v>76902</v>
          </cell>
          <cell r="I682" t="str">
            <v>Corregidora</v>
          </cell>
          <cell r="J682" t="str">
            <v>Querétaro,</v>
          </cell>
          <cell r="K682" t="str">
            <v>México</v>
          </cell>
          <cell r="M682">
            <v>30</v>
          </cell>
          <cell r="N682" t="str">
            <v>29/04/2015</v>
          </cell>
        </row>
        <row r="683">
          <cell r="A683">
            <v>685</v>
          </cell>
          <cell r="B683" t="str">
            <v>Paulo César Ruiz Pérez</v>
          </cell>
          <cell r="C683" t="str">
            <v>RUPP720629D46</v>
          </cell>
          <cell r="D683" t="str">
            <v>Ignacio Ramirez</v>
          </cell>
          <cell r="F683">
            <v>180</v>
          </cell>
          <cell r="G683" t="str">
            <v>Barrio de San Sebastián</v>
          </cell>
          <cell r="H683">
            <v>78349</v>
          </cell>
          <cell r="I683" t="str">
            <v>San Luis Potosí</v>
          </cell>
          <cell r="J683" t="str">
            <v xml:space="preserve">San Luis Potosí, </v>
          </cell>
          <cell r="K683" t="str">
            <v>México</v>
          </cell>
          <cell r="L683" t="str">
            <v>.</v>
          </cell>
          <cell r="M683">
            <v>0</v>
          </cell>
          <cell r="N683" t="str">
            <v>31/10/2014</v>
          </cell>
        </row>
        <row r="684">
          <cell r="A684">
            <v>686</v>
          </cell>
          <cell r="B684" t="str">
            <v>Embalajes Winpak de México, S.A. de C.V.</v>
          </cell>
          <cell r="C684" t="str">
            <v>EWM111005EU6</v>
          </cell>
          <cell r="D684" t="str">
            <v>Av. de la Montaña</v>
          </cell>
          <cell r="F684" t="str">
            <v>112 MT1 Mod 2</v>
          </cell>
          <cell r="G684" t="str">
            <v>Parque Industrial Querétaro</v>
          </cell>
          <cell r="H684">
            <v>76220</v>
          </cell>
          <cell r="I684" t="str">
            <v>Santa Rosa Jáuregui</v>
          </cell>
          <cell r="J684" t="str">
            <v xml:space="preserve">Querétaro, </v>
          </cell>
          <cell r="K684" t="str">
            <v>México</v>
          </cell>
          <cell r="L684" t="str">
            <v>(442) 2561900</v>
          </cell>
          <cell r="M684">
            <v>30</v>
          </cell>
          <cell r="N684" t="str">
            <v>04/05/2015</v>
          </cell>
        </row>
        <row r="685">
          <cell r="A685">
            <v>687</v>
          </cell>
          <cell r="B685" t="str">
            <v>Calibraciones Profesionales e Ingeniería, S.A. de C.V.</v>
          </cell>
          <cell r="C685" t="str">
            <v>CPI990527J81</v>
          </cell>
          <cell r="D685" t="str">
            <v>Paseo de España</v>
          </cell>
          <cell r="F685">
            <v>83</v>
          </cell>
          <cell r="G685" t="str">
            <v>Lomas Verdes</v>
          </cell>
          <cell r="H685">
            <v>53125</v>
          </cell>
          <cell r="I685" t="str">
            <v>Naucalpan de Juárez</v>
          </cell>
          <cell r="J685" t="str">
            <v xml:space="preserve">Estado de México, </v>
          </cell>
          <cell r="K685" t="str">
            <v>México</v>
          </cell>
          <cell r="L685" t="str">
            <v>(55) 53627431</v>
          </cell>
          <cell r="M685">
            <v>0</v>
          </cell>
          <cell r="N685" t="str">
            <v>05/11/2014</v>
          </cell>
        </row>
        <row r="686">
          <cell r="A686">
            <v>688</v>
          </cell>
          <cell r="B686" t="str">
            <v>IORSA, S. de R.L. de C.V.</v>
          </cell>
          <cell r="C686" t="str">
            <v>IOR101030918</v>
          </cell>
          <cell r="D686" t="str">
            <v>Calle Hacienda Tierra Blanca</v>
          </cell>
          <cell r="F686">
            <v>212</v>
          </cell>
          <cell r="G686" t="str">
            <v>Las Teresas</v>
          </cell>
          <cell r="H686">
            <v>76138</v>
          </cell>
          <cell r="I686" t="str">
            <v>Querétaro</v>
          </cell>
          <cell r="J686" t="str">
            <v>Querétaro</v>
          </cell>
          <cell r="K686" t="str">
            <v>México</v>
          </cell>
          <cell r="L686" t="str">
            <v>.</v>
          </cell>
          <cell r="M686">
            <v>0</v>
          </cell>
          <cell r="N686" t="str">
            <v>06/11/2014</v>
          </cell>
        </row>
        <row r="687">
          <cell r="A687">
            <v>689</v>
          </cell>
          <cell r="B687" t="str">
            <v>Marpross, S.A. de C.V.</v>
          </cell>
          <cell r="C687" t="str">
            <v>MAR8107143L2</v>
          </cell>
          <cell r="D687" t="str">
            <v>Blvd. Adolfo López Mateos</v>
          </cell>
          <cell r="F687">
            <v>40</v>
          </cell>
          <cell r="G687" t="str">
            <v>Club de Golf Bellavista</v>
          </cell>
          <cell r="H687">
            <v>52995</v>
          </cell>
          <cell r="I687" t="str">
            <v>Atizapán</v>
          </cell>
          <cell r="J687" t="str">
            <v xml:space="preserve">Estado de México, </v>
          </cell>
          <cell r="K687" t="str">
            <v>México</v>
          </cell>
          <cell r="L687" t="str">
            <v>(55) 53705533</v>
          </cell>
          <cell r="M687">
            <v>0</v>
          </cell>
          <cell r="N687" t="str">
            <v>18/11/2014</v>
          </cell>
        </row>
        <row r="688">
          <cell r="A688">
            <v>690</v>
          </cell>
          <cell r="B688" t="str">
            <v>SEP / CRODE CELAYA</v>
          </cell>
          <cell r="C688" t="str">
            <v>SEP210905778</v>
          </cell>
          <cell r="D688" t="str">
            <v>Calle Nezahualcóyotl</v>
          </cell>
          <cell r="F688">
            <v>127</v>
          </cell>
          <cell r="G688" t="str">
            <v>Centro</v>
          </cell>
          <cell r="H688">
            <v>6080</v>
          </cell>
          <cell r="I688" t="str">
            <v>Deleg. Cuauhtémoc</v>
          </cell>
          <cell r="J688" t="str">
            <v xml:space="preserve">Distrito Federal, </v>
          </cell>
          <cell r="K688" t="str">
            <v>México</v>
          </cell>
          <cell r="L688" t="str">
            <v>.</v>
          </cell>
          <cell r="M688">
            <v>0</v>
          </cell>
          <cell r="N688" t="str">
            <v>18/11/2014</v>
          </cell>
        </row>
        <row r="689">
          <cell r="A689">
            <v>691</v>
          </cell>
          <cell r="B689" t="str">
            <v>U-Shin Autoparts México, S.A. de C.V.</v>
          </cell>
          <cell r="C689" t="str">
            <v>UAM1201015BA</v>
          </cell>
          <cell r="D689" t="str">
            <v>Calle Santiago</v>
          </cell>
          <cell r="F689">
            <v>387</v>
          </cell>
          <cell r="G689" t="str">
            <v>Centro Industrial de Guanajuato</v>
          </cell>
          <cell r="H689">
            <v>36835</v>
          </cell>
          <cell r="I689" t="str">
            <v>Irapuato</v>
          </cell>
          <cell r="J689" t="str">
            <v xml:space="preserve">Guanajuato, </v>
          </cell>
          <cell r="K689" t="str">
            <v>México</v>
          </cell>
          <cell r="L689" t="str">
            <v>.</v>
          </cell>
          <cell r="M689">
            <v>0</v>
          </cell>
          <cell r="N689" t="str">
            <v>19/11/2014</v>
          </cell>
        </row>
        <row r="690">
          <cell r="A690">
            <v>692</v>
          </cell>
          <cell r="B690" t="str">
            <v>BK System, S. de R.L. de C.V.</v>
          </cell>
          <cell r="C690" t="str">
            <v>BKS020614HE1</v>
          </cell>
          <cell r="D690" t="str">
            <v>Av. Lomas Verdes</v>
          </cell>
          <cell r="F690">
            <v>20</v>
          </cell>
          <cell r="G690" t="str">
            <v>Rancho Viejo</v>
          </cell>
          <cell r="H690">
            <v>91300</v>
          </cell>
          <cell r="I690" t="str">
            <v>Banderilla</v>
          </cell>
          <cell r="J690" t="str">
            <v xml:space="preserve">Veracruz, </v>
          </cell>
          <cell r="K690" t="str">
            <v>México</v>
          </cell>
          <cell r="L690" t="str">
            <v>.</v>
          </cell>
          <cell r="M690">
            <v>0</v>
          </cell>
          <cell r="N690" t="str">
            <v>20/11/2014</v>
          </cell>
        </row>
        <row r="691">
          <cell r="A691">
            <v>693</v>
          </cell>
          <cell r="B691" t="str">
            <v>Moeller Manufacturing de México, S de R.L. de C.V.</v>
          </cell>
          <cell r="C691" t="str">
            <v>MMM060922969</v>
          </cell>
          <cell r="D691" t="str">
            <v>Cto. El Marqués Sur</v>
          </cell>
          <cell r="F691">
            <v>43</v>
          </cell>
          <cell r="G691" t="str">
            <v>Parque Industrial el Marqués</v>
          </cell>
          <cell r="H691">
            <v>76246</v>
          </cell>
          <cell r="I691" t="str">
            <v>El Marqués</v>
          </cell>
          <cell r="J691" t="str">
            <v xml:space="preserve">Querétaro, </v>
          </cell>
          <cell r="K691" t="str">
            <v>México</v>
          </cell>
          <cell r="M691">
            <v>30</v>
          </cell>
          <cell r="N691" t="str">
            <v>09/03/2015</v>
          </cell>
        </row>
        <row r="692">
          <cell r="A692">
            <v>694</v>
          </cell>
          <cell r="B692" t="str">
            <v>EDEMTEC, S.A. de C.V.</v>
          </cell>
          <cell r="C692" t="str">
            <v>EDE001013G67</v>
          </cell>
          <cell r="D692" t="str">
            <v>Hegel</v>
          </cell>
          <cell r="F692">
            <v>141</v>
          </cell>
          <cell r="G692" t="str">
            <v>Chapultepec Morales</v>
          </cell>
          <cell r="H692">
            <v>11570</v>
          </cell>
          <cell r="J692" t="str">
            <v xml:space="preserve">Distrito Federal, </v>
          </cell>
          <cell r="K692" t="str">
            <v>México</v>
          </cell>
          <cell r="L692" t="str">
            <v>(55) 55312929</v>
          </cell>
          <cell r="M692">
            <v>0</v>
          </cell>
          <cell r="N692" t="str">
            <v>28/11/2014</v>
          </cell>
        </row>
        <row r="693">
          <cell r="A693">
            <v>695</v>
          </cell>
          <cell r="B693" t="str">
            <v>Topre Autoparts México, S.A. de C.V.</v>
          </cell>
          <cell r="C693" t="str">
            <v>TAM1112169N0</v>
          </cell>
          <cell r="D693" t="str">
            <v>Yaquis</v>
          </cell>
          <cell r="F693">
            <v>9</v>
          </cell>
          <cell r="G693" t="str">
            <v>Nuevo Parque Industrial</v>
          </cell>
          <cell r="H693">
            <v>76806</v>
          </cell>
          <cell r="I693" t="str">
            <v>San Juan del Río</v>
          </cell>
          <cell r="J693" t="str">
            <v xml:space="preserve">Querétaro, </v>
          </cell>
          <cell r="K693" t="str">
            <v>México</v>
          </cell>
          <cell r="M693">
            <v>30</v>
          </cell>
          <cell r="N693" t="str">
            <v>01/04/2015</v>
          </cell>
        </row>
        <row r="694">
          <cell r="A694">
            <v>696</v>
          </cell>
          <cell r="B694" t="str">
            <v>Grupo Maraar, S. de R.L. de C.V.</v>
          </cell>
          <cell r="C694" t="str">
            <v>GMA121213BK6</v>
          </cell>
          <cell r="D694" t="str">
            <v>Avenida Tecnológico Sur</v>
          </cell>
          <cell r="F694">
            <v>134</v>
          </cell>
          <cell r="G694" t="str">
            <v>Moderna</v>
          </cell>
          <cell r="H694">
            <v>76030</v>
          </cell>
          <cell r="I694" t="str">
            <v>Querétaro</v>
          </cell>
          <cell r="J694" t="str">
            <v>Querétaro</v>
          </cell>
          <cell r="K694" t="str">
            <v>México</v>
          </cell>
          <cell r="L694" t="str">
            <v>.</v>
          </cell>
          <cell r="M694">
            <v>0</v>
          </cell>
          <cell r="N694" t="str">
            <v>02/12/2014</v>
          </cell>
        </row>
        <row r="695">
          <cell r="A695">
            <v>697</v>
          </cell>
          <cell r="B695" t="str">
            <v>Laboratorio de Calibración y Calificación, S.A. de C.V.</v>
          </cell>
          <cell r="C695" t="str">
            <v>LCC050505PT8</v>
          </cell>
          <cell r="D695" t="str">
            <v>Calle 1 B</v>
          </cell>
          <cell r="F695">
            <v>73</v>
          </cell>
          <cell r="G695" t="str">
            <v>San José de la Escalera</v>
          </cell>
          <cell r="H695">
            <v>7630</v>
          </cell>
          <cell r="J695" t="str">
            <v>Distrito Federal,</v>
          </cell>
          <cell r="K695" t="str">
            <v>México</v>
          </cell>
          <cell r="M695">
            <v>0</v>
          </cell>
          <cell r="N695" t="str">
            <v>05/05/2015</v>
          </cell>
        </row>
        <row r="696">
          <cell r="A696">
            <v>698</v>
          </cell>
          <cell r="B696" t="str">
            <v>Remedios Guerrero Toral</v>
          </cell>
          <cell r="C696" t="str">
            <v>GUTR730815QP3</v>
          </cell>
          <cell r="D696" t="str">
            <v>Calle La Paloma</v>
          </cell>
          <cell r="F696" t="str">
            <v>S/N</v>
          </cell>
          <cell r="G696" t="str">
            <v>Colinas del SUR</v>
          </cell>
          <cell r="H696">
            <v>76903</v>
          </cell>
          <cell r="I696" t="str">
            <v>Corregidora</v>
          </cell>
          <cell r="J696" t="str">
            <v xml:space="preserve">Querétaro, </v>
          </cell>
          <cell r="K696" t="str">
            <v>México</v>
          </cell>
          <cell r="L696" t="str">
            <v>.</v>
          </cell>
          <cell r="M696">
            <v>0</v>
          </cell>
          <cell r="N696" t="str">
            <v>05/12/2014</v>
          </cell>
        </row>
        <row r="697">
          <cell r="A697">
            <v>699</v>
          </cell>
          <cell r="B697" t="str">
            <v>Francisco Javier Estrella Uribe</v>
          </cell>
          <cell r="C697" t="str">
            <v>EEUF871222TEQ</v>
          </cell>
          <cell r="D697" t="str">
            <v>Calle Oyamel</v>
          </cell>
          <cell r="F697">
            <v>14</v>
          </cell>
          <cell r="G697" t="str">
            <v>Fracc. Misión San José</v>
          </cell>
          <cell r="H697">
            <v>76907</v>
          </cell>
          <cell r="I697" t="str">
            <v>Corregidora</v>
          </cell>
          <cell r="J697" t="str">
            <v>Querétaro,</v>
          </cell>
          <cell r="K697" t="str">
            <v>México</v>
          </cell>
          <cell r="L697" t="str">
            <v>.</v>
          </cell>
          <cell r="M697">
            <v>0</v>
          </cell>
          <cell r="N697" t="str">
            <v>05/12/2014</v>
          </cell>
        </row>
        <row r="698">
          <cell r="A698">
            <v>700</v>
          </cell>
          <cell r="B698" t="str">
            <v>Control y Verificación de Calidad, S.A. de C.V.</v>
          </cell>
          <cell r="C698" t="str">
            <v>CVC891107IT1</v>
          </cell>
          <cell r="D698" t="str">
            <v>Nuestra Señora de Guadalupe Manzana 8 Lote 1</v>
          </cell>
          <cell r="F698" t="str">
            <v>Sin Número</v>
          </cell>
          <cell r="G698" t="str">
            <v>Tres Marías</v>
          </cell>
          <cell r="H698">
            <v>56604</v>
          </cell>
          <cell r="I698" t="str">
            <v>Chalco</v>
          </cell>
          <cell r="J698" t="str">
            <v xml:space="preserve">Estado de México, </v>
          </cell>
          <cell r="K698" t="str">
            <v>México</v>
          </cell>
          <cell r="L698" t="str">
            <v>.</v>
          </cell>
          <cell r="M698">
            <v>0</v>
          </cell>
          <cell r="N698" t="str">
            <v>08/12/2014</v>
          </cell>
        </row>
        <row r="699">
          <cell r="A699">
            <v>701</v>
          </cell>
          <cell r="B699" t="str">
            <v>Proveedora Medina, S. de R.L. de C.V.</v>
          </cell>
          <cell r="C699" t="str">
            <v>PME1109209N2</v>
          </cell>
          <cell r="D699" t="str">
            <v>Circuito El Marques Sur</v>
          </cell>
          <cell r="F699">
            <v>12</v>
          </cell>
          <cell r="G699" t="str">
            <v>Parque Ind. El Marqués</v>
          </cell>
          <cell r="H699">
            <v>76246</v>
          </cell>
          <cell r="I699" t="str">
            <v>El Marqués</v>
          </cell>
          <cell r="J699" t="str">
            <v xml:space="preserve">Querétaro, </v>
          </cell>
          <cell r="K699" t="str">
            <v>México</v>
          </cell>
          <cell r="L699" t="str">
            <v>.</v>
          </cell>
          <cell r="M699">
            <v>0</v>
          </cell>
          <cell r="N699" t="str">
            <v>10/12/2014</v>
          </cell>
        </row>
        <row r="700">
          <cell r="A700">
            <v>702</v>
          </cell>
          <cell r="B700" t="str">
            <v>Fugra, S.A. de C.V.</v>
          </cell>
          <cell r="C700" t="str">
            <v>FUG0705013M4</v>
          </cell>
          <cell r="D700" t="str">
            <v>Circuito de la Industria Norte</v>
          </cell>
          <cell r="F700">
            <v>6</v>
          </cell>
          <cell r="G700" t="str">
            <v>Parque Industria Lerma</v>
          </cell>
          <cell r="H700">
            <v>52000</v>
          </cell>
          <cell r="J700" t="str">
            <v xml:space="preserve">Estado de México, </v>
          </cell>
          <cell r="K700" t="str">
            <v>México</v>
          </cell>
          <cell r="M700">
            <v>45</v>
          </cell>
          <cell r="N700" t="str">
            <v>20/04/2015</v>
          </cell>
        </row>
        <row r="701">
          <cell r="A701">
            <v>703</v>
          </cell>
          <cell r="B701" t="str">
            <v>Rocamplastic de México, S.A. de C.V.</v>
          </cell>
          <cell r="C701" t="str">
            <v>RME080522CP9</v>
          </cell>
          <cell r="D701" t="str">
            <v>Calle Jacarandas</v>
          </cell>
          <cell r="F701">
            <v>15</v>
          </cell>
          <cell r="G701" t="str">
            <v>Los Olvera</v>
          </cell>
          <cell r="H701">
            <v>76904</v>
          </cell>
          <cell r="I701" t="str">
            <v>Querétaro</v>
          </cell>
          <cell r="J701" t="str">
            <v>Querétaro</v>
          </cell>
          <cell r="K701" t="str">
            <v>México</v>
          </cell>
          <cell r="M701">
            <v>0</v>
          </cell>
          <cell r="N701" t="str">
            <v>19/12/2014</v>
          </cell>
        </row>
        <row r="702">
          <cell r="A702">
            <v>704</v>
          </cell>
          <cell r="B702" t="str">
            <v>Calibración de Instrumentos y Metrología Avanzada, S.C.</v>
          </cell>
          <cell r="C702" t="str">
            <v>CIM131213AY9</v>
          </cell>
          <cell r="D702" t="str">
            <v>Puerta de Enmedio</v>
          </cell>
          <cell r="F702">
            <v>69</v>
          </cell>
          <cell r="G702" t="str">
            <v>Pueblito Colonial</v>
          </cell>
          <cell r="H702">
            <v>76908</v>
          </cell>
          <cell r="I702" t="str">
            <v>Corregidora</v>
          </cell>
          <cell r="J702" t="str">
            <v>Querétaro,</v>
          </cell>
          <cell r="K702" t="str">
            <v>México</v>
          </cell>
          <cell r="M702">
            <v>0</v>
          </cell>
          <cell r="N702" t="str">
            <v>13/01/2015</v>
          </cell>
        </row>
        <row r="703">
          <cell r="A703">
            <v>705</v>
          </cell>
          <cell r="B703" t="str">
            <v>Shape Corp México, S. de R.L. de C.V.</v>
          </cell>
          <cell r="C703" t="str">
            <v>SCM0411166F6</v>
          </cell>
          <cell r="D703" t="str">
            <v>La Estacada</v>
          </cell>
          <cell r="F703">
            <v>312</v>
          </cell>
          <cell r="G703" t="str">
            <v>Parque Industrial Querétaro</v>
          </cell>
          <cell r="H703">
            <v>76220</v>
          </cell>
          <cell r="I703" t="str">
            <v>Querétaro</v>
          </cell>
          <cell r="J703" t="str">
            <v>Querétaro</v>
          </cell>
          <cell r="K703" t="str">
            <v>México</v>
          </cell>
          <cell r="M703">
            <v>0</v>
          </cell>
          <cell r="N703" t="str">
            <v>14/01/2015</v>
          </cell>
        </row>
        <row r="704">
          <cell r="A704">
            <v>706</v>
          </cell>
          <cell r="B704" t="str">
            <v>SIA Automation, S. de R.L. de C.V.</v>
          </cell>
          <cell r="C704" t="str">
            <v>SAU021122NJ5</v>
          </cell>
          <cell r="D704" t="str">
            <v>Avenida Guanajuato</v>
          </cell>
          <cell r="F704">
            <v>406</v>
          </cell>
          <cell r="G704" t="str">
            <v>Jardines del Moral</v>
          </cell>
          <cell r="H704">
            <v>37160</v>
          </cell>
          <cell r="I704" t="str">
            <v>León</v>
          </cell>
          <cell r="J704" t="str">
            <v xml:space="preserve">Guanajuato, </v>
          </cell>
          <cell r="K704" t="str">
            <v>México</v>
          </cell>
          <cell r="L704" t="str">
            <v>(449) 9711951 al 53</v>
          </cell>
          <cell r="M704">
            <v>0</v>
          </cell>
          <cell r="N704" t="str">
            <v>16/01/2015</v>
          </cell>
        </row>
        <row r="705">
          <cell r="A705">
            <v>707</v>
          </cell>
          <cell r="B705" t="str">
            <v>Jose Ignacio Mata Ruiz</v>
          </cell>
          <cell r="C705" t="str">
            <v>MARI840704LZ8</v>
          </cell>
          <cell r="D705" t="str">
            <v>C. Libertad y Progreso</v>
          </cell>
          <cell r="F705">
            <v>14</v>
          </cell>
          <cell r="G705" t="str">
            <v>Barrio Nuevo de San Miguel Contla</v>
          </cell>
          <cell r="H705">
            <v>90640</v>
          </cell>
          <cell r="I705" t="str">
            <v>Santa Cruz Tlaxcala</v>
          </cell>
          <cell r="J705" t="str">
            <v xml:space="preserve">Tlaxcala, </v>
          </cell>
          <cell r="K705" t="str">
            <v>México</v>
          </cell>
          <cell r="M705">
            <v>0</v>
          </cell>
          <cell r="N705" t="str">
            <v>19/01/2015</v>
          </cell>
        </row>
        <row r="706">
          <cell r="A706">
            <v>708</v>
          </cell>
          <cell r="B706" t="str">
            <v>M Tech de México, S.A. de C.V.</v>
          </cell>
          <cell r="C706" t="str">
            <v>MTM041216HS1</v>
          </cell>
          <cell r="D706" t="str">
            <v>Avenida Hércules</v>
          </cell>
          <cell r="F706" t="str">
            <v>Sin Número</v>
          </cell>
          <cell r="G706" t="str">
            <v>Polígono Empresarial Santa Rosa Jáuregui</v>
          </cell>
          <cell r="H706">
            <v>76220</v>
          </cell>
          <cell r="I706" t="str">
            <v>Querétaro</v>
          </cell>
          <cell r="J706" t="str">
            <v>Querétaro</v>
          </cell>
          <cell r="K706" t="str">
            <v>México</v>
          </cell>
          <cell r="M706">
            <v>0</v>
          </cell>
          <cell r="N706" t="str">
            <v>25/03/2015</v>
          </cell>
        </row>
        <row r="707">
          <cell r="A707">
            <v>709</v>
          </cell>
          <cell r="B707" t="str">
            <v>Servicios Vistamex, S.A. de C.V.</v>
          </cell>
          <cell r="C707" t="str">
            <v>SVI071129N14</v>
          </cell>
          <cell r="D707" t="str">
            <v>Autopista Querétaro - Irapuato Km. 36</v>
          </cell>
          <cell r="F707" t="str">
            <v>S/N</v>
          </cell>
          <cell r="G707" t="str">
            <v>Zona Industrial</v>
          </cell>
          <cell r="H707">
            <v>38160</v>
          </cell>
          <cell r="I707" t="str">
            <v>Apaseo el Grande</v>
          </cell>
          <cell r="J707" t="str">
            <v xml:space="preserve">Guanajuato, </v>
          </cell>
          <cell r="K707" t="str">
            <v>México</v>
          </cell>
          <cell r="L707" t="str">
            <v>(461) 61 86199</v>
          </cell>
          <cell r="M707">
            <v>30</v>
          </cell>
          <cell r="N707" t="str">
            <v>12/02/2015</v>
          </cell>
        </row>
        <row r="708">
          <cell r="A708">
            <v>710</v>
          </cell>
          <cell r="B708" t="str">
            <v>Heriberto  Perez Resendiz</v>
          </cell>
          <cell r="C708" t="str">
            <v>PERH820117D3A</v>
          </cell>
          <cell r="D708" t="str">
            <v>San Francisco</v>
          </cell>
          <cell r="F708" t="str">
            <v>S/N</v>
          </cell>
          <cell r="G708" t="str">
            <v>Ignacio Perez</v>
          </cell>
          <cell r="H708">
            <v>76720</v>
          </cell>
          <cell r="I708" t="str">
            <v>Pedro Escobedo</v>
          </cell>
          <cell r="J708" t="str">
            <v>Querétaro,</v>
          </cell>
          <cell r="K708" t="str">
            <v>México</v>
          </cell>
          <cell r="L708" t="str">
            <v>(448) 1033440</v>
          </cell>
          <cell r="M708">
            <v>0</v>
          </cell>
          <cell r="N708" t="str">
            <v>16/02/2015</v>
          </cell>
        </row>
        <row r="709">
          <cell r="A709">
            <v>711</v>
          </cell>
          <cell r="B709" t="str">
            <v>Manufacturera Metálica, S.A. de C.V.</v>
          </cell>
          <cell r="C709" t="str">
            <v>MME910130QR1</v>
          </cell>
          <cell r="D709" t="str">
            <v>Av. Miguel Hidalgo</v>
          </cell>
          <cell r="F709">
            <v>67</v>
          </cell>
          <cell r="G709" t="str">
            <v>Santa Clara Coatitla</v>
          </cell>
          <cell r="H709">
            <v>55540</v>
          </cell>
          <cell r="I709" t="str">
            <v>Ecatepec</v>
          </cell>
          <cell r="J709" t="str">
            <v xml:space="preserve">Estado de México, </v>
          </cell>
          <cell r="K709" t="str">
            <v>México</v>
          </cell>
          <cell r="L709" t="str">
            <v>(55) 57551100</v>
          </cell>
          <cell r="M709">
            <v>0</v>
          </cell>
          <cell r="N709" t="str">
            <v>17/02/2015</v>
          </cell>
        </row>
        <row r="710">
          <cell r="A710">
            <v>712</v>
          </cell>
          <cell r="B710" t="str">
            <v>Canhefern, S.A. de C.V.</v>
          </cell>
          <cell r="C710" t="str">
            <v>CAN0212104V8</v>
          </cell>
          <cell r="D710" t="str">
            <v>Unión</v>
          </cell>
          <cell r="F710">
            <v>207</v>
          </cell>
          <cell r="G710" t="str">
            <v xml:space="preserve">Guadalupe Tepeyac </v>
          </cell>
          <cell r="H710">
            <v>7840</v>
          </cell>
          <cell r="I710" t="str">
            <v>Gustavo A. Madero</v>
          </cell>
          <cell r="J710" t="str">
            <v xml:space="preserve">Distrito Federal, </v>
          </cell>
          <cell r="K710" t="str">
            <v>México</v>
          </cell>
          <cell r="M710">
            <v>30</v>
          </cell>
          <cell r="N710" t="str">
            <v>25/03/2015</v>
          </cell>
        </row>
        <row r="711">
          <cell r="A711">
            <v>713</v>
          </cell>
          <cell r="B711" t="str">
            <v>Metrología HOP, S.A de C.V.</v>
          </cell>
          <cell r="C711" t="str">
            <v>MHO140404R57</v>
          </cell>
          <cell r="D711" t="str">
            <v>Av. Plan de San Luís</v>
          </cell>
          <cell r="E711" t="str">
            <v>119</v>
          </cell>
          <cell r="F711">
            <v>6030</v>
          </cell>
          <cell r="G711" t="str">
            <v>Eduardo Loarca</v>
          </cell>
          <cell r="H711">
            <v>76118</v>
          </cell>
          <cell r="I711" t="str">
            <v>Querétaro</v>
          </cell>
          <cell r="J711" t="str">
            <v>Querétaro</v>
          </cell>
          <cell r="K711" t="str">
            <v>México</v>
          </cell>
          <cell r="L711" t="str">
            <v>(442) 2631905</v>
          </cell>
          <cell r="M711">
            <v>0</v>
          </cell>
          <cell r="N711" t="str">
            <v>23/02/2015</v>
          </cell>
        </row>
        <row r="712">
          <cell r="A712">
            <v>714</v>
          </cell>
          <cell r="B712" t="str">
            <v>Servicios Integrales de Calidad Escoavi, S.C.</v>
          </cell>
          <cell r="C712" t="str">
            <v>SIC080305UW0</v>
          </cell>
          <cell r="D712" t="str">
            <v>Av. Siglo XXI</v>
          </cell>
          <cell r="E712" t="str">
            <v>B y C</v>
          </cell>
          <cell r="F712">
            <v>6106</v>
          </cell>
          <cell r="G712" t="str">
            <v>Solidaridad 1. Sección</v>
          </cell>
          <cell r="H712">
            <v>20196</v>
          </cell>
          <cell r="I712" t="str">
            <v>Aguascalientes</v>
          </cell>
          <cell r="J712" t="str">
            <v xml:space="preserve">Aguascalientes, </v>
          </cell>
          <cell r="K712" t="str">
            <v>México</v>
          </cell>
          <cell r="M712">
            <v>0</v>
          </cell>
          <cell r="N712" t="str">
            <v>02/03/2015</v>
          </cell>
        </row>
        <row r="713">
          <cell r="A713">
            <v>715</v>
          </cell>
          <cell r="B713" t="str">
            <v>Panamericana Veterinaria de México, S.A. de C.V.</v>
          </cell>
          <cell r="C713" t="str">
            <v>PVM8608062BA</v>
          </cell>
          <cell r="D713" t="str">
            <v>San Martin de Porres</v>
          </cell>
          <cell r="F713">
            <v>107</v>
          </cell>
          <cell r="G713" t="str">
            <v>Zona Industrial Felipe Carrillo Puerto</v>
          </cell>
          <cell r="H713">
            <v>76139</v>
          </cell>
          <cell r="I713" t="str">
            <v>Querétaro</v>
          </cell>
          <cell r="J713" t="str">
            <v>Querétaro</v>
          </cell>
          <cell r="K713" t="str">
            <v>México</v>
          </cell>
          <cell r="L713" t="str">
            <v>(442) 3095700</v>
          </cell>
          <cell r="M713">
            <v>0</v>
          </cell>
          <cell r="N713" t="str">
            <v>26/02/2015</v>
          </cell>
        </row>
        <row r="714">
          <cell r="A714">
            <v>716</v>
          </cell>
          <cell r="B714" t="str">
            <v>G-Tekt México Corp, S.A. de C.V.(G-MEX)</v>
          </cell>
          <cell r="C714" t="str">
            <v>IAU130805HX5</v>
          </cell>
          <cell r="D714" t="str">
            <v>Avenida Río Ota</v>
          </cell>
          <cell r="F714">
            <v>287</v>
          </cell>
          <cell r="G714" t="str">
            <v>Parque Tecno Industrial Castro del Río</v>
          </cell>
          <cell r="H714">
            <v>36810</v>
          </cell>
          <cell r="I714" t="str">
            <v>Irapuato</v>
          </cell>
          <cell r="J714" t="str">
            <v>Guanajuato,</v>
          </cell>
          <cell r="K714" t="str">
            <v>México</v>
          </cell>
          <cell r="M714">
            <v>30</v>
          </cell>
          <cell r="N714" t="str">
            <v>08/04/2015</v>
          </cell>
        </row>
        <row r="715">
          <cell r="A715">
            <v>717</v>
          </cell>
          <cell r="B715" t="str">
            <v>Panelfisa-Mex, S.A. de C.V.</v>
          </cell>
          <cell r="C715" t="str">
            <v>PAN1212034A0</v>
          </cell>
          <cell r="D715" t="str">
            <v>Pirineos</v>
          </cell>
          <cell r="E715" t="str">
            <v>Nave 2</v>
          </cell>
          <cell r="F715">
            <v>547</v>
          </cell>
          <cell r="G715" t="str">
            <v>Zona Industrial Benito Juárez</v>
          </cell>
          <cell r="H715">
            <v>76120</v>
          </cell>
          <cell r="I715" t="str">
            <v>Querétaro</v>
          </cell>
          <cell r="J715" t="str">
            <v>Querétaro</v>
          </cell>
          <cell r="K715" t="str">
            <v>México</v>
          </cell>
          <cell r="M715">
            <v>0</v>
          </cell>
          <cell r="N715" t="str">
            <v>23/04/2015</v>
          </cell>
        </row>
        <row r="716">
          <cell r="A716">
            <v>718</v>
          </cell>
          <cell r="B716" t="str">
            <v>Sanko Gosei México, S.A. de C.V.</v>
          </cell>
          <cell r="C716" t="str">
            <v>SGM120703Q44</v>
          </cell>
          <cell r="D716" t="str">
            <v>Av. Ferropuerto</v>
          </cell>
          <cell r="F716">
            <v>205</v>
          </cell>
          <cell r="G716" t="str">
            <v>Rincón de Tamayo</v>
          </cell>
          <cell r="H716">
            <v>38150</v>
          </cell>
          <cell r="I716" t="str">
            <v>Celaya</v>
          </cell>
          <cell r="J716" t="str">
            <v xml:space="preserve">Guanajuato, </v>
          </cell>
          <cell r="K716" t="str">
            <v>México</v>
          </cell>
          <cell r="L716" t="str">
            <v>(461) 4716100</v>
          </cell>
          <cell r="M716">
            <v>0</v>
          </cell>
          <cell r="N716" t="str">
            <v>06/03/2015</v>
          </cell>
        </row>
        <row r="717">
          <cell r="A717">
            <v>719</v>
          </cell>
          <cell r="B717" t="str">
            <v>Klüber Lubricación Mexicana, S.A. de C.V.</v>
          </cell>
          <cell r="C717" t="str">
            <v>KLM860411MD2</v>
          </cell>
          <cell r="D717" t="str">
            <v>Av. de la Montaña</v>
          </cell>
          <cell r="F717">
            <v>109</v>
          </cell>
          <cell r="G717" t="str">
            <v>Parque Industrial Querétaro</v>
          </cell>
          <cell r="H717">
            <v>76220</v>
          </cell>
          <cell r="I717" t="str">
            <v>Querétaro</v>
          </cell>
          <cell r="J717" t="str">
            <v>Querétaro</v>
          </cell>
          <cell r="K717" t="str">
            <v>México</v>
          </cell>
          <cell r="L717" t="str">
            <v>(442) 2295700</v>
          </cell>
          <cell r="M717">
            <v>0</v>
          </cell>
          <cell r="N717" t="str">
            <v>06/03/2015</v>
          </cell>
        </row>
        <row r="718">
          <cell r="A718">
            <v>720</v>
          </cell>
          <cell r="B718" t="str">
            <v>Hiroma Plast, S.A. de C.V.</v>
          </cell>
          <cell r="C718" t="str">
            <v>HPL081016642</v>
          </cell>
          <cell r="D718" t="str">
            <v>Yuca</v>
          </cell>
          <cell r="E718" t="str">
            <v>14</v>
          </cell>
          <cell r="F718">
            <v>202</v>
          </cell>
          <cell r="G718" t="str">
            <v>Arboledas</v>
          </cell>
          <cell r="H718">
            <v>76140</v>
          </cell>
          <cell r="I718" t="str">
            <v>Querétaro</v>
          </cell>
          <cell r="J718" t="str">
            <v>Querétaro</v>
          </cell>
          <cell r="K718" t="str">
            <v>México</v>
          </cell>
          <cell r="M718">
            <v>0</v>
          </cell>
          <cell r="N718" t="str">
            <v>09/03/2015</v>
          </cell>
        </row>
        <row r="719">
          <cell r="A719">
            <v>721</v>
          </cell>
          <cell r="B719" t="str">
            <v>Complejo Industrial Estrada, S.A. de C.V.</v>
          </cell>
          <cell r="C719" t="str">
            <v>CIE991129US5</v>
          </cell>
          <cell r="D719" t="str">
            <v>Cerrada José Ma. Chávez</v>
          </cell>
          <cell r="E719" t="str">
            <v>202</v>
          </cell>
          <cell r="F719">
            <v>2552</v>
          </cell>
          <cell r="G719" t="str">
            <v>Ciudad Industrial</v>
          </cell>
          <cell r="H719">
            <v>20290</v>
          </cell>
          <cell r="I719" t="str">
            <v>Aguascalientes</v>
          </cell>
          <cell r="J719" t="str">
            <v xml:space="preserve">Aguascalientes, </v>
          </cell>
          <cell r="K719" t="str">
            <v>México</v>
          </cell>
          <cell r="L719" t="str">
            <v>(449) 9711233</v>
          </cell>
          <cell r="M719">
            <v>0</v>
          </cell>
          <cell r="N719" t="str">
            <v>09/03/2015</v>
          </cell>
        </row>
        <row r="720">
          <cell r="A720">
            <v>722</v>
          </cell>
          <cell r="B720" t="str">
            <v>Troqueles y Matrices Industriales, S. de R.L. de C.V.</v>
          </cell>
          <cell r="C720" t="str">
            <v>TMI1107123W9</v>
          </cell>
          <cell r="D720" t="str">
            <v>20 de Mayo</v>
          </cell>
          <cell r="F720">
            <v>27</v>
          </cell>
          <cell r="G720" t="str">
            <v>Benito Juárez</v>
          </cell>
          <cell r="I720" t="str">
            <v>San Juan del Río</v>
          </cell>
          <cell r="J720" t="str">
            <v>Querétaro</v>
          </cell>
          <cell r="K720" t="str">
            <v>México</v>
          </cell>
          <cell r="M720">
            <v>0</v>
          </cell>
          <cell r="N720" t="str">
            <v>11/03/2015</v>
          </cell>
        </row>
        <row r="721">
          <cell r="A721">
            <v>723</v>
          </cell>
          <cell r="B721" t="str">
            <v>Tool Center, S.A. de C.V.</v>
          </cell>
          <cell r="C721" t="str">
            <v>TCE980702FM0</v>
          </cell>
          <cell r="D721" t="str">
            <v>Pino</v>
          </cell>
          <cell r="F721">
            <v>608</v>
          </cell>
          <cell r="G721" t="str">
            <v>Granjas</v>
          </cell>
          <cell r="H721">
            <v>31160</v>
          </cell>
          <cell r="I721" t="str">
            <v>Chihuahua</v>
          </cell>
          <cell r="J721" t="str">
            <v xml:space="preserve">Chihuahua, </v>
          </cell>
          <cell r="K721" t="str">
            <v>México</v>
          </cell>
          <cell r="L721" t="str">
            <v>(614) 4176588</v>
          </cell>
          <cell r="M721">
            <v>0</v>
          </cell>
          <cell r="N721" t="str">
            <v>11/03/2015</v>
          </cell>
        </row>
        <row r="722">
          <cell r="A722">
            <v>724</v>
          </cell>
          <cell r="B722" t="str">
            <v>Pass Automotive México, S.A. de C.V.</v>
          </cell>
          <cell r="C722" t="str">
            <v>PAM130308SJ0</v>
          </cell>
          <cell r="D722" t="str">
            <v>Libramiento León - Querétaro Km 4.6 Lote 18, Malvas</v>
          </cell>
          <cell r="G722" t="str">
            <v>Parque Industrial Apolo, Las Malvas</v>
          </cell>
          <cell r="H722">
            <v>36547</v>
          </cell>
          <cell r="I722" t="str">
            <v>Irapuato</v>
          </cell>
          <cell r="J722" t="str">
            <v xml:space="preserve">Guanajuato, </v>
          </cell>
          <cell r="K722" t="str">
            <v>México</v>
          </cell>
          <cell r="M722">
            <v>0</v>
          </cell>
          <cell r="N722" t="str">
            <v>13/03/2015</v>
          </cell>
        </row>
        <row r="723">
          <cell r="A723">
            <v>725</v>
          </cell>
          <cell r="B723" t="str">
            <v>Autoempaques México, S.A. de C.V.</v>
          </cell>
          <cell r="C723" t="str">
            <v>AME0403024F6</v>
          </cell>
          <cell r="D723" t="str">
            <v>Av. Peñuelas</v>
          </cell>
          <cell r="E723" t="str">
            <v>33</v>
          </cell>
          <cell r="F723">
            <v>5</v>
          </cell>
          <cell r="G723" t="str">
            <v>Fracc. Ind. San Pedrito Peñuelas</v>
          </cell>
          <cell r="H723">
            <v>76148</v>
          </cell>
          <cell r="I723" t="str">
            <v>Querétaro</v>
          </cell>
          <cell r="J723" t="str">
            <v>Querétaro</v>
          </cell>
          <cell r="K723" t="str">
            <v>México</v>
          </cell>
          <cell r="L723" t="str">
            <v>(442) 2461843</v>
          </cell>
          <cell r="M723">
            <v>0</v>
          </cell>
          <cell r="N723" t="str">
            <v>13/03/2015</v>
          </cell>
        </row>
        <row r="724">
          <cell r="A724">
            <v>726</v>
          </cell>
          <cell r="B724" t="str">
            <v>Proyectos y Suministros Aztlan, S. de R.L. de C.V.</v>
          </cell>
          <cell r="C724" t="str">
            <v>PYS090309CM9</v>
          </cell>
          <cell r="D724" t="str">
            <v>Iturbide</v>
          </cell>
          <cell r="E724" t="str">
            <v>A</v>
          </cell>
          <cell r="F724">
            <v>3</v>
          </cell>
          <cell r="G724" t="str">
            <v>Zona Centro</v>
          </cell>
          <cell r="H724">
            <v>87300</v>
          </cell>
          <cell r="I724" t="str">
            <v>H. Matamoros</v>
          </cell>
          <cell r="J724" t="str">
            <v xml:space="preserve">Tamaulipas, </v>
          </cell>
          <cell r="K724" t="str">
            <v>México</v>
          </cell>
          <cell r="L724" t="str">
            <v>(868) 8195784</v>
          </cell>
          <cell r="M724">
            <v>0</v>
          </cell>
          <cell r="N724" t="str">
            <v>17/03/2015</v>
          </cell>
        </row>
        <row r="725">
          <cell r="A725">
            <v>727</v>
          </cell>
          <cell r="B725" t="str">
            <v>Caballero Solutions Power, S.A. de C.V.</v>
          </cell>
          <cell r="C725" t="str">
            <v>CSP111010GJ1</v>
          </cell>
          <cell r="D725" t="str">
            <v>Calle Pirineos</v>
          </cell>
          <cell r="E725" t="str">
            <v>6</v>
          </cell>
          <cell r="F725">
            <v>535</v>
          </cell>
          <cell r="G725" t="str">
            <v>Zona Industrial Benito Juárez</v>
          </cell>
          <cell r="H725">
            <v>76120</v>
          </cell>
          <cell r="I725" t="str">
            <v>Querétaro</v>
          </cell>
          <cell r="J725" t="str">
            <v>Querétaro</v>
          </cell>
          <cell r="K725" t="str">
            <v>México</v>
          </cell>
          <cell r="M725">
            <v>0</v>
          </cell>
          <cell r="N725" t="str">
            <v>24/03/2015</v>
          </cell>
        </row>
        <row r="726">
          <cell r="A726">
            <v>728</v>
          </cell>
          <cell r="B726" t="str">
            <v>RK Empaques, S. de R.L. de C.V.</v>
          </cell>
          <cell r="C726" t="str">
            <v>REM1003303U5</v>
          </cell>
          <cell r="D726" t="str">
            <v>Carretera a Materias Primas Km 2.5</v>
          </cell>
          <cell r="G726" t="str">
            <v>Arenal de Abajo</v>
          </cell>
          <cell r="H726">
            <v>37985</v>
          </cell>
          <cell r="I726" t="str">
            <v>San José Iturbide</v>
          </cell>
          <cell r="J726" t="str">
            <v xml:space="preserve">Guanajuato, </v>
          </cell>
          <cell r="K726" t="str">
            <v>México</v>
          </cell>
          <cell r="L726" t="str">
            <v>(442) 3497740</v>
          </cell>
          <cell r="M726">
            <v>0</v>
          </cell>
          <cell r="N726" t="str">
            <v>26/03/2015</v>
          </cell>
        </row>
        <row r="727">
          <cell r="A727">
            <v>729</v>
          </cell>
          <cell r="B727" t="str">
            <v>Señalización y Control del Sureste, S.A. de C.V.</v>
          </cell>
          <cell r="C727" t="str">
            <v>SCS121208QK4</v>
          </cell>
          <cell r="D727" t="str">
            <v>Calle Cantarell</v>
          </cell>
          <cell r="F727">
            <v>20</v>
          </cell>
          <cell r="G727" t="str">
            <v>Fraccionamiento 18 de Marzo</v>
          </cell>
          <cell r="H727">
            <v>24157</v>
          </cell>
          <cell r="I727" t="str">
            <v>Cd. del Carmen</v>
          </cell>
          <cell r="J727" t="str">
            <v>Campeche,</v>
          </cell>
          <cell r="K727" t="str">
            <v>México</v>
          </cell>
          <cell r="M727">
            <v>0</v>
          </cell>
          <cell r="N727" t="str">
            <v>29/04/2015</v>
          </cell>
        </row>
        <row r="728">
          <cell r="A728">
            <v>730</v>
          </cell>
          <cell r="B728" t="str">
            <v>Metrocal, S.A. de C.V.</v>
          </cell>
          <cell r="C728" t="str">
            <v>MET010720UF4</v>
          </cell>
          <cell r="D728" t="str">
            <v>Paseo de las Fuentes</v>
          </cell>
          <cell r="E728" t="str">
            <v>B</v>
          </cell>
          <cell r="F728">
            <v>5100</v>
          </cell>
          <cell r="G728" t="str">
            <v>Del Paseo Residencial</v>
          </cell>
          <cell r="H728">
            <v>64920</v>
          </cell>
          <cell r="I728" t="str">
            <v>Monterrey</v>
          </cell>
          <cell r="J728" t="str">
            <v xml:space="preserve">Nuevo León, </v>
          </cell>
          <cell r="K728" t="str">
            <v>México</v>
          </cell>
          <cell r="L728" t="str">
            <v>(81) 83657188</v>
          </cell>
          <cell r="M728">
            <v>0</v>
          </cell>
          <cell r="N728" t="str">
            <v>15/04/2015</v>
          </cell>
        </row>
        <row r="729">
          <cell r="A729">
            <v>731</v>
          </cell>
          <cell r="B729" t="str">
            <v>DHS International, S.A. de C.V.</v>
          </cell>
          <cell r="C729" t="str">
            <v>DIN1106087H5</v>
          </cell>
          <cell r="D729" t="str">
            <v>Lluvia</v>
          </cell>
          <cell r="E729" t="str">
            <v>15</v>
          </cell>
          <cell r="F729">
            <v>8</v>
          </cell>
          <cell r="G729" t="str">
            <v>Fracc. Industrial La Noria</v>
          </cell>
          <cell r="H729">
            <v>76246</v>
          </cell>
          <cell r="I729" t="str">
            <v>El Marqués</v>
          </cell>
          <cell r="J729" t="str">
            <v xml:space="preserve">Querétaro, </v>
          </cell>
          <cell r="K729" t="str">
            <v>México</v>
          </cell>
          <cell r="L729" t="str">
            <v>(442) 2176866</v>
          </cell>
          <cell r="M729">
            <v>0</v>
          </cell>
          <cell r="N729" t="str">
            <v>01/04/2015</v>
          </cell>
        </row>
        <row r="730">
          <cell r="A730">
            <v>732</v>
          </cell>
          <cell r="B730" t="str">
            <v>Comercializadora Matsa, S.A. de C.V.</v>
          </cell>
          <cell r="C730" t="str">
            <v>CMA140408LM6</v>
          </cell>
          <cell r="D730" t="str">
            <v>Fray Luis de León</v>
          </cell>
          <cell r="E730" t="str">
            <v>31</v>
          </cell>
          <cell r="F730">
            <v>3051</v>
          </cell>
          <cell r="G730" t="str">
            <v>Centro Sur</v>
          </cell>
          <cell r="H730">
            <v>76090</v>
          </cell>
          <cell r="I730" t="str">
            <v>Querétaro</v>
          </cell>
          <cell r="J730" t="str">
            <v>Querétaro</v>
          </cell>
          <cell r="K730" t="str">
            <v>México</v>
          </cell>
          <cell r="L730" t="str">
            <v>(442) 1836129</v>
          </cell>
          <cell r="M730">
            <v>0</v>
          </cell>
          <cell r="N730" t="str">
            <v>13/04/2015</v>
          </cell>
        </row>
        <row r="731">
          <cell r="A731">
            <v>733</v>
          </cell>
          <cell r="B731" t="str">
            <v>Juan Enrique Flores Aboytes</v>
          </cell>
          <cell r="C731" t="str">
            <v>FOAJ700219TRA</v>
          </cell>
          <cell r="D731" t="str">
            <v>Prolongación 5 de mayo</v>
          </cell>
          <cell r="F731">
            <v>119</v>
          </cell>
          <cell r="G731" t="str">
            <v>Valle Hermoso</v>
          </cell>
          <cell r="H731">
            <v>38300</v>
          </cell>
          <cell r="I731" t="str">
            <v>Cortazar</v>
          </cell>
          <cell r="J731" t="str">
            <v>Guanajuato,</v>
          </cell>
          <cell r="K731" t="str">
            <v>México</v>
          </cell>
          <cell r="M731">
            <v>0</v>
          </cell>
          <cell r="N731" t="str">
            <v>20/04/2015</v>
          </cell>
        </row>
        <row r="732">
          <cell r="A732">
            <v>734</v>
          </cell>
          <cell r="B732" t="str">
            <v>Harvest Tek de México, S.P.R. de R.L. de CV.</v>
          </cell>
          <cell r="C732" t="str">
            <v>HTM1407028H2</v>
          </cell>
          <cell r="D732" t="str">
            <v>Ave. Jesus Villalpando</v>
          </cell>
          <cell r="F732">
            <v>1780</v>
          </cell>
          <cell r="G732" t="str">
            <v>Valle del Alamo</v>
          </cell>
          <cell r="H732">
            <v>21225</v>
          </cell>
          <cell r="I732" t="str">
            <v>Mexicali</v>
          </cell>
          <cell r="J732" t="str">
            <v xml:space="preserve">Baja California, </v>
          </cell>
          <cell r="K732" t="str">
            <v>México</v>
          </cell>
          <cell r="M732">
            <v>0</v>
          </cell>
          <cell r="N732" t="str">
            <v>24/04/2015</v>
          </cell>
        </row>
        <row r="733">
          <cell r="A733">
            <v>735</v>
          </cell>
          <cell r="B733" t="str">
            <v>ABINSA, S.A. de C.V.</v>
          </cell>
          <cell r="C733" t="str">
            <v>ABI850726CM7</v>
          </cell>
          <cell r="D733" t="str">
            <v>Ave. Adolfo López Mateos Km. 6.5</v>
          </cell>
          <cell r="F733" t="str">
            <v>S/N</v>
          </cell>
          <cell r="G733" t="str">
            <v>Jardines de Casa Blanca</v>
          </cell>
          <cell r="H733">
            <v>66475</v>
          </cell>
          <cell r="I733" t="str">
            <v>San Nicolás de los Garza</v>
          </cell>
          <cell r="J733" t="str">
            <v>Nuevo León,</v>
          </cell>
          <cell r="K733" t="str">
            <v>México</v>
          </cell>
          <cell r="M733">
            <v>0</v>
          </cell>
          <cell r="N733" t="str">
            <v>28/04/2015</v>
          </cell>
        </row>
        <row r="734">
          <cell r="A734">
            <v>736</v>
          </cell>
          <cell r="B734" t="str">
            <v>Laura Elisa Flores Mcgregor</v>
          </cell>
          <cell r="C734" t="str">
            <v>FOGL710106HV3</v>
          </cell>
          <cell r="D734" t="str">
            <v>Avenida de las Flores</v>
          </cell>
          <cell r="F734">
            <v>103</v>
          </cell>
          <cell r="G734" t="str">
            <v>Pradera del Sol</v>
          </cell>
          <cell r="H734">
            <v>36720</v>
          </cell>
          <cell r="I734" t="str">
            <v>Salamanca</v>
          </cell>
          <cell r="J734" t="str">
            <v xml:space="preserve">Guanajuato, </v>
          </cell>
          <cell r="K734" t="str">
            <v>México</v>
          </cell>
          <cell r="M734">
            <v>0</v>
          </cell>
          <cell r="N734" t="str">
            <v>29/04/2015</v>
          </cell>
        </row>
        <row r="735">
          <cell r="A735">
            <v>737</v>
          </cell>
          <cell r="B735" t="str">
            <v>Guadalupe Alegría Mauricio</v>
          </cell>
          <cell r="C735" t="str">
            <v>AEMG6410095E8</v>
          </cell>
          <cell r="D735" t="str">
            <v>Av. Benito Juárez Ote.</v>
          </cell>
          <cell r="F735">
            <v>269</v>
          </cell>
          <cell r="G735" t="str">
            <v>Centro</v>
          </cell>
          <cell r="H735">
            <v>76800</v>
          </cell>
          <cell r="I735" t="str">
            <v>San Juan del Río</v>
          </cell>
          <cell r="J735" t="str">
            <v>Querétaro,</v>
          </cell>
          <cell r="K735" t="str">
            <v>México</v>
          </cell>
          <cell r="L735" t="str">
            <v>(427) 1521133</v>
          </cell>
          <cell r="M735">
            <v>0</v>
          </cell>
          <cell r="N735" t="str">
            <v>05/05/2015</v>
          </cell>
        </row>
        <row r="736">
          <cell r="A736">
            <v>738</v>
          </cell>
          <cell r="B736" t="str">
            <v>Howa México SA de CV</v>
          </cell>
          <cell r="D736" t="str">
            <v xml:space="preserve">Circuito Progreso </v>
          </cell>
          <cell r="F736">
            <v>201</v>
          </cell>
          <cell r="G736" t="str">
            <v>Parque Industrial Logística Automotriz 20340</v>
          </cell>
          <cell r="H736">
            <v>20340</v>
          </cell>
          <cell r="I736" t="str">
            <v>Aguascalientes</v>
          </cell>
          <cell r="J736" t="str">
            <v xml:space="preserve">Aguascalientes, </v>
          </cell>
          <cell r="K736" t="str">
            <v>México</v>
          </cell>
          <cell r="L736" t="str">
            <v>--</v>
          </cell>
        </row>
        <row r="737">
          <cell r="A737">
            <v>739</v>
          </cell>
          <cell r="B737" t="str">
            <v>ALFONSO GALLEGOS NAVARRO</v>
          </cell>
          <cell r="C737" t="str">
            <v>GANA-740205-US9</v>
          </cell>
          <cell r="D737" t="str">
            <v>Calle 25</v>
          </cell>
          <cell r="E737">
            <v>8</v>
          </cell>
          <cell r="G737" t="str">
            <v>Progreso Nacional</v>
          </cell>
          <cell r="H737">
            <v>7600</v>
          </cell>
          <cell r="I737" t="str">
            <v>Delegacion Gustavo A. Madero</v>
          </cell>
          <cell r="J737" t="str">
            <v xml:space="preserve">Distrito Federal, </v>
          </cell>
          <cell r="K737" t="str">
            <v>México</v>
          </cell>
          <cell r="L737" t="str">
            <v>5392-1797</v>
          </cell>
        </row>
        <row r="738">
          <cell r="A738">
            <v>740</v>
          </cell>
          <cell r="B738" t="str">
            <v>UACJ Metal Components Central Mexico, S.A. de C.V.</v>
          </cell>
          <cell r="D738" t="str">
            <v>Av. Tobias Hagenmeyer Manzana M</v>
          </cell>
          <cell r="F738" t="str">
            <v>1C</v>
          </cell>
          <cell r="G738" t="str">
            <v>Parque Industrial Castro del Río</v>
          </cell>
          <cell r="H738">
            <v>36810</v>
          </cell>
          <cell r="I738" t="str">
            <v>Irapuato</v>
          </cell>
          <cell r="J738" t="str">
            <v xml:space="preserve">Guanajuato, </v>
          </cell>
          <cell r="K738" t="str">
            <v>México</v>
          </cell>
          <cell r="L738" t="str">
            <v>462-962-52-50</v>
          </cell>
          <cell r="O738" t="str">
            <v>IWAI</v>
          </cell>
        </row>
        <row r="739">
          <cell r="A739">
            <v>741</v>
          </cell>
          <cell r="B739" t="str">
            <v>Parker-Trutec Mexicana S.A. de C.V.</v>
          </cell>
          <cell r="D739" t="str">
            <v>Av. Carolina Villanueva</v>
          </cell>
          <cell r="F739">
            <v>408</v>
          </cell>
          <cell r="G739" t="str">
            <v>Cd. Industrial 20290</v>
          </cell>
          <cell r="H739">
            <v>20290</v>
          </cell>
          <cell r="I739" t="str">
            <v>Aguascalientes</v>
          </cell>
          <cell r="J739" t="str">
            <v xml:space="preserve">Aguascalientes, </v>
          </cell>
          <cell r="K739" t="str">
            <v>México</v>
          </cell>
          <cell r="L739">
            <v>4499711436</v>
          </cell>
        </row>
        <row r="740">
          <cell r="A740">
            <v>742</v>
          </cell>
          <cell r="B740" t="str">
            <v>Smeltek S.A de C.V.</v>
          </cell>
          <cell r="D740" t="str">
            <v>Av. Julio Díaz Torres</v>
          </cell>
          <cell r="F740">
            <v>112</v>
          </cell>
          <cell r="G740" t="str">
            <v>Cd. Industrial</v>
          </cell>
          <cell r="H740">
            <v>20290</v>
          </cell>
          <cell r="I740" t="str">
            <v>Aguascalientes</v>
          </cell>
          <cell r="J740" t="str">
            <v>Aguascalientes</v>
          </cell>
          <cell r="K740" t="str">
            <v>México</v>
          </cell>
          <cell r="L740">
            <v>9710910</v>
          </cell>
        </row>
        <row r="741">
          <cell r="A741">
            <v>743</v>
          </cell>
          <cell r="B741" t="str">
            <v>Servicios Técnicos Porfesionales Marisa S.A. de C.V.</v>
          </cell>
          <cell r="D741" t="str">
            <v>Av. Carlia Villanueva</v>
          </cell>
          <cell r="F741">
            <v>312</v>
          </cell>
          <cell r="G741" t="str">
            <v>Cd. Industrial</v>
          </cell>
          <cell r="I741" t="str">
            <v>Aguascalientes</v>
          </cell>
          <cell r="J741" t="str">
            <v>Aguascalientes</v>
          </cell>
          <cell r="K741" t="str">
            <v>México</v>
          </cell>
          <cell r="L741">
            <v>15553386385</v>
          </cell>
        </row>
        <row r="742">
          <cell r="A742">
            <v>744</v>
          </cell>
          <cell r="B742" t="str">
            <v>SERVICIOS AGROPECUARIOS RODRIGUEZ GUILLEN, SPR DE RL DE CV</v>
          </cell>
          <cell r="C742" t="str">
            <v>SAR 071005 T99</v>
          </cell>
          <cell r="D742" t="str">
            <v>Morelos</v>
          </cell>
          <cell r="F742" t="str">
            <v>21-B</v>
          </cell>
          <cell r="G742" t="str">
            <v>La Huerta 37900</v>
          </cell>
          <cell r="H742">
            <v>37900</v>
          </cell>
          <cell r="I742" t="str">
            <v>San Luis de la Paz</v>
          </cell>
          <cell r="J742" t="str">
            <v xml:space="preserve">Guanajuato, </v>
          </cell>
          <cell r="K742" t="str">
            <v>México</v>
          </cell>
          <cell r="L742">
            <v>4424136674</v>
          </cell>
        </row>
        <row r="743">
          <cell r="A743">
            <v>745</v>
          </cell>
          <cell r="B743" t="str">
            <v>Borg Warner Morse TEC México S.A. de C.V.</v>
          </cell>
          <cell r="C743" t="str">
            <v>-</v>
          </cell>
          <cell r="D743" t="str">
            <v>Calle 2</v>
          </cell>
          <cell r="E743" t="str">
            <v>-</v>
          </cell>
          <cell r="F743">
            <v>10543</v>
          </cell>
          <cell r="G743" t="str">
            <v>Parque Industrial El Salto</v>
          </cell>
          <cell r="H743">
            <v>45680</v>
          </cell>
          <cell r="I743" t="str">
            <v>El Salto</v>
          </cell>
          <cell r="J743" t="str">
            <v>Jalisco</v>
          </cell>
          <cell r="K743" t="str">
            <v>México</v>
          </cell>
          <cell r="L743" t="str">
            <v>-</v>
          </cell>
        </row>
        <row r="744">
          <cell r="A744">
            <v>746</v>
          </cell>
          <cell r="B744" t="str">
            <v>MAPI Maquionados y automatizacion para la Industria</v>
          </cell>
          <cell r="C744" t="str">
            <v>-</v>
          </cell>
          <cell r="D744" t="str">
            <v xml:space="preserve">Vidriera Queretaro </v>
          </cell>
          <cell r="E744" t="str">
            <v>-</v>
          </cell>
          <cell r="F744">
            <v>3</v>
          </cell>
          <cell r="G744" t="str">
            <v>Parque Industrial El Pueblito</v>
          </cell>
          <cell r="H744">
            <v>76900</v>
          </cell>
          <cell r="I744" t="str">
            <v>corregidora</v>
          </cell>
          <cell r="J744" t="str">
            <v xml:space="preserve">Querétaro, </v>
          </cell>
          <cell r="K744" t="str">
            <v>México</v>
          </cell>
          <cell r="L744" t="str">
            <v>-</v>
          </cell>
        </row>
        <row r="745">
          <cell r="A745">
            <v>747</v>
          </cell>
          <cell r="B745" t="str">
            <v>Comision Nacional de Libros de Texto Gratuitos</v>
          </cell>
          <cell r="C745" t="str">
            <v>-</v>
          </cell>
          <cell r="D745" t="str">
            <v>2021 Avenida acueducto</v>
          </cell>
          <cell r="E745" t="str">
            <v>-</v>
          </cell>
          <cell r="F745">
            <v>2</v>
          </cell>
          <cell r="G745" t="str">
            <v>Parque Industrial Bernardo Quintana 76246</v>
          </cell>
          <cell r="H745">
            <v>76246</v>
          </cell>
          <cell r="I745" t="str">
            <v>Querétaro</v>
          </cell>
          <cell r="J745" t="str">
            <v>Querétaro</v>
          </cell>
          <cell r="K745" t="str">
            <v>México</v>
          </cell>
          <cell r="L745" t="str">
            <v>-</v>
          </cell>
        </row>
        <row r="746">
          <cell r="A746">
            <v>748</v>
          </cell>
          <cell r="B746" t="str">
            <v>Tratamientos y Troquelados de Queretaro S.A. de C.V.</v>
          </cell>
          <cell r="C746" t="str">
            <v>-</v>
          </cell>
          <cell r="D746" t="str">
            <v xml:space="preserve">Mezquital </v>
          </cell>
          <cell r="E746" t="str">
            <v>-</v>
          </cell>
          <cell r="F746">
            <v>7</v>
          </cell>
          <cell r="G746" t="str">
            <v>San Pablo</v>
          </cell>
          <cell r="I746" t="str">
            <v>Querétaro</v>
          </cell>
          <cell r="J746" t="str">
            <v>Querétaro</v>
          </cell>
          <cell r="K746" t="str">
            <v>México</v>
          </cell>
          <cell r="L746" t="str">
            <v>-</v>
          </cell>
        </row>
        <row r="747">
          <cell r="A747">
            <v>749</v>
          </cell>
          <cell r="B747" t="str">
            <v>Mc Jets SA  de CV</v>
          </cell>
          <cell r="C747" t="str">
            <v>-</v>
          </cell>
          <cell r="D747" t="str">
            <v xml:space="preserve">Aeropuerto Internacional </v>
          </cell>
          <cell r="E747" t="str">
            <v>-</v>
          </cell>
          <cell r="F747">
            <v>22500</v>
          </cell>
          <cell r="G747" t="str">
            <v>Hangar 24 Colón</v>
          </cell>
          <cell r="H747">
            <v>76270</v>
          </cell>
          <cell r="I747" t="str">
            <v>Colon</v>
          </cell>
          <cell r="J747" t="str">
            <v xml:space="preserve">Querétaro, </v>
          </cell>
          <cell r="K747" t="str">
            <v>México</v>
          </cell>
          <cell r="L747" t="str">
            <v>-</v>
          </cell>
        </row>
        <row r="748">
          <cell r="A748">
            <v>750</v>
          </cell>
          <cell r="B748" t="str">
            <v>Ingenieria en Maquinados del Centro S.A. de C.V.</v>
          </cell>
          <cell r="C748" t="str">
            <v>-</v>
          </cell>
          <cell r="D748" t="str">
            <v>Blvd Las Mercedes</v>
          </cell>
          <cell r="E748" t="str">
            <v>-</v>
          </cell>
          <cell r="F748">
            <v>237</v>
          </cell>
          <cell r="G748" t="str">
            <v>Fraccionamiento las Mercedes 78394</v>
          </cell>
          <cell r="H748">
            <v>78394</v>
          </cell>
          <cell r="I748" t="str">
            <v>San Luis Potosí</v>
          </cell>
          <cell r="J748" t="str">
            <v xml:space="preserve">San Luis Potosí, </v>
          </cell>
          <cell r="K748" t="str">
            <v>México</v>
          </cell>
          <cell r="L748" t="str">
            <v>-</v>
          </cell>
        </row>
        <row r="749">
          <cell r="A749">
            <v>751</v>
          </cell>
          <cell r="B749" t="str">
            <v>Foam Fabricators Querétaro</v>
          </cell>
          <cell r="C749" t="str">
            <v>-</v>
          </cell>
          <cell r="D749" t="str">
            <v>Parque Industrial Querétaro</v>
          </cell>
          <cell r="E749">
            <v>3</v>
          </cell>
          <cell r="F749">
            <v>112</v>
          </cell>
          <cell r="G749" t="str">
            <v>Av. La Montaña Acceso por San Pedrito, Santa Rosa Jauregui</v>
          </cell>
          <cell r="H749">
            <v>76220</v>
          </cell>
          <cell r="I749" t="str">
            <v>Queretaro</v>
          </cell>
          <cell r="J749" t="str">
            <v>Queretaro,</v>
          </cell>
          <cell r="K749" t="str">
            <v>México</v>
          </cell>
          <cell r="L749" t="str">
            <v>011-52442-242-0200</v>
          </cell>
        </row>
        <row r="750">
          <cell r="A750">
            <v>752</v>
          </cell>
          <cell r="B750" t="str">
            <v>SOME Herramientas y Servicios S.A. de C.V.</v>
          </cell>
          <cell r="C750" t="str">
            <v>SHS960123V70</v>
          </cell>
          <cell r="D750" t="str">
            <v>Filosofia</v>
          </cell>
          <cell r="F750">
            <v>26</v>
          </cell>
          <cell r="G750" t="str">
            <v>Colonia Industrial</v>
          </cell>
          <cell r="H750">
            <v>76130</v>
          </cell>
          <cell r="I750" t="str">
            <v>Queretaro</v>
          </cell>
          <cell r="J750" t="str">
            <v xml:space="preserve">Queretaro, </v>
          </cell>
          <cell r="K750" t="str">
            <v>México</v>
          </cell>
          <cell r="L750" t="str">
            <v>-</v>
          </cell>
        </row>
        <row r="751">
          <cell r="A751">
            <v>753</v>
          </cell>
          <cell r="B751" t="str">
            <v>Pressalum Manufacturera Metalica S.A. de C.V.</v>
          </cell>
          <cell r="D751" t="str">
            <v>Av. Miguel Hidalgo</v>
          </cell>
          <cell r="F751">
            <v>67</v>
          </cell>
          <cell r="G751" t="str">
            <v xml:space="preserve">Santa Clara  </v>
          </cell>
          <cell r="H751">
            <v>55540</v>
          </cell>
          <cell r="I751" t="str">
            <v>Ecatepec</v>
          </cell>
          <cell r="J751" t="str">
            <v xml:space="preserve">Estado de México, </v>
          </cell>
          <cell r="K751" t="str">
            <v>México</v>
          </cell>
          <cell r="L751" t="str">
            <v>-</v>
          </cell>
        </row>
        <row r="752">
          <cell r="A752">
            <v>754</v>
          </cell>
          <cell r="B752" t="str">
            <v>Ingenieria y Metrologia en Instrumentos de Control y Pruebas S.A. de C.V.</v>
          </cell>
          <cell r="C752" t="str">
            <v>-</v>
          </cell>
          <cell r="D752" t="str">
            <v xml:space="preserve">Privada de la Secundaria General </v>
          </cell>
          <cell r="E752">
            <v>4</v>
          </cell>
          <cell r="F752">
            <v>2</v>
          </cell>
          <cell r="G752" t="str">
            <v>Villas Magisterial</v>
          </cell>
          <cell r="H752">
            <v>90100</v>
          </cell>
          <cell r="I752" t="str">
            <v>Ocotlan</v>
          </cell>
          <cell r="J752" t="str">
            <v xml:space="preserve">Tlaxcala, </v>
          </cell>
          <cell r="K752" t="str">
            <v>México</v>
          </cell>
          <cell r="L752" t="str">
            <v>015556337331</v>
          </cell>
        </row>
        <row r="753">
          <cell r="A753">
            <v>755</v>
          </cell>
          <cell r="B753" t="str">
            <v>Labomet S.A. de C.V.</v>
          </cell>
          <cell r="C753" t="str">
            <v>-</v>
          </cell>
          <cell r="D753" t="str">
            <v>Alianto</v>
          </cell>
          <cell r="F753">
            <v>306</v>
          </cell>
          <cell r="G753" t="str">
            <v>Fracc. Arbolada los Sauces</v>
          </cell>
          <cell r="H753">
            <v>55635</v>
          </cell>
          <cell r="I753" t="str">
            <v>Zumpango</v>
          </cell>
          <cell r="J753" t="str">
            <v xml:space="preserve">Estado de México, </v>
          </cell>
          <cell r="K753" t="str">
            <v>México</v>
          </cell>
          <cell r="L753" t="str">
            <v>-</v>
          </cell>
        </row>
        <row r="754">
          <cell r="A754">
            <v>756</v>
          </cell>
          <cell r="B754" t="str">
            <v>Agropecuaria El Sagrado, SPR de R.L. de C.V.</v>
          </cell>
          <cell r="C754" t="str">
            <v>-</v>
          </cell>
          <cell r="D754" t="str">
            <v xml:space="preserve">David Alfaro Siqueiros </v>
          </cell>
          <cell r="F754">
            <v>6</v>
          </cell>
          <cell r="G754" t="str">
            <v xml:space="preserve">San Jose de la Cruz </v>
          </cell>
          <cell r="H754">
            <v>37701</v>
          </cell>
          <cell r="I754" t="str">
            <v>San Miguel de Allende</v>
          </cell>
          <cell r="J754" t="str">
            <v xml:space="preserve">Guanajuato, </v>
          </cell>
          <cell r="K754" t="str">
            <v>México</v>
          </cell>
          <cell r="L754" t="str">
            <v>-</v>
          </cell>
        </row>
        <row r="755">
          <cell r="A755">
            <v>757</v>
          </cell>
          <cell r="B755" t="str">
            <v>Kalibrix Mexicana, S.A. de C.V.</v>
          </cell>
          <cell r="C755" t="str">
            <v>KME100528R59</v>
          </cell>
          <cell r="D755" t="str">
            <v xml:space="preserve">Av. Colinas del Cimatario </v>
          </cell>
          <cell r="F755">
            <v>381</v>
          </cell>
          <cell r="G755" t="str">
            <v xml:space="preserve">Colinas del Cimatario </v>
          </cell>
          <cell r="H755">
            <v>76090</v>
          </cell>
          <cell r="I755" t="str">
            <v>Queretaro</v>
          </cell>
          <cell r="J755" t="str">
            <v xml:space="preserve">Queretaro, </v>
          </cell>
          <cell r="K755" t="str">
            <v>México</v>
          </cell>
          <cell r="L755" t="str">
            <v>-</v>
          </cell>
        </row>
        <row r="756">
          <cell r="A756">
            <v>758</v>
          </cell>
          <cell r="B756" t="str">
            <v>Mincer HD S.A. de C.V.</v>
          </cell>
          <cell r="C756" t="str">
            <v>-</v>
          </cell>
          <cell r="D756" t="str">
            <v>Prol. Av. México</v>
          </cell>
          <cell r="F756">
            <v>96</v>
          </cell>
          <cell r="G756" t="str">
            <v xml:space="preserve">Santa Maria Tultepetlac, Via Morelos y Gran Canal </v>
          </cell>
          <cell r="H756">
            <v>55400</v>
          </cell>
          <cell r="I756" t="str">
            <v>Ecatepec</v>
          </cell>
          <cell r="J756" t="str">
            <v>Estado de México,</v>
          </cell>
          <cell r="K756" t="str">
            <v>México</v>
          </cell>
          <cell r="L756" t="str">
            <v>-</v>
          </cell>
        </row>
        <row r="757">
          <cell r="A757">
            <v>759</v>
          </cell>
          <cell r="B757" t="str">
            <v>TK Minth México S.A. de C.V.</v>
          </cell>
          <cell r="C757" t="str">
            <v>-</v>
          </cell>
          <cell r="D757" t="str">
            <v>Carretera los Arellanos</v>
          </cell>
          <cell r="F757">
            <v>220</v>
          </cell>
          <cell r="G757" t="str">
            <v>Parque Industrial Siglo XXI</v>
          </cell>
          <cell r="H757" t="str">
            <v>-</v>
          </cell>
          <cell r="I757" t="str">
            <v>Aguascalientes</v>
          </cell>
          <cell r="J757" t="str">
            <v>Aguascalientes</v>
          </cell>
          <cell r="K757" t="str">
            <v>México</v>
          </cell>
          <cell r="L757" t="str">
            <v>-</v>
          </cell>
        </row>
        <row r="758">
          <cell r="A758">
            <v>760</v>
          </cell>
          <cell r="B758" t="str">
            <v>Softek Global eDesign, S. de R.L. de C.V.</v>
          </cell>
          <cell r="C758" t="str">
            <v>-</v>
          </cell>
          <cell r="D758" t="str">
            <v>Luis G. Malvaez</v>
          </cell>
          <cell r="F758">
            <v>523</v>
          </cell>
          <cell r="G758" t="str">
            <v>Reforma Agraria</v>
          </cell>
          <cell r="H758">
            <v>76086</v>
          </cell>
          <cell r="I758" t="str">
            <v>Queretaro</v>
          </cell>
          <cell r="J758" t="str">
            <v xml:space="preserve">Queretaro, </v>
          </cell>
          <cell r="K758" t="str">
            <v>México</v>
          </cell>
          <cell r="L758" t="str">
            <v>-</v>
          </cell>
        </row>
        <row r="759">
          <cell r="A759">
            <v>761</v>
          </cell>
          <cell r="B759" t="str">
            <v>SENOSIAIN, S.A. DE C.V.</v>
          </cell>
          <cell r="C759" t="str">
            <v>-</v>
          </cell>
          <cell r="D759" t="str">
            <v xml:space="preserve">Camino a San Luis Rey </v>
          </cell>
          <cell r="F759">
            <v>221</v>
          </cell>
          <cell r="G759" t="str">
            <v>Ex Hacienda de Santa Rita</v>
          </cell>
          <cell r="H759">
            <v>38137</v>
          </cell>
          <cell r="I759" t="str">
            <v>Celaya</v>
          </cell>
          <cell r="J759" t="str">
            <v xml:space="preserve">Guanajuato, </v>
          </cell>
          <cell r="K759" t="str">
            <v>México</v>
          </cell>
          <cell r="L759" t="str">
            <v>-</v>
          </cell>
        </row>
        <row r="760">
          <cell r="A760">
            <v>762</v>
          </cell>
          <cell r="B760" t="str">
            <v>Mexicana MRO, S.A DE C.V</v>
          </cell>
          <cell r="C760" t="str">
            <v>-</v>
          </cell>
          <cell r="D760" t="str">
            <v>Av. 602</v>
          </cell>
          <cell r="E760" t="str">
            <v>-</v>
          </cell>
          <cell r="F760" t="str">
            <v>161-A</v>
          </cell>
          <cell r="G760" t="str">
            <v>San Juan de Aragon</v>
          </cell>
          <cell r="H760">
            <v>15620</v>
          </cell>
          <cell r="I760" t="str">
            <v>Mexico</v>
          </cell>
          <cell r="J760" t="str">
            <v>DF</v>
          </cell>
          <cell r="K760" t="str">
            <v>México</v>
          </cell>
          <cell r="L760" t="str">
            <v>-</v>
          </cell>
        </row>
        <row r="761">
          <cell r="A761">
            <v>763</v>
          </cell>
          <cell r="B761" t="str">
            <v>Abengoa Cogeneración Tabasco, S. de R.L. de C.V.</v>
          </cell>
          <cell r="C761" t="str">
            <v>-</v>
          </cell>
          <cell r="D761" t="str">
            <v xml:space="preserve">Carretera Luis Gil Perez </v>
          </cell>
          <cell r="E761" t="str">
            <v>-</v>
          </cell>
          <cell r="F761" t="str">
            <v>S/N</v>
          </cell>
          <cell r="G761" t="str">
            <v>Rancheria Estancia Vieja Segunda Sección, Centro</v>
          </cell>
          <cell r="H761">
            <v>86280</v>
          </cell>
          <cell r="I761" t="str">
            <v>Villahermosa</v>
          </cell>
          <cell r="J761" t="str">
            <v xml:space="preserve">Tabasco, </v>
          </cell>
          <cell r="K761" t="str">
            <v>México</v>
          </cell>
          <cell r="L761" t="str">
            <v>-</v>
          </cell>
        </row>
        <row r="762">
          <cell r="A762">
            <v>764</v>
          </cell>
          <cell r="B762" t="str">
            <v>Secam Servicios de Calibración y Medición S.C</v>
          </cell>
          <cell r="C762" t="str">
            <v>-</v>
          </cell>
          <cell r="D762" t="str">
            <v xml:space="preserve">Av. Siglo XXI </v>
          </cell>
          <cell r="E762" t="str">
            <v>-</v>
          </cell>
          <cell r="F762">
            <v>6106</v>
          </cell>
          <cell r="G762" t="str">
            <v>Fracc Solidaridad Primera Secc</v>
          </cell>
          <cell r="H762">
            <v>20196</v>
          </cell>
          <cell r="I762" t="str">
            <v>Aguascalientes</v>
          </cell>
          <cell r="J762" t="str">
            <v xml:space="preserve">Aguascalientes, </v>
          </cell>
          <cell r="K762" t="str">
            <v>México</v>
          </cell>
          <cell r="L762" t="str">
            <v>-</v>
          </cell>
        </row>
        <row r="763">
          <cell r="A763">
            <v>765</v>
          </cell>
          <cell r="B763" t="str">
            <v>Plasticos MPA</v>
          </cell>
          <cell r="C763" t="str">
            <v>-</v>
          </cell>
          <cell r="D763" t="str">
            <v xml:space="preserve">Av. Independencia </v>
          </cell>
          <cell r="E763" t="str">
            <v>-</v>
          </cell>
          <cell r="F763">
            <v>2442</v>
          </cell>
          <cell r="G763" t="str">
            <v>Trojes de Alonso</v>
          </cell>
          <cell r="H763">
            <v>20110</v>
          </cell>
          <cell r="I763" t="str">
            <v>Aguascalientes</v>
          </cell>
          <cell r="J763" t="str">
            <v xml:space="preserve">Aguascalientes, </v>
          </cell>
          <cell r="K763" t="str">
            <v>México</v>
          </cell>
          <cell r="L763" t="str">
            <v>-</v>
          </cell>
        </row>
        <row r="764">
          <cell r="A764">
            <v>766</v>
          </cell>
          <cell r="B764" t="str">
            <v>WEG Mexico, S.A. de C.V.</v>
          </cell>
          <cell r="C764" t="str">
            <v>-</v>
          </cell>
          <cell r="D764" t="str">
            <v xml:space="preserve">Carretera Jorobas-Tula Km.3.5 </v>
          </cell>
          <cell r="E764" t="str">
            <v>Mz. 5</v>
          </cell>
          <cell r="F764">
            <v>1</v>
          </cell>
          <cell r="G764" t="str">
            <v>Fracc. Parque Industrial Huehuetoca</v>
          </cell>
          <cell r="H764">
            <v>54680</v>
          </cell>
          <cell r="I764" t="str">
            <v>Huehuetoca,</v>
          </cell>
          <cell r="J764" t="str">
            <v>Estado de Mexico</v>
          </cell>
          <cell r="K764" t="str">
            <v>México</v>
          </cell>
          <cell r="L764" t="str">
            <v>-</v>
          </cell>
        </row>
        <row r="765">
          <cell r="A765">
            <v>767</v>
          </cell>
          <cell r="B765" t="str">
            <v>SIDEC Servicio de Industria de Calibracion</v>
          </cell>
          <cell r="C765" t="str">
            <v>-</v>
          </cell>
          <cell r="D765" t="str">
            <v>Fernando montes de Oca</v>
          </cell>
          <cell r="E765" t="str">
            <v>-</v>
          </cell>
          <cell r="F765">
            <v>848</v>
          </cell>
          <cell r="G765" t="str">
            <v>Latinoamericana</v>
          </cell>
          <cell r="H765">
            <v>25270</v>
          </cell>
          <cell r="I765" t="str">
            <v>Saltillo</v>
          </cell>
          <cell r="J765" t="str">
            <v>Coahuila</v>
          </cell>
          <cell r="K765" t="str">
            <v>México</v>
          </cell>
          <cell r="L765" t="str">
            <v>-</v>
          </cell>
          <cell r="O765" t="str">
            <v>sidec@prodigy.net.mx</v>
          </cell>
        </row>
        <row r="766">
          <cell r="A766">
            <v>768</v>
          </cell>
          <cell r="B766" t="str">
            <v>HUF DE MEXICO S. DE R.L. DE C.V.</v>
          </cell>
          <cell r="C766" t="str">
            <v>-</v>
          </cell>
          <cell r="D766" t="str">
            <v>Anillo Periferico Ecologico</v>
          </cell>
          <cell r="E766">
            <v>46</v>
          </cell>
          <cell r="F766">
            <v>421</v>
          </cell>
          <cell r="G766" t="str">
            <v>San Francisco Ocotlan</v>
          </cell>
          <cell r="H766">
            <v>72680</v>
          </cell>
          <cell r="I766" t="str">
            <v>Coronango</v>
          </cell>
          <cell r="J766" t="str">
            <v>Puebla</v>
          </cell>
          <cell r="K766" t="str">
            <v>México</v>
          </cell>
          <cell r="L766" t="str">
            <v>-</v>
          </cell>
        </row>
        <row r="767">
          <cell r="A767">
            <v>769</v>
          </cell>
          <cell r="B767" t="str">
            <v>DEMAR INSTALADORA Y CONSTRUCTORA SA DE CV</v>
          </cell>
          <cell r="C767" t="str">
            <v>-</v>
          </cell>
          <cell r="D767" t="str">
            <v>Calle 5 Sur  Manzana Q</v>
          </cell>
          <cell r="E767" t="str">
            <v>-</v>
          </cell>
          <cell r="F767">
            <v>9</v>
          </cell>
          <cell r="G767" t="str">
            <v>PUERTO INDUSTRIAL PESQUERO LAGUNA AZUL</v>
          </cell>
          <cell r="H767">
            <v>24140</v>
          </cell>
          <cell r="I767" t="str">
            <v>CIUDAD DEL CARMEN</v>
          </cell>
          <cell r="J767" t="str">
            <v xml:space="preserve">CAMPECHE </v>
          </cell>
          <cell r="K767" t="str">
            <v>México</v>
          </cell>
          <cell r="L767" t="str">
            <v>-</v>
          </cell>
        </row>
        <row r="768">
          <cell r="A768">
            <v>770</v>
          </cell>
          <cell r="B768" t="str">
            <v>Dana de México Corporación - ENCO</v>
          </cell>
          <cell r="C768" t="str">
            <v>-</v>
          </cell>
          <cell r="D768" t="str">
            <v>Acceso III</v>
          </cell>
          <cell r="E768" t="str">
            <v>C</v>
          </cell>
          <cell r="F768">
            <v>7</v>
          </cell>
          <cell r="G768" t="str">
            <v>Parque Industrial Benito Juarez</v>
          </cell>
          <cell r="H768">
            <v>76120</v>
          </cell>
          <cell r="I768" t="str">
            <v>Queretaro</v>
          </cell>
          <cell r="J768" t="str">
            <v>Queretaro</v>
          </cell>
          <cell r="K768" t="str">
            <v>México</v>
          </cell>
          <cell r="L768" t="str">
            <v>-</v>
          </cell>
        </row>
        <row r="769">
          <cell r="A769">
            <v>771</v>
          </cell>
          <cell r="B769" t="str">
            <v>Plastic-Tec, S.A. de C.V. (Lerma)</v>
          </cell>
          <cell r="C769" t="str">
            <v>-</v>
          </cell>
          <cell r="D769" t="str">
            <v>Av. de los Sauces</v>
          </cell>
          <cell r="E769" t="str">
            <v>-</v>
          </cell>
          <cell r="F769">
            <v>22</v>
          </cell>
          <cell r="G769" t="str">
            <v>Parque industrial Lerma</v>
          </cell>
          <cell r="H769">
            <v>52000</v>
          </cell>
          <cell r="I769" t="str">
            <v>Lerma</v>
          </cell>
          <cell r="J769" t="str">
            <v>Edo. De Mex.</v>
          </cell>
          <cell r="K769" t="str">
            <v>México</v>
          </cell>
          <cell r="L769" t="str">
            <v>-</v>
          </cell>
        </row>
        <row r="770">
          <cell r="A770">
            <v>772</v>
          </cell>
          <cell r="B770" t="str">
            <v>Plastic-Tec, S.A. de C.V.</v>
          </cell>
          <cell r="C770" t="str">
            <v>-</v>
          </cell>
          <cell r="D770" t="str">
            <v xml:space="preserve">Profesora Aurora Reza </v>
          </cell>
          <cell r="E770" t="str">
            <v>-</v>
          </cell>
          <cell r="F770">
            <v>225</v>
          </cell>
          <cell r="G770" t="str">
            <v>Los Reyes</v>
          </cell>
          <cell r="H770">
            <v>4330</v>
          </cell>
          <cell r="I770" t="str">
            <v>Coyoacan</v>
          </cell>
          <cell r="J770" t="str">
            <v>Distrito Federal</v>
          </cell>
          <cell r="K770" t="str">
            <v>México</v>
          </cell>
          <cell r="L770" t="str">
            <v>-</v>
          </cell>
        </row>
        <row r="771">
          <cell r="A771">
            <v>773</v>
          </cell>
          <cell r="B771" t="str">
            <v>SCM Industrial</v>
          </cell>
          <cell r="C771" t="str">
            <v>-</v>
          </cell>
          <cell r="D771" t="str">
            <v>Privada de los Industriales 110</v>
          </cell>
          <cell r="E771" t="str">
            <v>-</v>
          </cell>
          <cell r="F771">
            <v>105</v>
          </cell>
          <cell r="G771" t="str">
            <v>Jurica</v>
          </cell>
          <cell r="H771">
            <v>76100</v>
          </cell>
          <cell r="I771" t="str">
            <v>Queretaro</v>
          </cell>
          <cell r="J771" t="str">
            <v>Queretaro</v>
          </cell>
          <cell r="K771" t="str">
            <v>México</v>
          </cell>
          <cell r="L771" t="str">
            <v>-</v>
          </cell>
        </row>
        <row r="772">
          <cell r="A772">
            <v>774</v>
          </cell>
          <cell r="B772" t="str">
            <v xml:space="preserve">Honda de México S.A. de C.V. </v>
          </cell>
          <cell r="C772" t="str">
            <v>-</v>
          </cell>
          <cell r="D772" t="str">
            <v>Carretera Libramiento Sur Km 6</v>
          </cell>
          <cell r="E772" t="str">
            <v>-</v>
          </cell>
          <cell r="F772" t="str">
            <v>-</v>
          </cell>
          <cell r="G772" t="str">
            <v>La luz</v>
          </cell>
          <cell r="H772">
            <v>38140</v>
          </cell>
          <cell r="I772" t="str">
            <v>Celaya</v>
          </cell>
          <cell r="J772" t="str">
            <v>Guanajuato</v>
          </cell>
          <cell r="K772" t="str">
            <v>México</v>
          </cell>
          <cell r="L772" t="str">
            <v>-</v>
          </cell>
        </row>
        <row r="773">
          <cell r="A773">
            <v>775</v>
          </cell>
          <cell r="B773" t="str">
            <v>Hanwa Steel Service Mexicana, S.A. de C.V.</v>
          </cell>
          <cell r="C773" t="str">
            <v>-</v>
          </cell>
          <cell r="D773" t="str">
            <v>Avenida Celaya</v>
          </cell>
          <cell r="E773" t="str">
            <v>-</v>
          </cell>
          <cell r="F773">
            <v>105</v>
          </cell>
          <cell r="G773" t="str">
            <v>Parque Industrial Amistad Bajío</v>
          </cell>
          <cell r="H773">
            <v>38160</v>
          </cell>
          <cell r="I773" t="str">
            <v>Apaseo El Grande</v>
          </cell>
          <cell r="J773" t="str">
            <v>Guanajuato</v>
          </cell>
          <cell r="K773" t="str">
            <v>México</v>
          </cell>
          <cell r="L773" t="str">
            <v>-</v>
          </cell>
        </row>
        <row r="774">
          <cell r="A774">
            <v>776</v>
          </cell>
          <cell r="B774" t="str">
            <v>Juan Antonio Ramirez Cruz</v>
          </cell>
          <cell r="C774" t="str">
            <v>-</v>
          </cell>
          <cell r="D774" t="str">
            <v xml:space="preserve">Prol. Zaragoza </v>
          </cell>
          <cell r="E774" t="str">
            <v>-</v>
          </cell>
          <cell r="F774" t="str">
            <v>503-342</v>
          </cell>
          <cell r="G774" t="str">
            <v>Jardines de la Hacienda</v>
          </cell>
          <cell r="H774">
            <v>76187</v>
          </cell>
          <cell r="I774" t="str">
            <v>Queretaro</v>
          </cell>
          <cell r="J774" t="str">
            <v>Queretaro</v>
          </cell>
          <cell r="K774" t="str">
            <v>México</v>
          </cell>
          <cell r="L774" t="str">
            <v>-</v>
          </cell>
        </row>
        <row r="775">
          <cell r="A775">
            <v>777</v>
          </cell>
          <cell r="B775" t="str">
            <v>WH Brady, S. de R.L. de C.V.</v>
          </cell>
          <cell r="C775" t="str">
            <v>WHB971211HA9</v>
          </cell>
          <cell r="D775" t="str">
            <v xml:space="preserve">Avenida el Tepeyac </v>
          </cell>
          <cell r="E775" t="str">
            <v>-</v>
          </cell>
          <cell r="F775" t="str">
            <v>120-C</v>
          </cell>
          <cell r="G775" t="str">
            <v xml:space="preserve">Parque Industrial O'Donnell </v>
          </cell>
          <cell r="H775">
            <v>76250</v>
          </cell>
          <cell r="I775" t="str">
            <v>El Marqués</v>
          </cell>
          <cell r="J775" t="str">
            <v>Queretaro</v>
          </cell>
          <cell r="K775" t="str">
            <v>Mexico</v>
          </cell>
          <cell r="L775" t="str">
            <v>(442)-253-01-48</v>
          </cell>
        </row>
        <row r="776">
          <cell r="A776">
            <v>778</v>
          </cell>
          <cell r="B776" t="str">
            <v>ITW Automotive Products México S. de R.L. C.V.</v>
          </cell>
          <cell r="C776" t="str">
            <v>-</v>
          </cell>
          <cell r="D776" t="str">
            <v xml:space="preserve">Avenida Estados Unidos </v>
          </cell>
          <cell r="E776" t="str">
            <v>-</v>
          </cell>
          <cell r="F776">
            <v>108</v>
          </cell>
          <cell r="G776" t="str">
            <v>Parque Industrial San Francisco de los Romo</v>
          </cell>
          <cell r="H776" t="str">
            <v>-</v>
          </cell>
          <cell r="I776" t="str">
            <v>San Francisco de los Romo</v>
          </cell>
          <cell r="J776" t="str">
            <v>Aguascalientes</v>
          </cell>
          <cell r="K776" t="str">
            <v>México</v>
          </cell>
        </row>
        <row r="777">
          <cell r="A777">
            <v>779</v>
          </cell>
          <cell r="B777" t="str">
            <v>Hella Automotive México, S.A de C.V.</v>
          </cell>
          <cell r="C777" t="str">
            <v>-</v>
          </cell>
          <cell r="D777" t="str">
            <v>Centro Industrial Guanajuato</v>
          </cell>
          <cell r="E777" t="str">
            <v>-</v>
          </cell>
          <cell r="F777" t="str">
            <v>-</v>
          </cell>
          <cell r="G777" t="str">
            <v>Carretera 110 Irapuato-Abasolo</v>
          </cell>
          <cell r="H777">
            <v>36844</v>
          </cell>
          <cell r="I777" t="str">
            <v>Irapuato</v>
          </cell>
          <cell r="J777" t="str">
            <v>Guanajuato</v>
          </cell>
          <cell r="K777" t="str">
            <v>Mexico</v>
          </cell>
        </row>
        <row r="778">
          <cell r="A778">
            <v>780</v>
          </cell>
          <cell r="B778" t="str">
            <v>Kiriu Mexicana S.A. de C.V.</v>
          </cell>
          <cell r="C778" t="str">
            <v>-</v>
          </cell>
          <cell r="D778" t="str">
            <v>Avenida Circuito de la Industria Poniente</v>
          </cell>
          <cell r="E778" t="str">
            <v>-</v>
          </cell>
          <cell r="F778" t="str">
            <v>-</v>
          </cell>
          <cell r="G778" t="str">
            <v>-</v>
          </cell>
          <cell r="H778">
            <v>52000</v>
          </cell>
          <cell r="I778" t="str">
            <v>Lerma</v>
          </cell>
          <cell r="J778" t="str">
            <v>Estado de México</v>
          </cell>
          <cell r="K778" t="str">
            <v>Mexico</v>
          </cell>
        </row>
        <row r="779">
          <cell r="A779">
            <v>781</v>
          </cell>
          <cell r="B779" t="str">
            <v>Servicios Refresqueros del Golfo y Bajío S. de R.L. de C.V.</v>
          </cell>
          <cell r="C779" t="str">
            <v>-</v>
          </cell>
          <cell r="D779" t="str">
            <v>Carretera México-Veracruz via Xalapa km 442</v>
          </cell>
          <cell r="E779" t="str">
            <v>-</v>
          </cell>
          <cell r="F779" t="str">
            <v>-</v>
          </cell>
          <cell r="G779" t="str">
            <v>La Boticaria</v>
          </cell>
          <cell r="H779">
            <v>91700</v>
          </cell>
          <cell r="I779" t="str">
            <v>Boca del Rio</v>
          </cell>
          <cell r="J779" t="str">
            <v>Veracruz</v>
          </cell>
          <cell r="K779" t="str">
            <v>Mexico</v>
          </cell>
        </row>
        <row r="780">
          <cell r="A780">
            <v>782</v>
          </cell>
          <cell r="B780" t="str">
            <v>Vitro, S.A.B. de C.V.</v>
          </cell>
          <cell r="C780" t="str">
            <v>-</v>
          </cell>
          <cell r="D780" t="str">
            <v>Keramos Poniente</v>
          </cell>
          <cell r="E780" t="str">
            <v>-</v>
          </cell>
          <cell r="F780">
            <v>225</v>
          </cell>
          <cell r="G780" t="str">
            <v>-</v>
          </cell>
          <cell r="H780">
            <v>64410</v>
          </cell>
          <cell r="I780" t="str">
            <v>Nuevo Leon</v>
          </cell>
          <cell r="J780" t="str">
            <v>Monterrey</v>
          </cell>
          <cell r="K780" t="str">
            <v>Mexico</v>
          </cell>
          <cell r="L780" t="str">
            <v>-</v>
          </cell>
        </row>
        <row r="781">
          <cell r="A781">
            <v>783</v>
          </cell>
          <cell r="B781" t="str">
            <v>Tuberias Advance S.A. de C.V.</v>
          </cell>
          <cell r="C781" t="str">
            <v>-</v>
          </cell>
          <cell r="D781" t="str">
            <v>Carretera Jorobas Tula Km 3.5 Manzana 3 Lote 2</v>
          </cell>
          <cell r="E781" t="str">
            <v>-</v>
          </cell>
          <cell r="F781">
            <v>2</v>
          </cell>
          <cell r="G781" t="str">
            <v>Fraccionamiento Parque Industrial Huehuetoca</v>
          </cell>
          <cell r="H781">
            <v>54680</v>
          </cell>
          <cell r="I781" t="str">
            <v>Huehuetoca</v>
          </cell>
          <cell r="J781" t="str">
            <v>Estado de México</v>
          </cell>
          <cell r="K781" t="str">
            <v>Mexico</v>
          </cell>
        </row>
        <row r="782">
          <cell r="A782">
            <v>784</v>
          </cell>
          <cell r="B782" t="str">
            <v>Cotromma S.A. de C.V.</v>
          </cell>
          <cell r="C782" t="str">
            <v>-</v>
          </cell>
          <cell r="D782" t="str">
            <v xml:space="preserve">Carretera Celaya Salvatierra Km 7.5 </v>
          </cell>
          <cell r="E782" t="str">
            <v>-</v>
          </cell>
          <cell r="F782" t="str">
            <v>-</v>
          </cell>
          <cell r="G782" t="str">
            <v xml:space="preserve">Santa Maria  </v>
          </cell>
          <cell r="H782">
            <v>38130</v>
          </cell>
          <cell r="I782" t="str">
            <v>Celaya</v>
          </cell>
          <cell r="J782" t="str">
            <v>Guanajuato</v>
          </cell>
          <cell r="K782" t="str">
            <v>Mexico</v>
          </cell>
        </row>
        <row r="783">
          <cell r="A783">
            <v>785</v>
          </cell>
          <cell r="B783" t="str">
            <v>Construcciones Metal Mecanicas Mex</v>
          </cell>
          <cell r="C783" t="str">
            <v>-</v>
          </cell>
          <cell r="D783" t="str">
            <v>Carretera Federal San Juan del Río</v>
          </cell>
          <cell r="E783" t="str">
            <v>-</v>
          </cell>
          <cell r="F783" t="str">
            <v>-</v>
          </cell>
          <cell r="G783" t="str">
            <v>San Pedro Ahuacatlan</v>
          </cell>
          <cell r="H783">
            <v>76810</v>
          </cell>
          <cell r="I783" t="str">
            <v>San Juan del Río</v>
          </cell>
          <cell r="J783" t="str">
            <v>Queretaro</v>
          </cell>
          <cell r="K783" t="str">
            <v>Mexico</v>
          </cell>
          <cell r="O783" t="str">
            <v>compras@estructurasmetalicas.com.mx</v>
          </cell>
        </row>
        <row r="784">
          <cell r="A784">
            <v>786</v>
          </cell>
          <cell r="B784" t="str">
            <v>Coroplast Harness Systems de México S. de R.L. de C.V.</v>
          </cell>
          <cell r="C784" t="str">
            <v>-</v>
          </cell>
          <cell r="D784" t="str">
            <v>Carretera Acambaro-Tarandacuao Km 7.7</v>
          </cell>
          <cell r="E784" t="str">
            <v>-</v>
          </cell>
          <cell r="F784" t="str">
            <v>-</v>
          </cell>
          <cell r="G784" t="str">
            <v>San Miguel del Puerto</v>
          </cell>
          <cell r="H784">
            <v>38762</v>
          </cell>
          <cell r="I784" t="str">
            <v>Acambaro</v>
          </cell>
          <cell r="J784" t="str">
            <v>Guanajuato</v>
          </cell>
          <cell r="K784" t="str">
            <v>Mexico</v>
          </cell>
          <cell r="L784" t="str">
            <v>-</v>
          </cell>
        </row>
        <row r="785">
          <cell r="A785">
            <v>787</v>
          </cell>
          <cell r="B785" t="str">
            <v>Prettl Electric del Bajío, S.A. de C.V.</v>
          </cell>
          <cell r="C785" t="str">
            <v>-</v>
          </cell>
          <cell r="D785" t="str">
            <v>Carretera Libramiento Empalme Escobedo-Comonfort</v>
          </cell>
          <cell r="E785" t="str">
            <v>-</v>
          </cell>
          <cell r="F785">
            <v>50</v>
          </cell>
          <cell r="G785" t="str">
            <v>-</v>
          </cell>
          <cell r="H785">
            <v>38200</v>
          </cell>
          <cell r="I785" t="str">
            <v>Comonfort</v>
          </cell>
          <cell r="J785" t="str">
            <v>Guanajuato</v>
          </cell>
          <cell r="K785" t="str">
            <v>Mexico</v>
          </cell>
          <cell r="L785" t="str">
            <v>-</v>
          </cell>
        </row>
        <row r="786">
          <cell r="A786">
            <v>788</v>
          </cell>
          <cell r="B786" t="str">
            <v>Windsor Mold S.A. de C.V.</v>
          </cell>
          <cell r="C786" t="str">
            <v>-</v>
          </cell>
          <cell r="D786" t="str">
            <v xml:space="preserve">Avenida Manufacturas </v>
          </cell>
          <cell r="E786" t="str">
            <v>-</v>
          </cell>
          <cell r="F786">
            <v>612</v>
          </cell>
          <cell r="G786" t="str">
            <v>Parque Industrial Queretaro</v>
          </cell>
          <cell r="H786">
            <v>76220</v>
          </cell>
          <cell r="I786" t="str">
            <v>San Rosa Jauregui</v>
          </cell>
          <cell r="J786" t="str">
            <v>Queretaro</v>
          </cell>
          <cell r="K786" t="str">
            <v>Mexico</v>
          </cell>
        </row>
        <row r="787">
          <cell r="A787">
            <v>789</v>
          </cell>
          <cell r="B787" t="str">
            <v>Metrican Estampados S.A. de C.V.</v>
          </cell>
          <cell r="C787" t="str">
            <v>-</v>
          </cell>
          <cell r="D787" t="str">
            <v xml:space="preserve">Circuito Exportacion </v>
          </cell>
          <cell r="E787" t="str">
            <v>-</v>
          </cell>
          <cell r="F787">
            <v>432</v>
          </cell>
          <cell r="G787" t="str">
            <v xml:space="preserve">Parque Industrial Tres Naciones  </v>
          </cell>
          <cell r="H787">
            <v>78395</v>
          </cell>
          <cell r="I787" t="str">
            <v>San Luis Potosí</v>
          </cell>
          <cell r="J787" t="str">
            <v>San Luis Potosí</v>
          </cell>
          <cell r="K787" t="str">
            <v>Mexico</v>
          </cell>
        </row>
        <row r="788">
          <cell r="A788">
            <v>790</v>
          </cell>
          <cell r="B788" t="str">
            <v>Kurashiki Kako Mexicana S.A. de C.V.</v>
          </cell>
          <cell r="C788" t="str">
            <v>-</v>
          </cell>
          <cell r="D788" t="str">
            <v>Avenida Industria Petroquimica</v>
          </cell>
          <cell r="E788" t="str">
            <v>-</v>
          </cell>
          <cell r="F788">
            <v>401</v>
          </cell>
          <cell r="G788" t="str">
            <v>Parque Industrial Queretaro</v>
          </cell>
          <cell r="H788">
            <v>76220</v>
          </cell>
          <cell r="I788" t="str">
            <v>Queretaro</v>
          </cell>
          <cell r="J788" t="str">
            <v>Queretaro</v>
          </cell>
          <cell r="K788" t="str">
            <v>Mexico</v>
          </cell>
        </row>
        <row r="789">
          <cell r="A789">
            <v>791</v>
          </cell>
          <cell r="B789" t="str">
            <v>Valeo Sistemas Eléctricos, S.A. de C.V. División Valeo Térmico</v>
          </cell>
          <cell r="C789" t="str">
            <v>-</v>
          </cell>
          <cell r="D789" t="str">
            <v xml:space="preserve">Eje 130 Esquina Avenida C.F.E. </v>
          </cell>
          <cell r="E789" t="str">
            <v>-</v>
          </cell>
          <cell r="F789" t="str">
            <v>-</v>
          </cell>
          <cell r="G789" t="str">
            <v>Zona Industrial del Potosí</v>
          </cell>
          <cell r="H789">
            <v>78395</v>
          </cell>
          <cell r="I789" t="str">
            <v>San Luis Potosí</v>
          </cell>
          <cell r="J789" t="str">
            <v>San Luis Potosí</v>
          </cell>
          <cell r="K789" t="str">
            <v>Mexico</v>
          </cell>
        </row>
        <row r="790">
          <cell r="A790">
            <v>792</v>
          </cell>
          <cell r="B790" t="str">
            <v>Federal Mogul S. de R.L. de C.V.</v>
          </cell>
          <cell r="C790" t="str">
            <v>-</v>
          </cell>
          <cell r="D790" t="str">
            <v xml:space="preserve">Carretera Resurreccion </v>
          </cell>
          <cell r="E790" t="str">
            <v>-</v>
          </cell>
          <cell r="F790">
            <v>73</v>
          </cell>
          <cell r="G790" t="str">
            <v>Camino a Manzanilla H.  Pue. de Zaragoza</v>
          </cell>
          <cell r="H790">
            <v>72304</v>
          </cell>
          <cell r="I790" t="str">
            <v>Puebla</v>
          </cell>
          <cell r="J790" t="str">
            <v>Puebla</v>
          </cell>
          <cell r="K790" t="str">
            <v>Mexico</v>
          </cell>
          <cell r="L790" t="str">
            <v>(222) 372 8119</v>
          </cell>
        </row>
        <row r="791">
          <cell r="A791">
            <v>793</v>
          </cell>
          <cell r="B791" t="str">
            <v>Vico Cold Heading Technologies</v>
          </cell>
          <cell r="C791" t="str">
            <v>-</v>
          </cell>
          <cell r="D791" t="str">
            <v xml:space="preserve">Avenida 5 de Febrero </v>
          </cell>
          <cell r="E791" t="str">
            <v>-</v>
          </cell>
          <cell r="F791">
            <v>1309</v>
          </cell>
          <cell r="G791" t="str">
            <v>-</v>
          </cell>
          <cell r="H791">
            <v>76139</v>
          </cell>
          <cell r="I791" t="str">
            <v>Queretaro</v>
          </cell>
          <cell r="J791" t="str">
            <v>Queretaro</v>
          </cell>
          <cell r="K791" t="str">
            <v>Mexico</v>
          </cell>
        </row>
        <row r="792">
          <cell r="A792">
            <v>794</v>
          </cell>
          <cell r="B792" t="str">
            <v>L´OREAL SLP, S.A. DE C.V.</v>
          </cell>
          <cell r="C792" t="str">
            <v>-</v>
          </cell>
          <cell r="D792" t="str">
            <v xml:space="preserve">Shangai </v>
          </cell>
          <cell r="E792" t="str">
            <v>-</v>
          </cell>
          <cell r="F792">
            <v>107</v>
          </cell>
          <cell r="G792" t="str">
            <v>Laguna de San Vicente</v>
          </cell>
          <cell r="H792">
            <v>79525</v>
          </cell>
          <cell r="I792" t="str">
            <v>Villa de Reyes</v>
          </cell>
          <cell r="J792" t="str">
            <v>San Luis Potosi</v>
          </cell>
          <cell r="K792" t="str">
            <v>Mexico</v>
          </cell>
        </row>
        <row r="793">
          <cell r="A793">
            <v>795</v>
          </cell>
          <cell r="B793" t="str">
            <v>Bombas Grundfos de México Manufacturing S.A. de C.V.</v>
          </cell>
          <cell r="C793" t="str">
            <v>-</v>
          </cell>
          <cell r="D793" t="str">
            <v xml:space="preserve">Circuito Exportacion </v>
          </cell>
          <cell r="E793" t="str">
            <v>-</v>
          </cell>
          <cell r="F793">
            <v>272</v>
          </cell>
          <cell r="G793" t="str">
            <v>Parque Industrial Tres Naciones 2a. Etapa</v>
          </cell>
          <cell r="H793">
            <v>78395</v>
          </cell>
          <cell r="I793" t="str">
            <v>San Luis Potosí</v>
          </cell>
          <cell r="J793" t="str">
            <v>San Luis Potosi</v>
          </cell>
          <cell r="K793" t="str">
            <v>Mexico</v>
          </cell>
        </row>
        <row r="794">
          <cell r="A794">
            <v>796</v>
          </cell>
          <cell r="B794" t="str">
            <v>Lamtec México S.A. de C.V.</v>
          </cell>
          <cell r="C794" t="str">
            <v>-</v>
          </cell>
          <cell r="D794" t="str">
            <v>Carretera Estatal 431 Km. 2.2</v>
          </cell>
          <cell r="E794" t="str">
            <v>-</v>
          </cell>
          <cell r="F794">
            <v>29</v>
          </cell>
          <cell r="G794" t="str">
            <v>El Colorado</v>
          </cell>
          <cell r="H794">
            <v>76249</v>
          </cell>
          <cell r="I794" t="str">
            <v>El Marquez</v>
          </cell>
          <cell r="J794" t="str">
            <v>Queretaro</v>
          </cell>
          <cell r="K794" t="str">
            <v>Mexico</v>
          </cell>
        </row>
        <row r="795">
          <cell r="A795">
            <v>797</v>
          </cell>
          <cell r="B795" t="str">
            <v>Cemex Concretos S.A. de C.V.</v>
          </cell>
          <cell r="C795" t="str">
            <v>-</v>
          </cell>
          <cell r="D795" t="str">
            <v>Carretera a Costa Rica Km 1.5</v>
          </cell>
          <cell r="E795" t="str">
            <v>-</v>
          </cell>
          <cell r="F795" t="str">
            <v>-</v>
          </cell>
          <cell r="G795" t="str">
            <v>San Rafael</v>
          </cell>
          <cell r="H795">
            <v>80150</v>
          </cell>
          <cell r="I795" t="str">
            <v>Culiacán</v>
          </cell>
          <cell r="J795" t="str">
            <v>Sinaloa</v>
          </cell>
          <cell r="K795" t="str">
            <v>Mexico</v>
          </cell>
        </row>
        <row r="796">
          <cell r="A796">
            <v>798</v>
          </cell>
          <cell r="B796" t="str">
            <v>FTE Mexicana S.A. de C.V.</v>
          </cell>
          <cell r="C796" t="str">
            <v>-</v>
          </cell>
          <cell r="D796" t="str">
            <v xml:space="preserve"> Autopista Puebla-Orizaba Km 14.5</v>
          </cell>
          <cell r="E796" t="str">
            <v>-</v>
          </cell>
          <cell r="F796" t="str">
            <v>-</v>
          </cell>
          <cell r="G796" t="str">
            <v>Parque Industrial Chachapa</v>
          </cell>
          <cell r="H796">
            <v>72990</v>
          </cell>
          <cell r="I796" t="str">
            <v>Amozoc</v>
          </cell>
          <cell r="J796" t="str">
            <v>Puebla</v>
          </cell>
          <cell r="K796" t="str">
            <v>Mexico</v>
          </cell>
        </row>
        <row r="797">
          <cell r="A797">
            <v>799</v>
          </cell>
          <cell r="B797" t="str">
            <v>Specialty Bolt &amp; Screw</v>
          </cell>
          <cell r="C797" t="str">
            <v>-</v>
          </cell>
          <cell r="D797" t="str">
            <v>Industria Minera</v>
          </cell>
          <cell r="E797" t="str">
            <v>Bodega 1</v>
          </cell>
          <cell r="F797">
            <v>562</v>
          </cell>
          <cell r="G797" t="str">
            <v>Parque Industrial Queretaro, Puerto de Aguirre</v>
          </cell>
          <cell r="H797">
            <v>76220</v>
          </cell>
          <cell r="I797" t="str">
            <v>Queretaro</v>
          </cell>
          <cell r="J797" t="str">
            <v>Queretaro</v>
          </cell>
          <cell r="K797" t="str">
            <v>Mexico</v>
          </cell>
        </row>
        <row r="798">
          <cell r="A798">
            <v>800</v>
          </cell>
          <cell r="B798" t="str">
            <v>Vemequim S.A. de C.V.</v>
          </cell>
          <cell r="C798" t="str">
            <v>-</v>
          </cell>
          <cell r="D798" t="str">
            <v>Carretera Federal Libre Apizaco-Taxco Km 18.5 Manzana 2</v>
          </cell>
          <cell r="E798" t="str">
            <v>-</v>
          </cell>
          <cell r="F798" t="str">
            <v>1B</v>
          </cell>
          <cell r="G798" t="str">
            <v>Ciudad Industrial Xicohtecncatl III</v>
          </cell>
          <cell r="H798">
            <v>90250</v>
          </cell>
          <cell r="I798" t="str">
            <v>Tlaxco</v>
          </cell>
          <cell r="J798" t="str">
            <v>Tlaxcala</v>
          </cell>
          <cell r="K798" t="str">
            <v>Mexico</v>
          </cell>
        </row>
        <row r="799">
          <cell r="A799">
            <v>801</v>
          </cell>
          <cell r="B799" t="str">
            <v>OKAWA Mexicana S.A. de C.V.</v>
          </cell>
          <cell r="C799" t="str">
            <v>-</v>
          </cell>
          <cell r="D799" t="str">
            <v>Río Ota</v>
          </cell>
          <cell r="E799" t="str">
            <v>-</v>
          </cell>
          <cell r="F799">
            <v>981</v>
          </cell>
          <cell r="G799" t="str">
            <v>Parque Tecnoindustrial Castro del Río</v>
          </cell>
          <cell r="H799">
            <v>36810</v>
          </cell>
          <cell r="I799" t="str">
            <v>Irapuato</v>
          </cell>
          <cell r="J799" t="str">
            <v>Guanajuato</v>
          </cell>
          <cell r="K799" t="str">
            <v>Mexico</v>
          </cell>
        </row>
        <row r="800">
          <cell r="A800">
            <v>802</v>
          </cell>
          <cell r="B800" t="str">
            <v>EATON´S COOPER POWER SYSTEMS BUSINESS</v>
          </cell>
          <cell r="C800" t="str">
            <v>-</v>
          </cell>
          <cell r="D800" t="str">
            <v>La Estacada</v>
          </cell>
          <cell r="E800" t="str">
            <v>-</v>
          </cell>
          <cell r="F800">
            <v>451</v>
          </cell>
          <cell r="G800" t="str">
            <v>Parque Industrial Queretaro</v>
          </cell>
          <cell r="H800">
            <v>76220</v>
          </cell>
          <cell r="I800" t="str">
            <v>Queretaro</v>
          </cell>
          <cell r="J800" t="str">
            <v>Queretaro</v>
          </cell>
          <cell r="K800" t="str">
            <v>Mexico</v>
          </cell>
        </row>
        <row r="801">
          <cell r="A801">
            <v>803</v>
          </cell>
          <cell r="B801" t="str">
            <v>Productos Especializados de Acero, S.A. de C.V.</v>
          </cell>
          <cell r="C801" t="str">
            <v>-</v>
          </cell>
          <cell r="D801" t="str">
            <v xml:space="preserve">Eje 130   </v>
          </cell>
          <cell r="E801" t="str">
            <v>-</v>
          </cell>
          <cell r="F801">
            <v>135</v>
          </cell>
          <cell r="G801" t="str">
            <v>Zona Industrial</v>
          </cell>
          <cell r="H801">
            <v>78395</v>
          </cell>
          <cell r="I801" t="str">
            <v>San Luis Potosí</v>
          </cell>
          <cell r="J801" t="str">
            <v>San Luis Potosí</v>
          </cell>
          <cell r="K801" t="str">
            <v>Mexico</v>
          </cell>
        </row>
        <row r="802">
          <cell r="A802">
            <v>804</v>
          </cell>
          <cell r="B802" t="str">
            <v>Mahle Behr México, S. de R.L. de C.V.</v>
          </cell>
          <cell r="C802" t="str">
            <v>-</v>
          </cell>
          <cell r="D802" t="str">
            <v>Privada del Conde</v>
          </cell>
          <cell r="E802" t="str">
            <v>-</v>
          </cell>
          <cell r="F802" t="str">
            <v>4A</v>
          </cell>
          <cell r="G802" t="str">
            <v>Parque Industrial El Marques</v>
          </cell>
          <cell r="H802">
            <v>76246</v>
          </cell>
          <cell r="I802" t="str">
            <v>El Marques</v>
          </cell>
          <cell r="J802" t="str">
            <v>Querétaro</v>
          </cell>
          <cell r="K802" t="str">
            <v>Mexico</v>
          </cell>
        </row>
        <row r="803">
          <cell r="A803">
            <v>805</v>
          </cell>
          <cell r="B803" t="str">
            <v>Energía San Luis de la Paz S.A. de C.V.</v>
          </cell>
          <cell r="C803" t="str">
            <v>-</v>
          </cell>
          <cell r="D803" t="str">
            <v>Carretera 57 Km 82.7</v>
          </cell>
          <cell r="E803" t="str">
            <v>-</v>
          </cell>
          <cell r="F803" t="str">
            <v>-</v>
          </cell>
          <cell r="G803" t="str">
            <v>-</v>
          </cell>
          <cell r="H803">
            <v>37900</v>
          </cell>
          <cell r="I803" t="str">
            <v>San Luis de la Paz</v>
          </cell>
          <cell r="J803" t="str">
            <v>Guanajuato</v>
          </cell>
          <cell r="K803" t="str">
            <v>Mexico</v>
          </cell>
        </row>
        <row r="804">
          <cell r="A804">
            <v>806</v>
          </cell>
          <cell r="B804" t="str">
            <v>Quality Services &amp; Solutions</v>
          </cell>
          <cell r="C804" t="str">
            <v>-</v>
          </cell>
          <cell r="D804" t="str">
            <v xml:space="preserve">Fray Diego de Landa </v>
          </cell>
          <cell r="E804" t="str">
            <v>-</v>
          </cell>
          <cell r="F804">
            <v>204</v>
          </cell>
          <cell r="G804" t="str">
            <v>Quintas del Marqués</v>
          </cell>
          <cell r="H804">
            <v>76047</v>
          </cell>
          <cell r="I804" t="str">
            <v>Queretaro</v>
          </cell>
          <cell r="J804" t="str">
            <v>Queretaro</v>
          </cell>
          <cell r="K804" t="str">
            <v>Mexico</v>
          </cell>
        </row>
        <row r="805">
          <cell r="A805">
            <v>807</v>
          </cell>
          <cell r="B805" t="str">
            <v>Moldeos Especializados S.A. de C.V.</v>
          </cell>
          <cell r="C805" t="str">
            <v>-</v>
          </cell>
          <cell r="D805" t="str">
            <v>Periferico Sur</v>
          </cell>
          <cell r="E805" t="str">
            <v>Bodega E</v>
          </cell>
          <cell r="F805">
            <v>6350</v>
          </cell>
          <cell r="G805" t="str">
            <v>Artesanos Industrial</v>
          </cell>
          <cell r="H805">
            <v>45610</v>
          </cell>
          <cell r="I805" t="str">
            <v>Tlaquepaque</v>
          </cell>
          <cell r="J805" t="str">
            <v>Jalisco</v>
          </cell>
          <cell r="K805" t="str">
            <v>Mexico</v>
          </cell>
        </row>
        <row r="806">
          <cell r="A806">
            <v>808</v>
          </cell>
          <cell r="B806" t="str">
            <v>Resortes y Partes, S.A. de C.V.</v>
          </cell>
          <cell r="C806" t="str">
            <v>-</v>
          </cell>
          <cell r="D806" t="str">
            <v>Avenida Hidalgo</v>
          </cell>
          <cell r="E806">
            <v>1</v>
          </cell>
          <cell r="F806">
            <v>1952</v>
          </cell>
          <cell r="G806" t="str">
            <v>Ladron de Guevara</v>
          </cell>
          <cell r="H806">
            <v>44600</v>
          </cell>
          <cell r="I806" t="str">
            <v>Jalisco</v>
          </cell>
          <cell r="J806" t="str">
            <v>Guadalara</v>
          </cell>
          <cell r="K806" t="str">
            <v>Mexico</v>
          </cell>
        </row>
        <row r="807">
          <cell r="A807">
            <v>809</v>
          </cell>
          <cell r="B807" t="str">
            <v xml:space="preserve">CONDUMEX S.A. de C.V. </v>
          </cell>
          <cell r="C807" t="str">
            <v>-</v>
          </cell>
          <cell r="D807" t="str">
            <v>Poniente 140</v>
          </cell>
          <cell r="E807" t="str">
            <v>-</v>
          </cell>
          <cell r="F807">
            <v>720</v>
          </cell>
          <cell r="G807" t="str">
            <v>Industrial Vallejo</v>
          </cell>
          <cell r="H807">
            <v>2300</v>
          </cell>
          <cell r="I807" t="str">
            <v>Azcapotzalco</v>
          </cell>
          <cell r="J807" t="str">
            <v>Distrito Federal</v>
          </cell>
          <cell r="K807" t="str">
            <v>Mexico</v>
          </cell>
        </row>
        <row r="808">
          <cell r="A808">
            <v>810</v>
          </cell>
          <cell r="B808" t="str">
            <v>IACNA DE MEXICO II S DE RL DE CV</v>
          </cell>
          <cell r="D808" t="str">
            <v>Camino a Santa Águeda</v>
          </cell>
          <cell r="F808">
            <v>4</v>
          </cell>
          <cell r="G808" t="str">
            <v>San Miguel Xoxtla</v>
          </cell>
          <cell r="H808">
            <v>72620</v>
          </cell>
          <cell r="I808" t="str">
            <v>San Miguel Xoxtla</v>
          </cell>
          <cell r="J808" t="str">
            <v>Pebla</v>
          </cell>
          <cell r="K808" t="str">
            <v>Mexico</v>
          </cell>
        </row>
        <row r="809">
          <cell r="A809">
            <v>811</v>
          </cell>
          <cell r="B809" t="str">
            <v>Metrologia Integral y Equipos S.A. de C.V.</v>
          </cell>
          <cell r="C809" t="str">
            <v>-</v>
          </cell>
          <cell r="D809" t="str">
            <v xml:space="preserve">Av. Valentin Fuentes </v>
          </cell>
          <cell r="E809" t="str">
            <v>Local 5</v>
          </cell>
          <cell r="F809">
            <v>1193</v>
          </cell>
          <cell r="G809" t="str">
            <v>Las Fuentes</v>
          </cell>
          <cell r="H809">
            <v>32370</v>
          </cell>
          <cell r="I809" t="str">
            <v>Ciudad Juárez</v>
          </cell>
          <cell r="J809" t="str">
            <v>Chihuahua</v>
          </cell>
          <cell r="K809" t="str">
            <v>Mexico</v>
          </cell>
        </row>
        <row r="810">
          <cell r="A810">
            <v>812</v>
          </cell>
          <cell r="B810" t="str">
            <v>Global Composites Manufacturing S.A. de C.V.</v>
          </cell>
          <cell r="C810" t="str">
            <v>-</v>
          </cell>
          <cell r="D810" t="str">
            <v xml:space="preserve">Av. Del Marques </v>
          </cell>
          <cell r="E810">
            <v>5</v>
          </cell>
          <cell r="F810">
            <v>5</v>
          </cell>
          <cell r="G810" t="str">
            <v>Parque Industrial Bernardo Quintana</v>
          </cell>
          <cell r="H810">
            <v>76246</v>
          </cell>
          <cell r="I810" t="str">
            <v>Queretaro</v>
          </cell>
          <cell r="J810" t="str">
            <v>Queretaro</v>
          </cell>
          <cell r="K810" t="str">
            <v>Mexico</v>
          </cell>
        </row>
        <row r="811">
          <cell r="A811">
            <v>813</v>
          </cell>
          <cell r="B811" t="str">
            <v>DANONE DE MEXICO S.A. DE C.V.</v>
          </cell>
          <cell r="C811" t="str">
            <v>-</v>
          </cell>
          <cell r="D811" t="str">
            <v>Av. Irapuato</v>
          </cell>
          <cell r="E811" t="str">
            <v>-</v>
          </cell>
          <cell r="F811">
            <v>2030</v>
          </cell>
          <cell r="G811" t="str">
            <v xml:space="preserve">Ciudad Industrial </v>
          </cell>
          <cell r="H811">
            <v>36541</v>
          </cell>
          <cell r="I811" t="str">
            <v>Irapuato</v>
          </cell>
          <cell r="J811" t="str">
            <v>Guanajuato</v>
          </cell>
          <cell r="K811" t="str">
            <v>Mexico</v>
          </cell>
        </row>
        <row r="812">
          <cell r="A812">
            <v>814</v>
          </cell>
          <cell r="B812" t="str">
            <v>Schneider Electric México</v>
          </cell>
          <cell r="C812" t="str">
            <v>-</v>
          </cell>
          <cell r="D812" t="str">
            <v xml:space="preserve">Via de la Innovacion </v>
          </cell>
          <cell r="E812" t="str">
            <v>-</v>
          </cell>
          <cell r="F812">
            <v>408</v>
          </cell>
          <cell r="G812" t="str">
            <v>Parque de Investigacion e Inovacion Tecnológica (PIIT)</v>
          </cell>
          <cell r="H812">
            <v>66628</v>
          </cell>
          <cell r="I812" t="str">
            <v>Apocada, N.L.</v>
          </cell>
          <cell r="J812" t="str">
            <v>Monterrey</v>
          </cell>
          <cell r="K812" t="str">
            <v>Mexico</v>
          </cell>
        </row>
        <row r="813">
          <cell r="A813">
            <v>815</v>
          </cell>
          <cell r="B813" t="str">
            <v>VC Laminations S.A. de C.V.</v>
          </cell>
          <cell r="C813" t="str">
            <v>-</v>
          </cell>
          <cell r="D813" t="str">
            <v>Oriente 4</v>
          </cell>
          <cell r="E813" t="str">
            <v>-</v>
          </cell>
          <cell r="F813">
            <v>3</v>
          </cell>
          <cell r="G813" t="str">
            <v>Nuevo Parque Industrial</v>
          </cell>
          <cell r="H813">
            <v>76806</v>
          </cell>
          <cell r="I813" t="str">
            <v>San Juan del Río</v>
          </cell>
          <cell r="J813" t="str">
            <v>Queretaro</v>
          </cell>
          <cell r="K813" t="str">
            <v>Mexico</v>
          </cell>
        </row>
        <row r="814">
          <cell r="A814">
            <v>816</v>
          </cell>
          <cell r="B814" t="str">
            <v>NOMVERIFY MÉXICO</v>
          </cell>
          <cell r="C814" t="str">
            <v>-</v>
          </cell>
          <cell r="D814" t="str">
            <v>Anastacio Bustamante</v>
          </cell>
          <cell r="E814" t="str">
            <v>1-A</v>
          </cell>
          <cell r="F814">
            <v>76</v>
          </cell>
          <cell r="G814" t="str">
            <v>Francisco Sarabia</v>
          </cell>
          <cell r="H814" t="str">
            <v>-</v>
          </cell>
          <cell r="I814" t="str">
            <v>Zapopan Jalisco</v>
          </cell>
          <cell r="J814" t="str">
            <v>Guadalara</v>
          </cell>
          <cell r="K814" t="str">
            <v>Mexico</v>
          </cell>
        </row>
        <row r="815">
          <cell r="A815">
            <v>817</v>
          </cell>
          <cell r="B815" t="str">
            <v>IAPMO TESTING AND SERVICES, LLC</v>
          </cell>
          <cell r="C815" t="str">
            <v>-</v>
          </cell>
          <cell r="D815" t="str">
            <v xml:space="preserve">5001 E. PHILADELPHIA ST.   </v>
          </cell>
          <cell r="E815" t="str">
            <v>-</v>
          </cell>
          <cell r="F815" t="str">
            <v>5001 E</v>
          </cell>
          <cell r="G815" t="str">
            <v>OTARIO</v>
          </cell>
          <cell r="H815" t="str">
            <v>-</v>
          </cell>
          <cell r="I815" t="str">
            <v>-</v>
          </cell>
          <cell r="J815" t="str">
            <v>California</v>
          </cell>
          <cell r="K815" t="str">
            <v>USA</v>
          </cell>
        </row>
        <row r="816">
          <cell r="A816">
            <v>818</v>
          </cell>
          <cell r="B816" t="str">
            <v>Ingeniería y Maquinaria de Guadalupe, S.A. de C.V.</v>
          </cell>
          <cell r="C816" t="str">
            <v>-</v>
          </cell>
          <cell r="D816" t="str">
            <v>Carretera 57 km 1050-B</v>
          </cell>
          <cell r="E816" t="str">
            <v>-</v>
          </cell>
          <cell r="F816" t="str">
            <v>-</v>
          </cell>
          <cell r="G816" t="str">
            <v>Centro</v>
          </cell>
          <cell r="H816">
            <v>25870</v>
          </cell>
          <cell r="I816" t="str">
            <v>Coahuila</v>
          </cell>
          <cell r="J816" t="str">
            <v>Coahuila</v>
          </cell>
          <cell r="K816" t="str">
            <v>Mexico</v>
          </cell>
        </row>
        <row r="817">
          <cell r="A817">
            <v>819</v>
          </cell>
          <cell r="B817" t="str">
            <v>Carvel Print Serigraph</v>
          </cell>
          <cell r="C817" t="str">
            <v>-</v>
          </cell>
          <cell r="D817" t="str">
            <v>Calle 2</v>
          </cell>
          <cell r="E817" t="str">
            <v>-</v>
          </cell>
          <cell r="F817">
            <v>117</v>
          </cell>
          <cell r="G817" t="str">
            <v>Fraccionamiento Industrial Jurica</v>
          </cell>
          <cell r="H817" t="str">
            <v>-</v>
          </cell>
          <cell r="I817" t="str">
            <v>Queretaro</v>
          </cell>
          <cell r="J817" t="str">
            <v>Queretaro</v>
          </cell>
          <cell r="K817" t="str">
            <v>Mexico</v>
          </cell>
        </row>
        <row r="818">
          <cell r="A818">
            <v>820</v>
          </cell>
          <cell r="B818" t="str">
            <v>Escobedo Servicios Especializados</v>
          </cell>
          <cell r="C818" t="str">
            <v>-</v>
          </cell>
          <cell r="D818" t="str">
            <v xml:space="preserve">Av. Nezahualcoyotl </v>
          </cell>
          <cell r="E818" t="str">
            <v>-</v>
          </cell>
          <cell r="F818">
            <v>7</v>
          </cell>
          <cell r="G818" t="str">
            <v>Cumbres de Conin</v>
          </cell>
          <cell r="H818">
            <v>76240</v>
          </cell>
          <cell r="I818" t="str">
            <v>El Marques</v>
          </cell>
          <cell r="J818" t="str">
            <v>Queretaro</v>
          </cell>
          <cell r="K818" t="str">
            <v>Mexico</v>
          </cell>
        </row>
        <row r="819">
          <cell r="A819">
            <v>821</v>
          </cell>
          <cell r="B819" t="str">
            <v>JB Tecnics México, S.A. de C.V.</v>
          </cell>
          <cell r="C819" t="str">
            <v>-</v>
          </cell>
          <cell r="D819" t="str">
            <v>Circuito del Marqués Sur Km 195.5</v>
          </cell>
          <cell r="E819" t="str">
            <v>-</v>
          </cell>
          <cell r="F819">
            <v>47</v>
          </cell>
          <cell r="G819" t="str">
            <v>-</v>
          </cell>
          <cell r="H819">
            <v>76246</v>
          </cell>
          <cell r="I819" t="str">
            <v>El Marqués</v>
          </cell>
          <cell r="J819" t="str">
            <v>Queretaro</v>
          </cell>
          <cell r="K819" t="str">
            <v>Mexico</v>
          </cell>
        </row>
        <row r="820">
          <cell r="A820">
            <v>822</v>
          </cell>
          <cell r="B820" t="str">
            <v>KIEKERT DE MÉXICO S.A. DE C.V.</v>
          </cell>
          <cell r="C820" t="str">
            <v>-</v>
          </cell>
          <cell r="D820" t="str">
            <v>Autopista Puebla-Orizaba km 14.5</v>
          </cell>
          <cell r="E820" t="str">
            <v>-</v>
          </cell>
          <cell r="F820" t="str">
            <v>-</v>
          </cell>
          <cell r="G820" t="str">
            <v>Parque Industrial Chachapa</v>
          </cell>
          <cell r="H820" t="str">
            <v>-</v>
          </cell>
          <cell r="I820" t="str">
            <v>Chachapa</v>
          </cell>
          <cell r="J820" t="str">
            <v>Puebla</v>
          </cell>
          <cell r="K820" t="str">
            <v>Mexico</v>
          </cell>
          <cell r="L820" t="str">
            <v>223-9585</v>
          </cell>
        </row>
        <row r="821">
          <cell r="A821">
            <v>823</v>
          </cell>
          <cell r="B821" t="str">
            <v>Cooper Crouse-Himds, S de R.L. de C.V.</v>
          </cell>
          <cell r="C821" t="str">
            <v>-</v>
          </cell>
          <cell r="D821" t="str">
            <v xml:space="preserve">Javier Rojo Gómez </v>
          </cell>
          <cell r="E821" t="str">
            <v>-</v>
          </cell>
          <cell r="F821">
            <v>1170</v>
          </cell>
          <cell r="G821" t="str">
            <v>Guadalupe del Moral</v>
          </cell>
          <cell r="H821">
            <v>9300</v>
          </cell>
          <cell r="I821" t="str">
            <v>Iztapalapa</v>
          </cell>
          <cell r="J821" t="str">
            <v>Distrito Federal</v>
          </cell>
          <cell r="K821" t="str">
            <v>Mexico</v>
          </cell>
        </row>
        <row r="822">
          <cell r="A822">
            <v>824</v>
          </cell>
          <cell r="B822" t="str">
            <v>NEO EMPAQUES INTERNATIONAL S.A. DE C.V.</v>
          </cell>
          <cell r="C822" t="str">
            <v>-</v>
          </cell>
          <cell r="D822" t="str">
            <v xml:space="preserve">Libramiento Sur  </v>
          </cell>
          <cell r="E822" t="str">
            <v>-</v>
          </cell>
          <cell r="F822">
            <v>3600</v>
          </cell>
          <cell r="G822" t="str">
            <v>Fraccionamiento Xangari</v>
          </cell>
          <cell r="H822">
            <v>58089</v>
          </cell>
          <cell r="I822" t="str">
            <v>Michoacan</v>
          </cell>
          <cell r="J822" t="str">
            <v>Morelia</v>
          </cell>
          <cell r="K822" t="str">
            <v>Mexico</v>
          </cell>
        </row>
        <row r="823">
          <cell r="A823">
            <v>825</v>
          </cell>
          <cell r="B823" t="str">
            <v>Fumaq, S.A. de C.V.</v>
          </cell>
          <cell r="C823" t="str">
            <v>-</v>
          </cell>
          <cell r="D823" t="str">
            <v>Carretera San Antonio - Calichar  km 1.8</v>
          </cell>
          <cell r="E823" t="str">
            <v>-</v>
          </cell>
          <cell r="F823">
            <v>76180</v>
          </cell>
          <cell r="G823" t="str">
            <v>Fraccionamiento Fuentes de Balvanera</v>
          </cell>
          <cell r="H823">
            <v>76180</v>
          </cell>
          <cell r="I823" t="str">
            <v>Apaseo el Alto</v>
          </cell>
          <cell r="J823" t="str">
            <v>Guanajuato</v>
          </cell>
          <cell r="K823" t="str">
            <v>Mexico</v>
          </cell>
        </row>
        <row r="824">
          <cell r="A824">
            <v>826</v>
          </cell>
          <cell r="B824" t="str">
            <v>MATERIAL Y EQUIPO ELECTRICO DE QUERETARO, S.A. DE C.V.</v>
          </cell>
          <cell r="C824" t="str">
            <v>-</v>
          </cell>
          <cell r="D824" t="str">
            <v>Avenida del Marques</v>
          </cell>
          <cell r="E824" t="str">
            <v>-</v>
          </cell>
          <cell r="F824">
            <v>16</v>
          </cell>
          <cell r="G824" t="str">
            <v>El Marques</v>
          </cell>
          <cell r="H824">
            <v>76246</v>
          </cell>
          <cell r="I824" t="str">
            <v>El Marques</v>
          </cell>
          <cell r="J824" t="str">
            <v>Queretaro</v>
          </cell>
          <cell r="K824" t="str">
            <v>Mexico</v>
          </cell>
        </row>
        <row r="825">
          <cell r="A825">
            <v>827</v>
          </cell>
          <cell r="B825" t="str">
            <v>EPGC S. De R.L. de C.V.</v>
          </cell>
          <cell r="C825" t="str">
            <v>-</v>
          </cell>
          <cell r="D825" t="str">
            <v xml:space="preserve">Calle Río Nilo </v>
          </cell>
          <cell r="E825" t="str">
            <v>-</v>
          </cell>
          <cell r="F825">
            <v>310</v>
          </cell>
          <cell r="G825" t="str">
            <v>Granja los Virreyes</v>
          </cell>
          <cell r="H825">
            <v>21190</v>
          </cell>
          <cell r="I825" t="str">
            <v>Mexical</v>
          </cell>
          <cell r="J825" t="str">
            <v>Baja California</v>
          </cell>
          <cell r="K825" t="str">
            <v>Mexico</v>
          </cell>
        </row>
        <row r="826">
          <cell r="A826">
            <v>828</v>
          </cell>
          <cell r="B826" t="str">
            <v>3M Purification S de RL de CV</v>
          </cell>
          <cell r="C826" t="str">
            <v>-</v>
          </cell>
          <cell r="D826" t="str">
            <v>Av. CFE</v>
          </cell>
          <cell r="E826" t="str">
            <v>-</v>
          </cell>
          <cell r="F826">
            <v>520</v>
          </cell>
          <cell r="G826" t="str">
            <v>Zona Industrial</v>
          </cell>
          <cell r="H826">
            <v>78395</v>
          </cell>
          <cell r="I826" t="str">
            <v>Zona Industrial del Potosí</v>
          </cell>
          <cell r="J826" t="str">
            <v>San Luis Potosi</v>
          </cell>
          <cell r="K826" t="str">
            <v>Mexico</v>
          </cell>
        </row>
        <row r="827">
          <cell r="A827">
            <v>829</v>
          </cell>
          <cell r="B827" t="str">
            <v>Centro de Investigacion y Asistencia en Tecnologia y Diseño del Estado de Jalisco, A.C.</v>
          </cell>
          <cell r="C827" t="str">
            <v>-</v>
          </cell>
          <cell r="D827" t="str">
            <v>Avenida Normalistas</v>
          </cell>
          <cell r="E827" t="str">
            <v>-</v>
          </cell>
          <cell r="F827">
            <v>800</v>
          </cell>
          <cell r="G827" t="str">
            <v>Colinas de la Normal</v>
          </cell>
          <cell r="H827">
            <v>44270</v>
          </cell>
          <cell r="I827" t="str">
            <v>Jalisco</v>
          </cell>
          <cell r="J827" t="str">
            <v>Guadalajara</v>
          </cell>
          <cell r="K827" t="str">
            <v>Mexico</v>
          </cell>
        </row>
        <row r="828">
          <cell r="A828">
            <v>830</v>
          </cell>
          <cell r="B828" t="str">
            <v>Cementos Fortaleza S.A. de C.V.</v>
          </cell>
          <cell r="C828" t="str">
            <v>-</v>
          </cell>
          <cell r="D828" t="str">
            <v>Casco del Rancho Bateje 2 Km al Este del Km 5 de la carretera Atitalaquia Apaxco</v>
          </cell>
          <cell r="E828" t="str">
            <v>-</v>
          </cell>
          <cell r="F828" t="str">
            <v>-</v>
          </cell>
          <cell r="G828" t="str">
            <v>Poblado del Refugio</v>
          </cell>
          <cell r="H828">
            <v>42980</v>
          </cell>
          <cell r="I828" t="str">
            <v>Atotonilco de Tula</v>
          </cell>
          <cell r="J828" t="str">
            <v>Hidalgo</v>
          </cell>
          <cell r="K828" t="str">
            <v>Mexico</v>
          </cell>
        </row>
        <row r="829">
          <cell r="A829">
            <v>831</v>
          </cell>
          <cell r="B829" t="str">
            <v>Coimsur S.A. de C.V.</v>
          </cell>
          <cell r="C829" t="str">
            <v>-</v>
          </cell>
          <cell r="D829" t="str">
            <v xml:space="preserve">Carretera Coatza-Mina Km 9.5 </v>
          </cell>
          <cell r="E829" t="str">
            <v>-</v>
          </cell>
          <cell r="F829" t="str">
            <v>-</v>
          </cell>
          <cell r="G829" t="str">
            <v>Estero del Pantano</v>
          </cell>
          <cell r="H829">
            <v>96343</v>
          </cell>
          <cell r="I829" t="str">
            <v>Cosoleacaque</v>
          </cell>
          <cell r="J829" t="str">
            <v>Veracruz</v>
          </cell>
          <cell r="K829" t="str">
            <v>Mexico</v>
          </cell>
        </row>
        <row r="830">
          <cell r="A830">
            <v>832</v>
          </cell>
          <cell r="B830" t="str">
            <v>Asesoria en Diseño, Instalacion, Mantenimiento y Planeacion Avanzada, S.A.</v>
          </cell>
          <cell r="C830" t="str">
            <v>-</v>
          </cell>
          <cell r="D830" t="str">
            <v>Huemac</v>
          </cell>
          <cell r="E830" t="str">
            <v>-</v>
          </cell>
          <cell r="F830">
            <v>1414</v>
          </cell>
          <cell r="G830" t="str">
            <v>Anahuac</v>
          </cell>
          <cell r="H830">
            <v>25750</v>
          </cell>
          <cell r="I830" t="str">
            <v>Monclova</v>
          </cell>
          <cell r="J830" t="str">
            <v>Coahuila</v>
          </cell>
          <cell r="K830" t="str">
            <v>Mexico</v>
          </cell>
        </row>
        <row r="831">
          <cell r="A831">
            <v>833</v>
          </cell>
          <cell r="B831" t="str">
            <v>CIPSA INDUSTRIAS, S.A. de C.V.</v>
          </cell>
          <cell r="C831" t="str">
            <v>-</v>
          </cell>
          <cell r="D831" t="str">
            <v>Carretera Federal México-Puebla Km 126.5</v>
          </cell>
          <cell r="E831" t="str">
            <v>-</v>
          </cell>
          <cell r="F831" t="str">
            <v>S/N</v>
          </cell>
          <cell r="G831" t="str">
            <v>Momoxpan</v>
          </cell>
          <cell r="H831">
            <v>72760</v>
          </cell>
          <cell r="I831" t="str">
            <v>Cholula</v>
          </cell>
          <cell r="J831" t="str">
            <v>Puebla</v>
          </cell>
          <cell r="K831" t="str">
            <v>Mexico</v>
          </cell>
        </row>
        <row r="832">
          <cell r="A832">
            <v>834</v>
          </cell>
          <cell r="B832" t="str">
            <v>Mecanomatic Gto. S.A. de C.V.</v>
          </cell>
          <cell r="C832" t="str">
            <v>-</v>
          </cell>
          <cell r="D832" t="str">
            <v>Av. Ingenieros</v>
          </cell>
          <cell r="E832" t="str">
            <v>-</v>
          </cell>
          <cell r="F832">
            <v>106</v>
          </cell>
          <cell r="G832" t="str">
            <v>Distrito Industrial Oriente</v>
          </cell>
          <cell r="H832">
            <v>38160</v>
          </cell>
          <cell r="I832" t="str">
            <v>Apaseo el Grande</v>
          </cell>
          <cell r="J832" t="str">
            <v>Guanajuato</v>
          </cell>
          <cell r="K832" t="str">
            <v>Mexico</v>
          </cell>
        </row>
        <row r="833">
          <cell r="A833">
            <v>835</v>
          </cell>
          <cell r="B833" t="str">
            <v>Koblenz Electrica S.A. de C.V.</v>
          </cell>
          <cell r="C833" t="str">
            <v>-</v>
          </cell>
          <cell r="D833" t="str">
            <v>Avenida Ciencia</v>
          </cell>
          <cell r="E833" t="str">
            <v>-</v>
          </cell>
          <cell r="F833">
            <v>28</v>
          </cell>
          <cell r="G833" t="str">
            <v>Parque Industrial</v>
          </cell>
          <cell r="H833">
            <v>54730</v>
          </cell>
          <cell r="I833" t="str">
            <v>Cuamatla</v>
          </cell>
          <cell r="J833" t="str">
            <v>Cuautitlan Izcalli</v>
          </cell>
          <cell r="K833" t="str">
            <v>Mexico</v>
          </cell>
        </row>
        <row r="834">
          <cell r="A834">
            <v>836</v>
          </cell>
          <cell r="B834" t="str">
            <v>Voltran S.A. de C.V.</v>
          </cell>
          <cell r="C834" t="str">
            <v>-</v>
          </cell>
          <cell r="D834" t="str">
            <v>Sur 2</v>
          </cell>
          <cell r="E834" t="str">
            <v>-</v>
          </cell>
          <cell r="F834">
            <v>11</v>
          </cell>
          <cell r="G834" t="str">
            <v>Zona Industrial Tizayuca</v>
          </cell>
          <cell r="H834">
            <v>43805</v>
          </cell>
          <cell r="I834" t="str">
            <v>Tizayuca</v>
          </cell>
          <cell r="J834" t="str">
            <v>Hidalgo</v>
          </cell>
          <cell r="K834" t="str">
            <v>Mexico</v>
          </cell>
        </row>
        <row r="835">
          <cell r="A835">
            <v>837</v>
          </cell>
          <cell r="B835" t="str">
            <v>Centro de Normalizacion y Certificacion de Productos AC</v>
          </cell>
          <cell r="C835" t="str">
            <v>-</v>
          </cell>
          <cell r="D835" t="str">
            <v>Blvd Toluca 40-A</v>
          </cell>
          <cell r="E835" t="str">
            <v>-</v>
          </cell>
          <cell r="F835" t="str">
            <v>-</v>
          </cell>
          <cell r="G835" t="str">
            <v>San Andres Atoto</v>
          </cell>
          <cell r="H835">
            <v>53500</v>
          </cell>
          <cell r="I835" t="str">
            <v>Naucalpan</v>
          </cell>
          <cell r="J835" t="str">
            <v>Estado de México</v>
          </cell>
          <cell r="K835" t="str">
            <v>Mexico</v>
          </cell>
        </row>
        <row r="836">
          <cell r="A836">
            <v>838</v>
          </cell>
          <cell r="B836" t="str">
            <v>WALORMEX S. de R.L. de C.V.</v>
          </cell>
          <cell r="C836" t="str">
            <v>-</v>
          </cell>
          <cell r="D836" t="str">
            <v>Kioto</v>
          </cell>
          <cell r="E836" t="str">
            <v>-</v>
          </cell>
          <cell r="F836">
            <v>645</v>
          </cell>
          <cell r="G836" t="str">
            <v>Centro Industrial de Guanajuato</v>
          </cell>
          <cell r="H836">
            <v>36835</v>
          </cell>
          <cell r="I836" t="str">
            <v>Irapuato</v>
          </cell>
          <cell r="J836" t="str">
            <v>Guanajuato</v>
          </cell>
          <cell r="K836" t="str">
            <v>Mexico</v>
          </cell>
        </row>
        <row r="837">
          <cell r="A837">
            <v>839</v>
          </cell>
          <cell r="B837" t="str">
            <v>IMASEN MEXICO TECHNOLOGY S.A. DE C.V.</v>
          </cell>
          <cell r="C837" t="str">
            <v>-</v>
          </cell>
          <cell r="D837" t="str">
            <v>Carretera Federal 90 Irapuato-Abasolo</v>
          </cell>
          <cell r="E837" t="str">
            <v>-</v>
          </cell>
          <cell r="F837" t="str">
            <v>Km 15+500</v>
          </cell>
          <cell r="G837" t="str">
            <v>Entronque Carretera Federal 41 Irapuato-Cueramaro</v>
          </cell>
          <cell r="H837">
            <v>36835</v>
          </cell>
          <cell r="I837" t="str">
            <v>Irapuato</v>
          </cell>
          <cell r="J837" t="str">
            <v>Guanajuato</v>
          </cell>
          <cell r="K837" t="str">
            <v>Mexico</v>
          </cell>
        </row>
        <row r="838">
          <cell r="A838">
            <v>840</v>
          </cell>
          <cell r="B838" t="str">
            <v>Válvulas Worcester de México, S.A. de C.V.</v>
          </cell>
          <cell r="C838" t="str">
            <v>-</v>
          </cell>
          <cell r="D838" t="str">
            <v>Maíz</v>
          </cell>
          <cell r="E838" t="str">
            <v>-</v>
          </cell>
          <cell r="F838">
            <v>263</v>
          </cell>
          <cell r="G838" t="str">
            <v>Valle del Sur</v>
          </cell>
          <cell r="H838">
            <v>9819</v>
          </cell>
          <cell r="I838" t="str">
            <v>Iztapalapa</v>
          </cell>
          <cell r="J838" t="str">
            <v>Distrito Federal</v>
          </cell>
          <cell r="K838" t="str">
            <v>Mexico</v>
          </cell>
        </row>
        <row r="839">
          <cell r="A839">
            <v>841</v>
          </cell>
          <cell r="B839" t="str">
            <v>Beneficadora de Alambres y Metales S.A. de C.V.</v>
          </cell>
          <cell r="C839" t="str">
            <v>-</v>
          </cell>
          <cell r="D839" t="str">
            <v>Salamanca</v>
          </cell>
          <cell r="E839" t="str">
            <v>-</v>
          </cell>
          <cell r="F839">
            <v>1126</v>
          </cell>
          <cell r="G839" t="str">
            <v>Ciudad Industrial</v>
          </cell>
          <cell r="H839">
            <v>36541</v>
          </cell>
          <cell r="I839" t="str">
            <v>Irapuato</v>
          </cell>
          <cell r="J839" t="str">
            <v>Guanajuato</v>
          </cell>
          <cell r="K839" t="str">
            <v>Mexico</v>
          </cell>
          <cell r="O839" t="str">
            <v>revelazquez@tornillo.com.mx</v>
          </cell>
        </row>
        <row r="840">
          <cell r="A840">
            <v>842</v>
          </cell>
          <cell r="B840" t="str">
            <v>FORSCHNER MEXICO S. de R.L. de C.V.</v>
          </cell>
          <cell r="C840" t="str">
            <v>-</v>
          </cell>
          <cell r="D840" t="str">
            <v>Lateral de la Carretera Estatal No. 431 Km 2+200</v>
          </cell>
          <cell r="E840" t="str">
            <v>-</v>
          </cell>
          <cell r="F840">
            <v>61</v>
          </cell>
          <cell r="G840" t="str">
            <v>Parque Tecnologico Innovacion Queretaro</v>
          </cell>
          <cell r="H840">
            <v>76190</v>
          </cell>
          <cell r="I840" t="str">
            <v>El Marques</v>
          </cell>
          <cell r="J840" t="str">
            <v>Queretaro</v>
          </cell>
          <cell r="K840" t="str">
            <v>Mexico</v>
          </cell>
        </row>
        <row r="841">
          <cell r="A841">
            <v>843</v>
          </cell>
          <cell r="B841" t="str">
            <v>Dana de México S. de R.L. de C.V.</v>
          </cell>
          <cell r="C841" t="str">
            <v>-</v>
          </cell>
          <cell r="D841" t="str">
            <v>Industria automotriz No. 128</v>
          </cell>
          <cell r="E841">
            <v>520</v>
          </cell>
          <cell r="F841">
            <v>5</v>
          </cell>
          <cell r="G841" t="str">
            <v>Parque Industrial El Coecillo</v>
          </cell>
          <cell r="H841">
            <v>50200</v>
          </cell>
          <cell r="I841" t="str">
            <v>Santa María Totoltepec</v>
          </cell>
          <cell r="J841" t="str">
            <v>Toluca</v>
          </cell>
          <cell r="K841" t="str">
            <v>Mexico</v>
          </cell>
        </row>
        <row r="842">
          <cell r="A842">
            <v>844</v>
          </cell>
          <cell r="B842" t="str">
            <v>BAUD Industries Queretaro S.A. de C.V.</v>
          </cell>
          <cell r="C842" t="str">
            <v>-</v>
          </cell>
          <cell r="D842" t="str">
            <v xml:space="preserve">Carretera libre a Celaya Km 8.4 </v>
          </cell>
          <cell r="E842">
            <v>1</v>
          </cell>
          <cell r="F842">
            <v>4</v>
          </cell>
          <cell r="G842" t="str">
            <v xml:space="preserve">Parque Industrial Balvanera </v>
          </cell>
          <cell r="H842">
            <v>76908</v>
          </cell>
          <cell r="I842" t="str">
            <v>Corregidora</v>
          </cell>
          <cell r="J842" t="str">
            <v>Queretaro</v>
          </cell>
          <cell r="K842" t="str">
            <v>Mexico</v>
          </cell>
          <cell r="O842" t="str">
            <v>mcampos.alejandro14@gmail.com</v>
          </cell>
        </row>
        <row r="843">
          <cell r="A843">
            <v>845</v>
          </cell>
          <cell r="B843" t="str">
            <v>WARREN México</v>
          </cell>
          <cell r="C843" t="str">
            <v>-</v>
          </cell>
          <cell r="D843" t="str">
            <v>Carretera Estatal No. 100 Km 2+565</v>
          </cell>
          <cell r="E843" t="str">
            <v>-</v>
          </cell>
          <cell r="F843" t="str">
            <v>-</v>
          </cell>
          <cell r="G843" t="str">
            <v>El Colorado-Giguerillas</v>
          </cell>
          <cell r="H843">
            <v>76246</v>
          </cell>
          <cell r="I843" t="str">
            <v>El Marques</v>
          </cell>
          <cell r="J843" t="str">
            <v>Queretaro</v>
          </cell>
          <cell r="K843" t="str">
            <v>Mexico</v>
          </cell>
          <cell r="O843" t="str">
            <v>amedina@warren.com.mx</v>
          </cell>
        </row>
        <row r="844">
          <cell r="A844">
            <v>846</v>
          </cell>
          <cell r="B844" t="str">
            <v>JAZA INGENIERIA S.A. DE C.V.</v>
          </cell>
          <cell r="C844" t="str">
            <v>-</v>
          </cell>
          <cell r="D844" t="str">
            <v>Rufino Tamayo</v>
          </cell>
          <cell r="E844" t="str">
            <v>-</v>
          </cell>
          <cell r="F844">
            <v>27</v>
          </cell>
          <cell r="G844" t="str">
            <v>Pueblo Nuevo</v>
          </cell>
          <cell r="H844">
            <v>76900</v>
          </cell>
          <cell r="I844" t="str">
            <v>Corregidora</v>
          </cell>
          <cell r="J844" t="str">
            <v>Queretaro</v>
          </cell>
          <cell r="K844" t="str">
            <v>Mexico</v>
          </cell>
        </row>
        <row r="845">
          <cell r="A845">
            <v>847</v>
          </cell>
          <cell r="B845" t="str">
            <v>FISHER TUBTECH S.A.de C.V.</v>
          </cell>
          <cell r="C845" t="str">
            <v>-</v>
          </cell>
          <cell r="D845" t="str">
            <v>Antiguo Carril s/n. Cristobal Km 14.5 Autopista Puebla-Orizaba</v>
          </cell>
          <cell r="E845" t="str">
            <v>-</v>
          </cell>
          <cell r="F845" t="str">
            <v>-</v>
          </cell>
          <cell r="G845" t="str">
            <v>Paruq Industrial Chachapa</v>
          </cell>
          <cell r="H845">
            <v>72990</v>
          </cell>
          <cell r="I845" t="str">
            <v>Azomoc</v>
          </cell>
          <cell r="J845" t="str">
            <v>Puebla</v>
          </cell>
          <cell r="K845" t="str">
            <v>Mexico</v>
          </cell>
        </row>
        <row r="846">
          <cell r="A846">
            <v>848</v>
          </cell>
          <cell r="B846" t="str">
            <v>Formación y Manufacturas Internacionales, S.A. de C.V.</v>
          </cell>
          <cell r="C846" t="str">
            <v>-</v>
          </cell>
          <cell r="D846" t="str">
            <v>Circuito Balvanera</v>
          </cell>
          <cell r="E846" t="str">
            <v>-</v>
          </cell>
          <cell r="F846">
            <v>5</v>
          </cell>
          <cell r="G846" t="str">
            <v>Fraccionamiento Industrial Balvanera</v>
          </cell>
          <cell r="H846">
            <v>36908</v>
          </cell>
          <cell r="I846" t="str">
            <v>Corregidora</v>
          </cell>
          <cell r="J846" t="str">
            <v>Queretaro</v>
          </cell>
          <cell r="K846" t="str">
            <v>Mexico</v>
          </cell>
          <cell r="O846" t="str">
            <v>FOMAI</v>
          </cell>
        </row>
        <row r="847">
          <cell r="A847">
            <v>849</v>
          </cell>
          <cell r="B847" t="str">
            <v>Alcoa Fastening Systems, (Mexico I) S. de R. L. de C.V. (Acuña)</v>
          </cell>
          <cell r="C847" t="str">
            <v>-</v>
          </cell>
          <cell r="D847" t="str">
            <v>Hidalgo</v>
          </cell>
          <cell r="E847" t="str">
            <v>-</v>
          </cell>
          <cell r="F847">
            <v>120</v>
          </cell>
          <cell r="G847" t="str">
            <v xml:space="preserve">Parque Industrial Amistad  </v>
          </cell>
          <cell r="H847">
            <v>26220</v>
          </cell>
          <cell r="I847" t="str">
            <v>Acuña</v>
          </cell>
          <cell r="J847" t="str">
            <v>Coahuila</v>
          </cell>
          <cell r="K847" t="str">
            <v>Mexico</v>
          </cell>
        </row>
        <row r="848">
          <cell r="A848">
            <v>850</v>
          </cell>
          <cell r="B848" t="str">
            <v>COLOSSAL CEMENT MIXER DE MEXICO, S.C.</v>
          </cell>
          <cell r="C848" t="str">
            <v>-</v>
          </cell>
          <cell r="D848" t="str">
            <v>Libramiento a Celaya - San Luis Potosi Km 1.5</v>
          </cell>
          <cell r="E848" t="str">
            <v>-</v>
          </cell>
          <cell r="F848" t="str">
            <v>-</v>
          </cell>
          <cell r="G848" t="str">
            <v>Fraccionamiento P23 Pradera de los Angeles</v>
          </cell>
          <cell r="H848">
            <v>76900</v>
          </cell>
          <cell r="I848" t="str">
            <v>Villa Corregidora</v>
          </cell>
          <cell r="J848" t="str">
            <v>Queretaro</v>
          </cell>
          <cell r="K848" t="str">
            <v>Mexico</v>
          </cell>
        </row>
        <row r="849">
          <cell r="A849">
            <v>851</v>
          </cell>
          <cell r="B849" t="str">
            <v>Chemetall Mexicana, S.A. de C.V.</v>
          </cell>
          <cell r="C849" t="str">
            <v>-</v>
          </cell>
          <cell r="D849" t="str">
            <v xml:space="preserve">Av. El Tepeyac </v>
          </cell>
          <cell r="E849" t="str">
            <v>-</v>
          </cell>
          <cell r="F849" t="str">
            <v>1420-B</v>
          </cell>
          <cell r="G849" t="str">
            <v>Parque Industrial O´Donnell- Aeropuerto</v>
          </cell>
          <cell r="H849">
            <v>76250</v>
          </cell>
          <cell r="I849" t="str">
            <v>El Marques</v>
          </cell>
          <cell r="J849" t="str">
            <v>Queretaro</v>
          </cell>
          <cell r="K849" t="str">
            <v>Mexico</v>
          </cell>
        </row>
        <row r="850">
          <cell r="A850">
            <v>852</v>
          </cell>
          <cell r="B850" t="str">
            <v>PMX Transformación Industrial Ductos Guadalajara</v>
          </cell>
          <cell r="C850" t="str">
            <v>-</v>
          </cell>
          <cell r="D850" t="str">
            <v xml:space="preserve">Av. 18 d Marzo </v>
          </cell>
          <cell r="E850" t="str">
            <v>-</v>
          </cell>
          <cell r="F850">
            <v>208</v>
          </cell>
          <cell r="G850" t="str">
            <v>La Nogalera</v>
          </cell>
          <cell r="H850">
            <v>44470</v>
          </cell>
          <cell r="I850" t="str">
            <v>Guadalajara</v>
          </cell>
          <cell r="J850" t="str">
            <v>Jalisco</v>
          </cell>
          <cell r="K850" t="str">
            <v>Mexico</v>
          </cell>
        </row>
        <row r="851">
          <cell r="A851">
            <v>853</v>
          </cell>
          <cell r="B851" t="str">
            <v>Humbrall S.A. de C.V.</v>
          </cell>
          <cell r="C851" t="str">
            <v>-</v>
          </cell>
          <cell r="D851" t="str">
            <v>Cuchilla</v>
          </cell>
          <cell r="E851" t="str">
            <v>-</v>
          </cell>
          <cell r="F851">
            <v>23</v>
          </cell>
          <cell r="G851" t="str">
            <v>San Miguel Xochimanga</v>
          </cell>
          <cell r="H851" t="str">
            <v>-</v>
          </cell>
          <cell r="I851" t="str">
            <v>Atizapán</v>
          </cell>
          <cell r="J851" t="str">
            <v>Estado de México</v>
          </cell>
          <cell r="K851" t="str">
            <v>Mexico</v>
          </cell>
        </row>
        <row r="852">
          <cell r="A852">
            <v>854</v>
          </cell>
          <cell r="B852" t="str">
            <v>SHOWA Autoparts México S.A. de C.V.</v>
          </cell>
          <cell r="C852" t="str">
            <v>-</v>
          </cell>
          <cell r="D852" t="str">
            <v>Av. Mineral de Peñafiel</v>
          </cell>
          <cell r="E852" t="str">
            <v>-</v>
          </cell>
          <cell r="F852">
            <v>77</v>
          </cell>
          <cell r="G852" t="str">
            <v xml:space="preserve">Parque Industrial Santa Fe IV Puerto Interior </v>
          </cell>
          <cell r="H852">
            <v>36275</v>
          </cell>
          <cell r="I852" t="str">
            <v>Silao</v>
          </cell>
          <cell r="J852" t="str">
            <v>Guanajuato</v>
          </cell>
          <cell r="K852" t="str">
            <v>Mexico</v>
          </cell>
          <cell r="O852" t="str">
            <v>CLopez@showa.com.mx</v>
          </cell>
        </row>
        <row r="853">
          <cell r="A853">
            <v>855</v>
          </cell>
          <cell r="B853" t="str">
            <v>UNION DE RESORTES S.A.</v>
          </cell>
          <cell r="C853" t="str">
            <v>-</v>
          </cell>
          <cell r="D853" t="str">
            <v>Av. De las Fuentes, Esquina Acueducto</v>
          </cell>
          <cell r="E853" t="str">
            <v>-</v>
          </cell>
          <cell r="F853">
            <v>4</v>
          </cell>
          <cell r="G853" t="str">
            <v>Parque Industrial Bernardo Quintana</v>
          </cell>
          <cell r="H853" t="str">
            <v>-</v>
          </cell>
          <cell r="I853" t="str">
            <v>El Marques</v>
          </cell>
          <cell r="J853" t="str">
            <v>Queretaro</v>
          </cell>
          <cell r="K853" t="str">
            <v>Mexico</v>
          </cell>
        </row>
        <row r="854">
          <cell r="A854">
            <v>856</v>
          </cell>
          <cell r="B854" t="str">
            <v>Hella Automotive México, S.A de C.V.</v>
          </cell>
          <cell r="C854" t="str">
            <v>-</v>
          </cell>
          <cell r="D854" t="str">
            <v xml:space="preserve">Av Ingeniero Antonio Gutierrez </v>
          </cell>
          <cell r="E854" t="str">
            <v>-</v>
          </cell>
          <cell r="F854">
            <v>16</v>
          </cell>
          <cell r="G854" t="str">
            <v>Parque Opción</v>
          </cell>
          <cell r="H854">
            <v>37980</v>
          </cell>
          <cell r="I854" t="str">
            <v>San José Iturbide</v>
          </cell>
          <cell r="J854" t="str">
            <v>Guanajuato</v>
          </cell>
          <cell r="K854" t="str">
            <v>Mexico</v>
          </cell>
        </row>
        <row r="855">
          <cell r="A855">
            <v>857</v>
          </cell>
          <cell r="B855" t="str">
            <v>Lamaco, Control y Calidad S.C.</v>
          </cell>
          <cell r="C855" t="str">
            <v>-</v>
          </cell>
          <cell r="D855" t="str">
            <v>Articulo 27</v>
          </cell>
          <cell r="E855" t="str">
            <v>-</v>
          </cell>
          <cell r="F855">
            <v>6</v>
          </cell>
          <cell r="G855" t="str">
            <v>La Loma</v>
          </cell>
          <cell r="H855">
            <v>52360</v>
          </cell>
          <cell r="I855" t="str">
            <v>Santa María Totoltepec</v>
          </cell>
          <cell r="J855" t="str">
            <v>Toluca</v>
          </cell>
          <cell r="K855" t="str">
            <v>Mexico</v>
          </cell>
        </row>
        <row r="856">
          <cell r="A856">
            <v>858</v>
          </cell>
          <cell r="B856" t="str">
            <v>ZEECO-THERME S.A. P.I DE C.V.</v>
          </cell>
          <cell r="C856" t="str">
            <v>-</v>
          </cell>
          <cell r="D856" t="str">
            <v xml:space="preserve">Av. De las Fuentes </v>
          </cell>
          <cell r="E856" t="str">
            <v>B-9 Y 10</v>
          </cell>
          <cell r="F856">
            <v>82</v>
          </cell>
          <cell r="G856" t="str">
            <v>Parque Finsa</v>
          </cell>
          <cell r="H856">
            <v>76246</v>
          </cell>
          <cell r="I856" t="str">
            <v xml:space="preserve">El Marques </v>
          </cell>
          <cell r="J856" t="str">
            <v>Queretaro</v>
          </cell>
          <cell r="K856" t="str">
            <v>Mexico</v>
          </cell>
        </row>
        <row r="857">
          <cell r="A857">
            <v>859</v>
          </cell>
          <cell r="B857" t="str">
            <v>SYPRIS TECHNOLOGIES MEXICO, S DE RL DE CV</v>
          </cell>
          <cell r="D857" t="str">
            <v>Industrias Químicas</v>
          </cell>
          <cell r="E857" t="str">
            <v>-</v>
          </cell>
          <cell r="F857">
            <v>200</v>
          </cell>
          <cell r="G857" t="str">
            <v>Zona Industrial Toluca</v>
          </cell>
          <cell r="H857">
            <v>50071</v>
          </cell>
          <cell r="I857" t="str">
            <v>Toluca</v>
          </cell>
          <cell r="J857" t="str">
            <v>Edo. De Mexico</v>
          </cell>
          <cell r="K857" t="str">
            <v>Mexico</v>
          </cell>
        </row>
        <row r="858">
          <cell r="A858">
            <v>860</v>
          </cell>
          <cell r="B858" t="str">
            <v>Faurecia Sistemas Automotrices De Mexico, S.A. de C.V.</v>
          </cell>
          <cell r="C858" t="str">
            <v>-</v>
          </cell>
          <cell r="D858" t="str">
            <v>Km. 9.5 Carretera Constitución</v>
          </cell>
          <cell r="E858" t="str">
            <v>-</v>
          </cell>
          <cell r="F858" t="str">
            <v>-</v>
          </cell>
          <cell r="G858" t="str">
            <v>Zona Industrial Jurica</v>
          </cell>
          <cell r="H858">
            <v>76120</v>
          </cell>
          <cell r="I858" t="str">
            <v>Queretaro</v>
          </cell>
          <cell r="J858" t="str">
            <v>Queretaro</v>
          </cell>
          <cell r="K858" t="str">
            <v>Mexico</v>
          </cell>
        </row>
        <row r="859">
          <cell r="A859">
            <v>861</v>
          </cell>
          <cell r="B859" t="str">
            <v>Amn International, S.A. de C.V.</v>
          </cell>
          <cell r="C859" t="str">
            <v>-</v>
          </cell>
          <cell r="D859" t="str">
            <v>Av. Benito Juarez</v>
          </cell>
          <cell r="E859" t="str">
            <v>-</v>
          </cell>
          <cell r="F859" t="str">
            <v>X</v>
          </cell>
          <cell r="G859" t="str">
            <v>Parque Industrial Queretaro</v>
          </cell>
          <cell r="H859">
            <v>76220</v>
          </cell>
          <cell r="I859" t="str">
            <v>Santa Rosa Jáuregui</v>
          </cell>
          <cell r="J859" t="str">
            <v>Queretaro</v>
          </cell>
          <cell r="K859" t="str">
            <v>Mexico</v>
          </cell>
        </row>
        <row r="860">
          <cell r="A860">
            <v>862</v>
          </cell>
          <cell r="B860" t="str">
            <v>Coroplast Harness Systems de México S. de R. L. de C. V.</v>
          </cell>
          <cell r="C860" t="str">
            <v>-</v>
          </cell>
          <cell r="D860" t="str">
            <v>Carretera Acámbaro -Tarandacuao Km 7.7</v>
          </cell>
          <cell r="E860" t="str">
            <v>-</v>
          </cell>
          <cell r="F860" t="str">
            <v>-</v>
          </cell>
          <cell r="G860" t="str">
            <v>San Miguel del Puerto</v>
          </cell>
          <cell r="H860">
            <v>38762</v>
          </cell>
          <cell r="I860" t="str">
            <v>Acámbaro</v>
          </cell>
          <cell r="J860" t="str">
            <v>Guanajuato</v>
          </cell>
          <cell r="K860" t="str">
            <v>Mexico</v>
          </cell>
        </row>
        <row r="861">
          <cell r="A861">
            <v>863</v>
          </cell>
          <cell r="B861" t="str">
            <v>Boehringer Ingelheim Vetmédica, S.A. de C.V.</v>
          </cell>
          <cell r="C861" t="str">
            <v>-</v>
          </cell>
          <cell r="D861" t="str">
            <v>Calle 30</v>
          </cell>
          <cell r="E861" t="str">
            <v>-</v>
          </cell>
          <cell r="F861">
            <v>2614</v>
          </cell>
          <cell r="G861" t="str">
            <v>Zona Industrial</v>
          </cell>
          <cell r="H861">
            <v>44940</v>
          </cell>
          <cell r="I861" t="str">
            <v>Guadalajara</v>
          </cell>
          <cell r="J861" t="str">
            <v>Jalisco</v>
          </cell>
          <cell r="K861" t="str">
            <v>Mexico</v>
          </cell>
        </row>
        <row r="862">
          <cell r="A862">
            <v>864</v>
          </cell>
          <cell r="B862" t="str">
            <v>Troqueles y Matrices Industriales S. de R.L de C.V.</v>
          </cell>
          <cell r="C862" t="str">
            <v>-</v>
          </cell>
          <cell r="D862" t="str">
            <v>Camino a Rancho Alegre</v>
          </cell>
          <cell r="E862" t="str">
            <v>-</v>
          </cell>
          <cell r="F862">
            <v>3</v>
          </cell>
          <cell r="G862" t="str">
            <v xml:space="preserve">San Pedro Ahuacatlan </v>
          </cell>
          <cell r="H862">
            <v>76810</v>
          </cell>
          <cell r="I862" t="str">
            <v>San Juan del Río</v>
          </cell>
          <cell r="J862" t="str">
            <v>Queretaro</v>
          </cell>
          <cell r="K862" t="str">
            <v>Mexico</v>
          </cell>
          <cell r="R862" t="str">
            <v>TMI</v>
          </cell>
        </row>
        <row r="863">
          <cell r="A863">
            <v>865</v>
          </cell>
          <cell r="B863" t="str">
            <v>Plastic Tec, S.A. de C.V.</v>
          </cell>
          <cell r="C863" t="str">
            <v>-</v>
          </cell>
          <cell r="D863" t="str">
            <v>Carretera San Luis Potosi-Matehuala Km 11.1</v>
          </cell>
          <cell r="E863" t="str">
            <v>-</v>
          </cell>
          <cell r="F863" t="str">
            <v>-</v>
          </cell>
          <cell r="G863" t="str">
            <v>Enrique Estrada</v>
          </cell>
          <cell r="H863">
            <v>78431</v>
          </cell>
          <cell r="I863" t="str">
            <v>San Luis Potosí</v>
          </cell>
          <cell r="J863" t="str">
            <v>San Luis Potosí</v>
          </cell>
          <cell r="K863" t="str">
            <v>Mexico</v>
          </cell>
        </row>
        <row r="864">
          <cell r="A864">
            <v>866</v>
          </cell>
          <cell r="B864" t="str">
            <v>Ozmaq S.A. de C.V.</v>
          </cell>
          <cell r="C864" t="str">
            <v>-</v>
          </cell>
          <cell r="D864" t="str">
            <v>Carretera México</v>
          </cell>
          <cell r="E864" t="str">
            <v>-</v>
          </cell>
          <cell r="F864">
            <v>3740</v>
          </cell>
          <cell r="G864" t="str">
            <v>Zona Industrial</v>
          </cell>
          <cell r="H864">
            <v>78395</v>
          </cell>
          <cell r="I864" t="str">
            <v>San Luis Potosí</v>
          </cell>
          <cell r="J864" t="str">
            <v>San Luis Potosí</v>
          </cell>
          <cell r="K864" t="str">
            <v>Mexico</v>
          </cell>
        </row>
        <row r="865">
          <cell r="A865">
            <v>867</v>
          </cell>
          <cell r="B865" t="str">
            <v>JabaMet, S.A de C.V.</v>
          </cell>
          <cell r="C865" t="str">
            <v>-</v>
          </cell>
          <cell r="D865" t="str">
            <v>Norte 2</v>
          </cell>
          <cell r="E865" t="str">
            <v>-</v>
          </cell>
          <cell r="F865">
            <v>1</v>
          </cell>
          <cell r="G865" t="str">
            <v>Nuevo Parque Industrial</v>
          </cell>
          <cell r="H865" t="str">
            <v>76809</v>
          </cell>
          <cell r="I865" t="str">
            <v>San Juan del Río</v>
          </cell>
          <cell r="J865" t="str">
            <v>Queretaro</v>
          </cell>
          <cell r="K865" t="str">
            <v>Mexico</v>
          </cell>
        </row>
        <row r="866">
          <cell r="A866">
            <v>868</v>
          </cell>
          <cell r="B866" t="str">
            <v>Tritech Autoparts Mexicana S.A. de C.V.</v>
          </cell>
          <cell r="C866" t="str">
            <v>-</v>
          </cell>
          <cell r="D866" t="str">
            <v>Circuito Mexiamora, Santa Fe 1</v>
          </cell>
          <cell r="E866" t="str">
            <v>-</v>
          </cell>
          <cell r="F866">
            <v>329</v>
          </cell>
          <cell r="G866" t="str">
            <v>Puerto Interior</v>
          </cell>
          <cell r="H866">
            <v>36275</v>
          </cell>
          <cell r="I866" t="str">
            <v>Silao</v>
          </cell>
          <cell r="J866" t="str">
            <v>Guanajuato</v>
          </cell>
          <cell r="K866" t="str">
            <v>Mexico</v>
          </cell>
        </row>
        <row r="867">
          <cell r="A867">
            <v>869</v>
          </cell>
          <cell r="B867" t="str">
            <v>PROCESOS ALEDO S. de R.L. de C.V.</v>
          </cell>
          <cell r="C867" t="str">
            <v>-</v>
          </cell>
          <cell r="D867" t="str">
            <v>Carretera Estatal 124. kilometro 7., Entre bombas Regina y Casco viejo de Hacienda, Carretera la Estancia</v>
          </cell>
          <cell r="E867" t="str">
            <v>-</v>
          </cell>
          <cell r="F867" t="str">
            <v>-</v>
          </cell>
          <cell r="G867" t="str">
            <v>La Llave</v>
          </cell>
          <cell r="H867" t="str">
            <v>-</v>
          </cell>
          <cell r="I867" t="str">
            <v>San Juan del Río</v>
          </cell>
          <cell r="J867" t="str">
            <v>Queretaro</v>
          </cell>
          <cell r="K867" t="str">
            <v>Mexico</v>
          </cell>
        </row>
        <row r="868">
          <cell r="A868">
            <v>870</v>
          </cell>
          <cell r="B868" t="str">
            <v>Facil N. A. de Mexico, S de R. L. de C. V.</v>
          </cell>
          <cell r="C868" t="str">
            <v>-</v>
          </cell>
          <cell r="D868" t="str">
            <v>Calle 5 Sur Manzana 9</v>
          </cell>
          <cell r="E868" t="str">
            <v>-</v>
          </cell>
          <cell r="F868">
            <v>5</v>
          </cell>
          <cell r="G868" t="str">
            <v>Parque Industrial Toluca 2000</v>
          </cell>
          <cell r="H868">
            <v>50200</v>
          </cell>
          <cell r="I868" t="str">
            <v>Toluca</v>
          </cell>
          <cell r="J868" t="str">
            <v>Estado de México</v>
          </cell>
          <cell r="K868" t="str">
            <v>Mexico</v>
          </cell>
        </row>
        <row r="869">
          <cell r="A869">
            <v>871</v>
          </cell>
          <cell r="B869" t="str">
            <v>Aceros Industriales Potosí</v>
          </cell>
          <cell r="C869" t="str">
            <v>-</v>
          </cell>
          <cell r="D869" t="str">
            <v>Avenida del Siglo</v>
          </cell>
          <cell r="E869" t="str">
            <v>-</v>
          </cell>
          <cell r="F869">
            <v>270</v>
          </cell>
          <cell r="G869" t="str">
            <v>Parque Industrial Millennium</v>
          </cell>
          <cell r="H869">
            <v>78190</v>
          </cell>
          <cell r="I869" t="str">
            <v>San Luis Potosí</v>
          </cell>
          <cell r="J869" t="str">
            <v>San Luis Potosí</v>
          </cell>
          <cell r="K869" t="str">
            <v>Mexico</v>
          </cell>
        </row>
        <row r="870">
          <cell r="A870">
            <v>872</v>
          </cell>
          <cell r="B870" t="str">
            <v>Kemet de México S. A. de C.V.</v>
          </cell>
          <cell r="C870" t="str">
            <v>-</v>
          </cell>
          <cell r="D870" t="str">
            <v>Antiguo Camino al Mezquital</v>
          </cell>
          <cell r="E870" t="str">
            <v>-</v>
          </cell>
          <cell r="F870">
            <v>100</v>
          </cell>
          <cell r="G870" t="str">
            <v>Lagrange</v>
          </cell>
          <cell r="H870">
            <v>66490</v>
          </cell>
          <cell r="I870" t="str">
            <v>San Nicolás de los Garza</v>
          </cell>
          <cell r="J870" t="str">
            <v>Nuevo Leon</v>
          </cell>
          <cell r="K870" t="str">
            <v>Mexico</v>
          </cell>
        </row>
        <row r="871">
          <cell r="A871">
            <v>873</v>
          </cell>
          <cell r="B871" t="str">
            <v>Tapones Internacionales S.A. de C.V.</v>
          </cell>
          <cell r="C871" t="str">
            <v>-</v>
          </cell>
          <cell r="D871" t="str">
            <v>Oriente 3</v>
          </cell>
          <cell r="E871" t="str">
            <v>-</v>
          </cell>
          <cell r="F871">
            <v>101</v>
          </cell>
          <cell r="G871" t="str">
            <v>Ciudad Industrial</v>
          </cell>
          <cell r="H871">
            <v>38010</v>
          </cell>
          <cell r="I871" t="str">
            <v>Celaya</v>
          </cell>
          <cell r="J871" t="str">
            <v>Guanajuato</v>
          </cell>
          <cell r="K871" t="str">
            <v>Mexico</v>
          </cell>
          <cell r="O871" t="str">
            <v>TAPSA</v>
          </cell>
          <cell r="P871" t="str">
            <v>sonia.alfaro@tapsa-ifc.com</v>
          </cell>
        </row>
        <row r="872">
          <cell r="A872">
            <v>874</v>
          </cell>
          <cell r="B872" t="str">
            <v>Valeo Sistemas Eléctricos, S.A. de C.V.</v>
          </cell>
          <cell r="C872" t="str">
            <v>-</v>
          </cell>
          <cell r="D872" t="str">
            <v>Carretera México-Piedras Negras Km 416</v>
          </cell>
          <cell r="E872" t="str">
            <v>-</v>
          </cell>
          <cell r="F872">
            <v>3900</v>
          </cell>
          <cell r="G872" t="str">
            <v>Zona Industrial San Luis Potosi</v>
          </cell>
          <cell r="H872">
            <v>78395</v>
          </cell>
          <cell r="I872" t="str">
            <v>San Luis Potosí</v>
          </cell>
          <cell r="J872" t="str">
            <v>San Luis Potosí, CP 78395</v>
          </cell>
          <cell r="K872" t="str">
            <v>México</v>
          </cell>
        </row>
        <row r="873">
          <cell r="A873">
            <v>875</v>
          </cell>
          <cell r="B873" t="str">
            <v>Valeo Climate Control de México S.A. de C.V.</v>
          </cell>
          <cell r="C873" t="str">
            <v>-</v>
          </cell>
          <cell r="D873" t="str">
            <v>Carretera México-Piedras Negras Km 416</v>
          </cell>
          <cell r="E873" t="str">
            <v>-</v>
          </cell>
          <cell r="F873">
            <v>3900</v>
          </cell>
          <cell r="G873" t="str">
            <v>Zona Industrial San Luis Potosi</v>
          </cell>
          <cell r="H873">
            <v>78395</v>
          </cell>
          <cell r="I873" t="str">
            <v>San Luis Potosí</v>
          </cell>
          <cell r="J873" t="str">
            <v>San Luis Potosí, CP 78395</v>
          </cell>
          <cell r="K873" t="str">
            <v>México</v>
          </cell>
        </row>
        <row r="874">
          <cell r="A874">
            <v>876</v>
          </cell>
          <cell r="B874" t="str">
            <v>VRK AUTOMOTIVE SYSTEM S.A. de C.V.</v>
          </cell>
          <cell r="C874" t="str">
            <v>-</v>
          </cell>
          <cell r="D874" t="str">
            <v>Km 117  Autopista México-Puebla</v>
          </cell>
          <cell r="E874" t="str">
            <v>Modulo 8</v>
          </cell>
          <cell r="F874" t="str">
            <v>Nave 16</v>
          </cell>
          <cell r="G874" t="str">
            <v>Parque Industrial Finsa</v>
          </cell>
          <cell r="H874" t="str">
            <v>-</v>
          </cell>
          <cell r="I874" t="str">
            <v>Cuatlancingo</v>
          </cell>
          <cell r="J874" t="str">
            <v>Puebla</v>
          </cell>
          <cell r="K874" t="str">
            <v>México</v>
          </cell>
        </row>
        <row r="875">
          <cell r="A875">
            <v>877</v>
          </cell>
          <cell r="B875" t="str">
            <v>Mahle Componentes de Motor de México, S. de R.L. de C.V.</v>
          </cell>
          <cell r="C875" t="str">
            <v>-</v>
          </cell>
          <cell r="D875" t="str">
            <v xml:space="preserve">Avenida Santa Rosa </v>
          </cell>
          <cell r="E875" t="str">
            <v>Manzana 19</v>
          </cell>
          <cell r="F875">
            <v>265</v>
          </cell>
          <cell r="G875" t="str">
            <v>Parque Industrial Lerma</v>
          </cell>
          <cell r="H875" t="str">
            <v>-</v>
          </cell>
          <cell r="I875" t="str">
            <v>Lerma</v>
          </cell>
          <cell r="J875" t="str">
            <v>Estado de México</v>
          </cell>
          <cell r="K875" t="str">
            <v>México</v>
          </cell>
        </row>
        <row r="876">
          <cell r="A876">
            <v>878</v>
          </cell>
          <cell r="B876" t="str">
            <v>Control de Calidad y Equipos del Bajío S. de R.L. de C.V.</v>
          </cell>
          <cell r="C876" t="str">
            <v>-</v>
          </cell>
          <cell r="D876" t="str">
            <v>Santa Fe</v>
          </cell>
          <cell r="E876" t="str">
            <v>B</v>
          </cell>
          <cell r="F876">
            <v>122</v>
          </cell>
          <cell r="G876" t="str">
            <v>Juriquilla</v>
          </cell>
          <cell r="H876">
            <v>76230</v>
          </cell>
          <cell r="I876" t="str">
            <v>Queretaro</v>
          </cell>
          <cell r="J876" t="str">
            <v>Queretaro</v>
          </cell>
          <cell r="K876" t="str">
            <v>México</v>
          </cell>
        </row>
        <row r="877">
          <cell r="A877">
            <v>879</v>
          </cell>
          <cell r="B877" t="str">
            <v>UNICAR MEXICANA S.A. DE C.V.</v>
          </cell>
          <cell r="C877" t="str">
            <v>-</v>
          </cell>
          <cell r="D877" t="str">
            <v>Prolongacion Defensores de la Republica</v>
          </cell>
          <cell r="E877" t="str">
            <v>B</v>
          </cell>
          <cell r="F877">
            <v>908</v>
          </cell>
          <cell r="G877" t="str">
            <v>Obrero Campesino</v>
          </cell>
          <cell r="H877">
            <v>72260</v>
          </cell>
          <cell r="I877" t="str">
            <v>Puebla</v>
          </cell>
          <cell r="J877" t="str">
            <v>Puebla</v>
          </cell>
          <cell r="K877" t="str">
            <v>México</v>
          </cell>
        </row>
        <row r="878">
          <cell r="A878">
            <v>880</v>
          </cell>
          <cell r="B878" t="str">
            <v>TURBOMAQUINAS, S.A. DE C.V.</v>
          </cell>
          <cell r="C878" t="str">
            <v>-</v>
          </cell>
          <cell r="D878" t="str">
            <v>Boulevard Adolfo Lopez Mateos</v>
          </cell>
          <cell r="E878" t="str">
            <v>-</v>
          </cell>
          <cell r="F878">
            <v>653</v>
          </cell>
          <cell r="G878" t="str">
            <v>Centro</v>
          </cell>
          <cell r="H878">
            <v>59300</v>
          </cell>
          <cell r="I878" t="str">
            <v>La Piedad</v>
          </cell>
          <cell r="J878" t="str">
            <v xml:space="preserve">Michoacán, </v>
          </cell>
          <cell r="K878" t="str">
            <v>México</v>
          </cell>
        </row>
        <row r="879">
          <cell r="A879">
            <v>881</v>
          </cell>
          <cell r="B879" t="str">
            <v>Robert Bosch México Sistemas Automotrices, S.A. DE C.V.</v>
          </cell>
          <cell r="D879" t="str">
            <v>Robert Bosch</v>
          </cell>
          <cell r="E879" t="str">
            <v>-</v>
          </cell>
          <cell r="F879">
            <v>405</v>
          </cell>
          <cell r="G879" t="str">
            <v>Zona Industrial</v>
          </cell>
          <cell r="H879">
            <v>50071</v>
          </cell>
          <cell r="I879" t="str">
            <v>Toluca</v>
          </cell>
          <cell r="J879" t="str">
            <v>Estado de Mexico</v>
          </cell>
          <cell r="K879" t="str">
            <v>MEXICO</v>
          </cell>
        </row>
        <row r="880">
          <cell r="A880">
            <v>882</v>
          </cell>
          <cell r="B880" t="str">
            <v>Hi-Lex Mexicana, S.A. de C.V.</v>
          </cell>
          <cell r="C880" t="str">
            <v>-</v>
          </cell>
          <cell r="D880" t="str">
            <v>Av. Circuito el Marqués Sur</v>
          </cell>
          <cell r="F880">
            <v>16</v>
          </cell>
          <cell r="G880" t="str">
            <v>Parque Industrial El Marques</v>
          </cell>
          <cell r="H880">
            <v>76246</v>
          </cell>
          <cell r="I880" t="str">
            <v>Querétaro</v>
          </cell>
          <cell r="J880" t="str">
            <v>Querétaro</v>
          </cell>
          <cell r="K880" t="str">
            <v>México</v>
          </cell>
          <cell r="L880" t="str">
            <v>(442) 2274600</v>
          </cell>
          <cell r="M880">
            <v>30</v>
          </cell>
        </row>
        <row r="881">
          <cell r="A881">
            <v>883</v>
          </cell>
          <cell r="B881" t="str">
            <v>TOPY MW MANUFACTURING MEXICO, S.A. DE C.V.</v>
          </cell>
          <cell r="C881" t="str">
            <v>-</v>
          </cell>
          <cell r="D881" t="str">
            <v>AV. Mina de Guadalupe</v>
          </cell>
          <cell r="E881" t="str">
            <v>-</v>
          </cell>
          <cell r="F881">
            <v>798</v>
          </cell>
          <cell r="G881" t="str">
            <v>Parque Industrial Santa Fe Ampliación</v>
          </cell>
          <cell r="H881">
            <v>36275</v>
          </cell>
          <cell r="I881" t="str">
            <v>Silao</v>
          </cell>
          <cell r="J881" t="str">
            <v>Guanajuato</v>
          </cell>
          <cell r="K881" t="str">
            <v>México</v>
          </cell>
        </row>
        <row r="882">
          <cell r="A882">
            <v>884</v>
          </cell>
          <cell r="B882" t="str">
            <v>LIBERTY SPRING QUERETARO S. DE R.L. DE C.V.</v>
          </cell>
          <cell r="C882" t="str">
            <v>-</v>
          </cell>
          <cell r="D882" t="str">
            <v xml:space="preserve">Avenida el Tepeyac </v>
          </cell>
          <cell r="E882" t="str">
            <v>-</v>
          </cell>
          <cell r="F882" t="str">
            <v>1420-F</v>
          </cell>
          <cell r="G882" t="str">
            <v>Parque Industrial O´Donnell- Aeropuerto</v>
          </cell>
          <cell r="H882">
            <v>76250</v>
          </cell>
          <cell r="I882" t="str">
            <v>El Marques</v>
          </cell>
          <cell r="J882" t="str">
            <v>Querétaro</v>
          </cell>
          <cell r="K882" t="str">
            <v>México</v>
          </cell>
          <cell r="P882" t="str">
            <v>Laura.Fuentes@libertyspring.com</v>
          </cell>
        </row>
        <row r="883">
          <cell r="A883">
            <v>885</v>
          </cell>
          <cell r="B883" t="str">
            <v>IKS DE México, S.A. DE C.V.</v>
          </cell>
          <cell r="C883" t="str">
            <v>-</v>
          </cell>
          <cell r="D883" t="str">
            <v>Constitución</v>
          </cell>
          <cell r="E883" t="str">
            <v>-</v>
          </cell>
          <cell r="F883">
            <v>22</v>
          </cell>
          <cell r="G883" t="str">
            <v>Parque Industrial Bernardo Quintana</v>
          </cell>
          <cell r="H883">
            <v>76246</v>
          </cell>
          <cell r="I883" t="str">
            <v>Querétaro</v>
          </cell>
          <cell r="J883" t="str">
            <v>Querétaro</v>
          </cell>
          <cell r="K883" t="str">
            <v>México</v>
          </cell>
        </row>
        <row r="884">
          <cell r="A884">
            <v>886</v>
          </cell>
          <cell r="B884" t="str">
            <v>LEONI WIRING SYSTEMS DE DURANGO, S.A. DE C.V.</v>
          </cell>
          <cell r="C884" t="str">
            <v>-</v>
          </cell>
          <cell r="D884" t="str">
            <v xml:space="preserve">Antiguo Camino a Contreras </v>
          </cell>
          <cell r="E884" t="str">
            <v>-</v>
          </cell>
          <cell r="F884">
            <v>201</v>
          </cell>
          <cell r="G884" t="str">
            <v>20 de Noviembre</v>
          </cell>
          <cell r="H884">
            <v>34236</v>
          </cell>
          <cell r="I884" t="str">
            <v>DURANGO</v>
          </cell>
          <cell r="J884" t="str">
            <v>DURANGO</v>
          </cell>
          <cell r="K884" t="str">
            <v>México</v>
          </cell>
        </row>
        <row r="885">
          <cell r="A885">
            <v>887</v>
          </cell>
          <cell r="B885" t="str">
            <v>Grupo Antolin Silao S.A. de C.V.</v>
          </cell>
          <cell r="D885" t="str">
            <v>Av. Ingenieros</v>
          </cell>
          <cell r="E885">
            <v>238</v>
          </cell>
          <cell r="F885">
            <v>51</v>
          </cell>
          <cell r="G885" t="str">
            <v>Parque Industrial Silao</v>
          </cell>
          <cell r="H885">
            <v>36101</v>
          </cell>
          <cell r="I885" t="str">
            <v>Silao</v>
          </cell>
          <cell r="J885" t="str">
            <v>Guanajuato</v>
          </cell>
          <cell r="K885" t="str">
            <v>México</v>
          </cell>
          <cell r="O885" t="str">
            <v>Luis Angel Gomez</v>
          </cell>
        </row>
        <row r="886">
          <cell r="A886">
            <v>888</v>
          </cell>
          <cell r="B886" t="str">
            <v>Prof-tech Servicios S.A. de C.V.</v>
          </cell>
          <cell r="C886" t="str">
            <v>-</v>
          </cell>
          <cell r="D886" t="str">
            <v>Semilla</v>
          </cell>
          <cell r="E886" t="str">
            <v>-</v>
          </cell>
          <cell r="F886">
            <v>2</v>
          </cell>
          <cell r="G886" t="str">
            <v>Arquitos Queretaro</v>
          </cell>
          <cell r="H886">
            <v>76048</v>
          </cell>
          <cell r="I886" t="str">
            <v>Queretaro</v>
          </cell>
          <cell r="J886" t="str">
            <v>Queretaro</v>
          </cell>
          <cell r="K886" t="str">
            <v>México</v>
          </cell>
          <cell r="O886" t="str">
            <v>Pablo Barrena Nájera</v>
          </cell>
          <cell r="P886" t="str">
            <v>pablo.barrena@pts.mx</v>
          </cell>
        </row>
        <row r="887">
          <cell r="A887">
            <v>889</v>
          </cell>
          <cell r="B887" t="str">
            <v xml:space="preserve">KIMBERLY CLARK DE MEXICO SA DE CV </v>
          </cell>
          <cell r="C887" t="str">
            <v>-</v>
          </cell>
          <cell r="D887" t="str">
            <v>Carretera a Mena Km 3.5</v>
          </cell>
          <cell r="E887" t="str">
            <v>-</v>
          </cell>
          <cell r="F887" t="str">
            <v>-</v>
          </cell>
          <cell r="G887" t="str">
            <v>Ciudad industrial  Xicohtencatl</v>
          </cell>
          <cell r="H887">
            <v>90430</v>
          </cell>
          <cell r="I887" t="str">
            <v>Tlaxco</v>
          </cell>
          <cell r="J887" t="str">
            <v>Tlaxcala</v>
          </cell>
          <cell r="K887" t="str">
            <v>México</v>
          </cell>
        </row>
        <row r="888">
          <cell r="A888">
            <v>890</v>
          </cell>
          <cell r="B888" t="str">
            <v>Bombas Alemanas de Mèxico, S.A. de C.V.</v>
          </cell>
          <cell r="C888" t="str">
            <v>-</v>
          </cell>
          <cell r="D888" t="str">
            <v>Avenida Felipe Carrillo Puerto</v>
          </cell>
          <cell r="E888" t="str">
            <v>-</v>
          </cell>
          <cell r="F888">
            <v>303</v>
          </cell>
          <cell r="G888" t="str">
            <v>Zona Industrial Benito Juarez</v>
          </cell>
          <cell r="H888">
            <v>76130</v>
          </cell>
          <cell r="I888" t="str">
            <v>Queretaro</v>
          </cell>
          <cell r="J888" t="str">
            <v>Queretaro</v>
          </cell>
          <cell r="K888" t="str">
            <v>México</v>
          </cell>
        </row>
        <row r="889">
          <cell r="A889">
            <v>891</v>
          </cell>
          <cell r="B889" t="str">
            <v>Serra Global Technology SA de CV</v>
          </cell>
          <cell r="C889" t="str">
            <v>-</v>
          </cell>
          <cell r="D889" t="str">
            <v>Jose Maria Morelos Sur</v>
          </cell>
          <cell r="E889" t="str">
            <v>-</v>
          </cell>
          <cell r="F889">
            <v>94</v>
          </cell>
          <cell r="G889" t="str">
            <v>San Pedro Ahuacatlàn</v>
          </cell>
          <cell r="H889">
            <v>76810</v>
          </cell>
          <cell r="I889" t="str">
            <v>San Juan del Río</v>
          </cell>
          <cell r="J889" t="str">
            <v>Queretaro</v>
          </cell>
          <cell r="K889" t="str">
            <v>México</v>
          </cell>
        </row>
        <row r="890">
          <cell r="A890">
            <v>892</v>
          </cell>
          <cell r="B890" t="str">
            <v>Rossignol Technology S.A de C.V</v>
          </cell>
          <cell r="C890" t="str">
            <v>-</v>
          </cell>
          <cell r="D890" t="str">
            <v xml:space="preserve">Av. del Marques </v>
          </cell>
          <cell r="E890" t="str">
            <v>-</v>
          </cell>
          <cell r="F890">
            <v>7</v>
          </cell>
          <cell r="G890" t="str">
            <v>Parque Industrial Bernardo Quintana</v>
          </cell>
          <cell r="H890">
            <v>76246</v>
          </cell>
          <cell r="I890" t="str">
            <v>El Marques</v>
          </cell>
          <cell r="J890" t="str">
            <v>Queretaro</v>
          </cell>
          <cell r="K890" t="str">
            <v>México</v>
          </cell>
        </row>
        <row r="891">
          <cell r="A891">
            <v>893</v>
          </cell>
          <cell r="B891" t="str">
            <v>Montajes Mecánicos y Pailería, S. de R.L. de C.V.</v>
          </cell>
          <cell r="C891" t="str">
            <v>-</v>
          </cell>
          <cell r="D891" t="str">
            <v>Nuevo León, Lt. 9 Mz. 27</v>
          </cell>
          <cell r="E891" t="str">
            <v>-</v>
          </cell>
          <cell r="F891" t="str">
            <v>-</v>
          </cell>
          <cell r="G891" t="str">
            <v>Ampliación Los Angeles</v>
          </cell>
          <cell r="H891">
            <v>76908</v>
          </cell>
          <cell r="I891" t="str">
            <v>Corregidora</v>
          </cell>
          <cell r="J891" t="str">
            <v>Queretaro</v>
          </cell>
          <cell r="K891" t="str">
            <v>México</v>
          </cell>
          <cell r="L891">
            <v>2256420</v>
          </cell>
          <cell r="P891" t="str">
            <v>aaguilar@montajesmecanicos.com.mx</v>
          </cell>
        </row>
        <row r="892">
          <cell r="A892">
            <v>894</v>
          </cell>
          <cell r="B892" t="str">
            <v>Roki México S.A. de C.V.</v>
          </cell>
          <cell r="C892" t="str">
            <v>-</v>
          </cell>
          <cell r="D892" t="str">
            <v>Circuito Mexiamora Norte</v>
          </cell>
          <cell r="E892" t="str">
            <v>-</v>
          </cell>
          <cell r="F892">
            <v>377</v>
          </cell>
          <cell r="G892" t="str">
            <v>Puerto Interior</v>
          </cell>
          <cell r="H892">
            <v>36275</v>
          </cell>
          <cell r="I892" t="str">
            <v>Silao</v>
          </cell>
          <cell r="J892" t="str">
            <v>Guanajuato</v>
          </cell>
          <cell r="K892" t="str">
            <v>México</v>
          </cell>
        </row>
        <row r="893">
          <cell r="A893">
            <v>895</v>
          </cell>
          <cell r="B893" t="str">
            <v xml:space="preserve">Super Llantas Coliman S.A. de C.V. </v>
          </cell>
          <cell r="C893" t="str">
            <v>-</v>
          </cell>
          <cell r="D893" t="str">
            <v>Km.220 Carr. Jiquilpan Manzanillo</v>
          </cell>
          <cell r="E893" t="str">
            <v>-</v>
          </cell>
          <cell r="F893" t="str">
            <v>-</v>
          </cell>
          <cell r="G893" t="str">
            <v xml:space="preserve">El Tecolote </v>
          </cell>
          <cell r="H893">
            <v>28090</v>
          </cell>
          <cell r="I893" t="str">
            <v>Colima</v>
          </cell>
          <cell r="J893" t="str">
            <v>Colima</v>
          </cell>
          <cell r="K893" t="str">
            <v>México</v>
          </cell>
          <cell r="L893" t="str">
            <v>(312) 316-13-00</v>
          </cell>
          <cell r="P893" t="str">
            <v>rocio.patino@superllantascoliman.com</v>
          </cell>
        </row>
        <row r="894">
          <cell r="A894">
            <v>896</v>
          </cell>
          <cell r="B894" t="str">
            <v>Asociación de Normalización y Certificación. A.C.</v>
          </cell>
          <cell r="C894" t="str">
            <v>-</v>
          </cell>
          <cell r="D894" t="str">
            <v>Eje Central Lazaro Cardenas</v>
          </cell>
          <cell r="E894" t="str">
            <v>-</v>
          </cell>
          <cell r="F894">
            <v>869</v>
          </cell>
          <cell r="G894" t="str">
            <v>Nueva Industrial Vallejo</v>
          </cell>
          <cell r="H894" t="str">
            <v>07700</v>
          </cell>
          <cell r="I894" t="str">
            <v>Gustavo A. Madero</v>
          </cell>
          <cell r="J894" t="str">
            <v>Distrito Federal</v>
          </cell>
          <cell r="K894" t="str">
            <v>México</v>
          </cell>
        </row>
        <row r="895">
          <cell r="A895">
            <v>897</v>
          </cell>
          <cell r="B895" t="str">
            <v xml:space="preserve">Control y Medición  </v>
          </cell>
          <cell r="C895" t="str">
            <v>-</v>
          </cell>
          <cell r="D895" t="str">
            <v>Calle 6 Sur</v>
          </cell>
          <cell r="E895" t="str">
            <v>-</v>
          </cell>
          <cell r="F895" t="str">
            <v>10915-B</v>
          </cell>
          <cell r="G895" t="str">
            <v>Arboledas de Loma Bella</v>
          </cell>
          <cell r="H895">
            <v>72490</v>
          </cell>
          <cell r="I895" t="str">
            <v>Puebla</v>
          </cell>
          <cell r="J895" t="str">
            <v>Puebla</v>
          </cell>
          <cell r="K895" t="str">
            <v>México</v>
          </cell>
        </row>
        <row r="896">
          <cell r="A896">
            <v>898</v>
          </cell>
          <cell r="B896" t="str">
            <v>GILL Queretaro S. de R.L. de C.V.</v>
          </cell>
          <cell r="C896" t="str">
            <v>-</v>
          </cell>
          <cell r="D896" t="str">
            <v xml:space="preserve">Vialidad Benito Juarez </v>
          </cell>
          <cell r="E896" t="str">
            <v>-</v>
          </cell>
          <cell r="F896">
            <v>118</v>
          </cell>
          <cell r="G896" t="str">
            <v>Parque Industrial Queretaro</v>
          </cell>
          <cell r="H896">
            <v>76220</v>
          </cell>
          <cell r="I896" t="str">
            <v>Queretaro</v>
          </cell>
          <cell r="J896" t="str">
            <v>Queretaro</v>
          </cell>
          <cell r="K896" t="str">
            <v>México</v>
          </cell>
          <cell r="P896" t="str">
            <v>jtrejo@gill-industries.com</v>
          </cell>
        </row>
        <row r="897">
          <cell r="A897">
            <v>899</v>
          </cell>
          <cell r="B897" t="str">
            <v>Compañía Nacional de Herrajes Eléctricos S.A. de C.V.</v>
          </cell>
          <cell r="D897" t="str">
            <v>Calle 22</v>
          </cell>
          <cell r="E897" t="str">
            <v>H</v>
          </cell>
          <cell r="F897">
            <v>2703</v>
          </cell>
          <cell r="G897" t="str">
            <v>Zona Industrial</v>
          </cell>
          <cell r="H897">
            <v>44940</v>
          </cell>
          <cell r="I897" t="str">
            <v>Guadalajara</v>
          </cell>
          <cell r="J897" t="str">
            <v xml:space="preserve">Jalisco, </v>
          </cell>
          <cell r="K897" t="str">
            <v>México</v>
          </cell>
        </row>
        <row r="898">
          <cell r="A898">
            <v>900</v>
          </cell>
          <cell r="B898" t="str">
            <v>Productos Pennsylvania, S.A. de C.V.</v>
          </cell>
          <cell r="C898" t="str">
            <v>-</v>
          </cell>
          <cell r="D898" t="str">
            <v>Camino a San Jose</v>
          </cell>
          <cell r="E898" t="str">
            <v>-</v>
          </cell>
          <cell r="F898">
            <v>1</v>
          </cell>
          <cell r="G898" t="str">
            <v>Parques Industriales Queretaro</v>
          </cell>
          <cell r="H898">
            <v>76169</v>
          </cell>
          <cell r="I898" t="str">
            <v>Queretaro</v>
          </cell>
          <cell r="J898" t="str">
            <v>Queretaro</v>
          </cell>
          <cell r="K898" t="str">
            <v>México</v>
          </cell>
        </row>
        <row r="899">
          <cell r="A899">
            <v>901</v>
          </cell>
          <cell r="B899" t="str">
            <v>Corporación de Occidente, S.A. de C.V.</v>
          </cell>
          <cell r="C899" t="str">
            <v>-</v>
          </cell>
          <cell r="D899" t="str">
            <v>Carretera a El Salto km 3,5 Vía La Capilla</v>
          </cell>
          <cell r="E899" t="str">
            <v>-</v>
          </cell>
          <cell r="F899" t="str">
            <v>-</v>
          </cell>
          <cell r="G899" t="str">
            <v>La Reserva</v>
          </cell>
          <cell r="H899">
            <v>45680</v>
          </cell>
          <cell r="I899" t="str">
            <v>El Salto</v>
          </cell>
          <cell r="J899" t="str">
            <v>Jalisco</v>
          </cell>
          <cell r="K899" t="str">
            <v>México</v>
          </cell>
        </row>
        <row r="900">
          <cell r="A900">
            <v>902</v>
          </cell>
          <cell r="B900" t="str">
            <v>BACARDI Y COMPAÑÍA, S.A. de C.V.</v>
          </cell>
          <cell r="C900" t="str">
            <v>-</v>
          </cell>
          <cell r="D900" t="str">
            <v xml:space="preserve">Libramiento sur  Km.3 </v>
          </cell>
          <cell r="E900" t="str">
            <v>-</v>
          </cell>
          <cell r="F900" t="str">
            <v>-</v>
          </cell>
          <cell r="G900" t="str">
            <v>Arandas</v>
          </cell>
          <cell r="H900">
            <v>47180</v>
          </cell>
          <cell r="I900" t="str">
            <v>Jalisco</v>
          </cell>
          <cell r="J900" t="str">
            <v>Guadalajara</v>
          </cell>
          <cell r="K900" t="str">
            <v>México</v>
          </cell>
        </row>
        <row r="901">
          <cell r="A901">
            <v>903</v>
          </cell>
          <cell r="B901" t="str">
            <v>Gelpharma, S.A. de C.V.</v>
          </cell>
          <cell r="C901" t="str">
            <v>-</v>
          </cell>
          <cell r="D901" t="str">
            <v xml:space="preserve">Av. Paseo del pacífico </v>
          </cell>
          <cell r="E901" t="str">
            <v>-</v>
          </cell>
          <cell r="F901">
            <v>410</v>
          </cell>
          <cell r="G901" t="str">
            <v>Technology park, Carr. A Nogales km 13.5</v>
          </cell>
          <cell r="H901">
            <v>45010</v>
          </cell>
          <cell r="I901" t="str">
            <v>Zapopan</v>
          </cell>
          <cell r="J901" t="str">
            <v>Jalisco</v>
          </cell>
          <cell r="K901" t="str">
            <v>México</v>
          </cell>
        </row>
        <row r="902">
          <cell r="A902">
            <v>904</v>
          </cell>
          <cell r="B902" t="str">
            <v>Centro de Ingeniería Avanzada en Turbomáquinas S. de R.L. de C.V.</v>
          </cell>
          <cell r="C902" t="str">
            <v>-</v>
          </cell>
          <cell r="D902" t="str">
            <v xml:space="preserve">Campo Real </v>
          </cell>
          <cell r="E902" t="str">
            <v>-</v>
          </cell>
          <cell r="F902">
            <v>1692</v>
          </cell>
          <cell r="G902" t="str">
            <v>Fraccionamiento Ampliación el Refugio</v>
          </cell>
          <cell r="H902">
            <v>76146</v>
          </cell>
          <cell r="I902" t="str">
            <v>Queretaro</v>
          </cell>
          <cell r="J902" t="str">
            <v>Queretaro</v>
          </cell>
          <cell r="K902" t="str">
            <v>México</v>
          </cell>
        </row>
        <row r="903">
          <cell r="A903">
            <v>905</v>
          </cell>
          <cell r="B903" t="str">
            <v>Troquelados Batesville de México S. de R.L.</v>
          </cell>
          <cell r="C903" t="str">
            <v>-</v>
          </cell>
          <cell r="D903" t="str">
            <v xml:space="preserve">Avenida La Noria </v>
          </cell>
          <cell r="E903" t="str">
            <v>-</v>
          </cell>
          <cell r="F903">
            <v>106</v>
          </cell>
          <cell r="G903" t="str">
            <v>Parque Industrial Queretaro</v>
          </cell>
          <cell r="H903">
            <v>76220</v>
          </cell>
          <cell r="I903" t="str">
            <v>Queretaro</v>
          </cell>
          <cell r="J903" t="str">
            <v>Queretaro</v>
          </cell>
          <cell r="K903" t="str">
            <v>México</v>
          </cell>
        </row>
        <row r="904">
          <cell r="A904">
            <v>906</v>
          </cell>
          <cell r="B904" t="str">
            <v>Corporación Manufacturera Automotriz, S.A. de C.V.</v>
          </cell>
          <cell r="C904" t="str">
            <v>-</v>
          </cell>
          <cell r="D904" t="str">
            <v>Avenida Poniente 4</v>
          </cell>
          <cell r="E904" t="str">
            <v>Manzana 8</v>
          </cell>
          <cell r="F904" t="str">
            <v>Lote 7</v>
          </cell>
          <cell r="G904" t="str">
            <v>Ciudad Industrial</v>
          </cell>
          <cell r="H904">
            <v>38010</v>
          </cell>
          <cell r="I904" t="str">
            <v>Celaya</v>
          </cell>
          <cell r="J904" t="str">
            <v>Guanajuato</v>
          </cell>
          <cell r="K904" t="str">
            <v>México</v>
          </cell>
        </row>
        <row r="905">
          <cell r="A905">
            <v>907</v>
          </cell>
          <cell r="B905" t="str">
            <v>VBT Industrial S.A de C.V.</v>
          </cell>
          <cell r="D905" t="str">
            <v>Av. Laurel</v>
          </cell>
          <cell r="F905">
            <v>207</v>
          </cell>
          <cell r="G905" t="str">
            <v>Fracc. Industrial El Vergel</v>
          </cell>
          <cell r="H905">
            <v>38110</v>
          </cell>
          <cell r="I905" t="str">
            <v>Celaya</v>
          </cell>
          <cell r="J905" t="str">
            <v>Guanajuato</v>
          </cell>
          <cell r="K905" t="str">
            <v>México</v>
          </cell>
        </row>
        <row r="906">
          <cell r="A906">
            <v>908</v>
          </cell>
          <cell r="B906" t="str">
            <v>AUTOLIV  MEXICO,S.A. DE C.V.                                                            </v>
          </cell>
          <cell r="C906" t="str">
            <v>-</v>
          </cell>
          <cell r="D906" t="str">
            <v>Avenida de los Sauces</v>
          </cell>
          <cell r="E906" t="str">
            <v>-</v>
          </cell>
          <cell r="F906">
            <v>9</v>
          </cell>
          <cell r="G906" t="str">
            <v>Fraccionamiento Industrial Lerma</v>
          </cell>
          <cell r="H906">
            <v>52000</v>
          </cell>
          <cell r="I906" t="str">
            <v>Lerma</v>
          </cell>
          <cell r="J906" t="str">
            <v>Estado de Mexico</v>
          </cell>
          <cell r="K906" t="str">
            <v>México</v>
          </cell>
        </row>
        <row r="907">
          <cell r="A907">
            <v>909</v>
          </cell>
          <cell r="B907" t="str">
            <v>Crio S.A de C.V.</v>
          </cell>
          <cell r="C907" t="str">
            <v>-</v>
          </cell>
          <cell r="D907" t="str">
            <v>Calle. 3</v>
          </cell>
          <cell r="E907" t="str">
            <v>-</v>
          </cell>
          <cell r="F907">
            <v>11</v>
          </cell>
          <cell r="G907" t="str">
            <v>Zona Industrial Benito Juarez</v>
          </cell>
          <cell r="H907">
            <v>76120</v>
          </cell>
          <cell r="I907" t="str">
            <v>Queretaro</v>
          </cell>
          <cell r="J907" t="str">
            <v>Queretaro</v>
          </cell>
          <cell r="K907" t="str">
            <v>México</v>
          </cell>
        </row>
        <row r="908">
          <cell r="A908">
            <v>910</v>
          </cell>
          <cell r="B908" t="str">
            <v>Valeo Powertrain Thermal Systems </v>
          </cell>
          <cell r="C908" t="str">
            <v>-</v>
          </cell>
          <cell r="D908" t="str">
            <v>Eje 130</v>
          </cell>
          <cell r="E908" t="str">
            <v>-</v>
          </cell>
          <cell r="F908" t="str">
            <v>-</v>
          </cell>
          <cell r="G908" t="str">
            <v>Zona Industrial</v>
          </cell>
          <cell r="H908">
            <v>78395</v>
          </cell>
          <cell r="I908" t="str">
            <v>San Luis Potosí</v>
          </cell>
          <cell r="J908" t="str">
            <v>San Luis Potosí</v>
          </cell>
          <cell r="K908" t="str">
            <v>México</v>
          </cell>
        </row>
        <row r="909">
          <cell r="A909">
            <v>911</v>
          </cell>
          <cell r="B909" t="str">
            <v>MA GRACIELA ZEA ROMERO</v>
          </cell>
          <cell r="C909" t="str">
            <v>-</v>
          </cell>
          <cell r="D909" t="str">
            <v xml:space="preserve">Avenida Hidalgo </v>
          </cell>
          <cell r="E909" t="str">
            <v>-</v>
          </cell>
          <cell r="F909" t="str">
            <v>S/N</v>
          </cell>
          <cell r="G909" t="str">
            <v>San Fandila</v>
          </cell>
          <cell r="H909">
            <v>76705</v>
          </cell>
          <cell r="I909" t="str">
            <v>Pedro Escobedo</v>
          </cell>
          <cell r="J909" t="str">
            <v>Queretaro</v>
          </cell>
          <cell r="K909" t="str">
            <v>México</v>
          </cell>
        </row>
        <row r="910">
          <cell r="A910">
            <v>912</v>
          </cell>
          <cell r="B910" t="str">
            <v>Novem Car Interior Design México, S.A. de C.V.</v>
          </cell>
          <cell r="C910" t="str">
            <v>-</v>
          </cell>
          <cell r="D910" t="str">
            <v>Jurica</v>
          </cell>
          <cell r="E910" t="str">
            <v>-</v>
          </cell>
          <cell r="F910">
            <v>113</v>
          </cell>
          <cell r="G910" t="str">
            <v>Parque Industrial Queretaro</v>
          </cell>
          <cell r="H910">
            <v>76220</v>
          </cell>
          <cell r="I910" t="str">
            <v>Queretaro</v>
          </cell>
          <cell r="J910" t="str">
            <v>Queretaro</v>
          </cell>
          <cell r="K910" t="str">
            <v>México</v>
          </cell>
        </row>
        <row r="911">
          <cell r="A911">
            <v>913</v>
          </cell>
          <cell r="B911" t="str">
            <v>Young Chem, S.A. de C.V.</v>
          </cell>
          <cell r="C911" t="str">
            <v>-</v>
          </cell>
          <cell r="D911" t="str">
            <v>Avenida Jurica</v>
          </cell>
          <cell r="E911" t="str">
            <v>-</v>
          </cell>
          <cell r="F911">
            <v>103</v>
          </cell>
          <cell r="G911" t="str">
            <v>Parque Industrial Queretaro</v>
          </cell>
          <cell r="H911">
            <v>76220</v>
          </cell>
          <cell r="I911" t="str">
            <v>Queretaro</v>
          </cell>
          <cell r="J911" t="str">
            <v>Queretaro</v>
          </cell>
          <cell r="K911" t="str">
            <v>México</v>
          </cell>
        </row>
        <row r="912">
          <cell r="A912">
            <v>914</v>
          </cell>
          <cell r="B912" t="str">
            <v>DR. ENC. S.A. de C.V.</v>
          </cell>
          <cell r="C912" t="str">
            <v>-</v>
          </cell>
          <cell r="D912" t="str">
            <v xml:space="preserve">Avenida Manufacturas </v>
          </cell>
          <cell r="E912" t="str">
            <v>-</v>
          </cell>
          <cell r="F912">
            <v>622</v>
          </cell>
          <cell r="G912" t="str">
            <v>Parque Industrial Queretaro</v>
          </cell>
          <cell r="H912">
            <v>76230</v>
          </cell>
          <cell r="I912" t="str">
            <v>Santa Rosa Jáuregui</v>
          </cell>
          <cell r="J912" t="str">
            <v>Queretaro</v>
          </cell>
          <cell r="K912" t="str">
            <v>México</v>
          </cell>
          <cell r="O912" t="str">
            <v>PLANTA 1</v>
          </cell>
        </row>
        <row r="913">
          <cell r="A913">
            <v>915</v>
          </cell>
          <cell r="B913" t="str">
            <v>Ingredion México, S.A. de C.V. </v>
          </cell>
          <cell r="C913" t="str">
            <v>-</v>
          </cell>
          <cell r="D913" t="str">
            <v>Constituyentes</v>
          </cell>
          <cell r="E913" t="str">
            <v>-</v>
          </cell>
          <cell r="F913">
            <v>149</v>
          </cell>
          <cell r="G913" t="str">
            <v>Zona Industrial Valle de Oro</v>
          </cell>
          <cell r="H913">
            <v>76802</v>
          </cell>
          <cell r="I913" t="str">
            <v>San Juan del Río</v>
          </cell>
          <cell r="J913" t="str">
            <v>Queretaro</v>
          </cell>
          <cell r="K913" t="str">
            <v>México</v>
          </cell>
        </row>
        <row r="914">
          <cell r="A914">
            <v>916</v>
          </cell>
          <cell r="B914" t="str">
            <v>Trinity Industries de México, S. de R.L. de C.V.</v>
          </cell>
          <cell r="C914" t="str">
            <v>-</v>
          </cell>
          <cell r="D914" t="str">
            <v>Almacén Planta 320, Av. Francisco I. Madero</v>
          </cell>
          <cell r="E914" t="str">
            <v>-</v>
          </cell>
          <cell r="F914" t="str">
            <v>-</v>
          </cell>
          <cell r="G914" t="str">
            <v>Zona Industrial</v>
          </cell>
          <cell r="H914">
            <v>25650</v>
          </cell>
          <cell r="I914" t="str">
            <v>Frontera</v>
          </cell>
          <cell r="J914" t="str">
            <v>Coahuila</v>
          </cell>
          <cell r="K914" t="str">
            <v>México</v>
          </cell>
        </row>
        <row r="915">
          <cell r="A915">
            <v>917</v>
          </cell>
          <cell r="B915" t="str">
            <v>Herramientas, Refacciones y Accesorios S. de R.L. de C.V.</v>
          </cell>
          <cell r="C915" t="str">
            <v>-</v>
          </cell>
          <cell r="D915" t="str">
            <v xml:space="preserve">Gonzálo Río Arronte </v>
          </cell>
          <cell r="E915" t="str">
            <v>-</v>
          </cell>
          <cell r="F915">
            <v>9</v>
          </cell>
          <cell r="G915" t="str">
            <v>Villas del Sur</v>
          </cell>
          <cell r="H915">
            <v>76040</v>
          </cell>
          <cell r="I915" t="str">
            <v>Queretaro</v>
          </cell>
          <cell r="J915" t="str">
            <v>Queretaro</v>
          </cell>
          <cell r="K915" t="str">
            <v>México</v>
          </cell>
        </row>
        <row r="916">
          <cell r="A916">
            <v>918</v>
          </cell>
          <cell r="B916" t="str">
            <v>Motores Domésticos de Piedras Negras S. de R.L. de C.V</v>
          </cell>
          <cell r="C916" t="str">
            <v>-</v>
          </cell>
          <cell r="D916" t="str">
            <v xml:space="preserve">Parque Industrial Amistad </v>
          </cell>
          <cell r="E916" t="str">
            <v>-</v>
          </cell>
          <cell r="F916" t="str">
            <v>S/N</v>
          </cell>
          <cell r="G916" t="str">
            <v>Lomas del Norte</v>
          </cell>
          <cell r="H916">
            <v>26089</v>
          </cell>
          <cell r="I916" t="str">
            <v>Piedras Negras</v>
          </cell>
          <cell r="J916" t="str">
            <v>Coahuila</v>
          </cell>
          <cell r="K916" t="str">
            <v>México</v>
          </cell>
          <cell r="O916" t="str">
            <v>Efren.Contreras@RegalBeloit.com</v>
          </cell>
        </row>
        <row r="917">
          <cell r="A917">
            <v>919</v>
          </cell>
          <cell r="B917" t="str">
            <v>Kimpen, S.A. de C.V.</v>
          </cell>
          <cell r="C917" t="str">
            <v>-</v>
          </cell>
          <cell r="D917" t="str">
            <v>Calle 3 Tablaje Catastral 19097  x 30 Anillo Periferico</v>
          </cell>
          <cell r="E917" t="str">
            <v>-</v>
          </cell>
          <cell r="F917" t="str">
            <v>S/N</v>
          </cell>
          <cell r="G917" t="str">
            <v>Pacabtún</v>
          </cell>
          <cell r="H917">
            <v>97160</v>
          </cell>
          <cell r="I917" t="str">
            <v>Merida</v>
          </cell>
          <cell r="J917" t="str">
            <v>Yucatan</v>
          </cell>
          <cell r="K917" t="str">
            <v>México</v>
          </cell>
        </row>
        <row r="918">
          <cell r="A918">
            <v>920</v>
          </cell>
          <cell r="B918" t="str">
            <v>Proplast de Querétaro, S. de R.L. de C.V.</v>
          </cell>
          <cell r="C918" t="str">
            <v>-</v>
          </cell>
          <cell r="D918" t="str">
            <v>Av Cantereros</v>
          </cell>
          <cell r="E918" t="str">
            <v>-</v>
          </cell>
          <cell r="F918">
            <v>3</v>
          </cell>
          <cell r="G918" t="str">
            <v>Parque Industrial Bernardo Quintana</v>
          </cell>
          <cell r="H918">
            <v>76246</v>
          </cell>
          <cell r="I918" t="str">
            <v>Queretaro</v>
          </cell>
          <cell r="J918" t="str">
            <v>Queretaro</v>
          </cell>
          <cell r="K918" t="str">
            <v>México</v>
          </cell>
        </row>
        <row r="919">
          <cell r="A919">
            <v>921</v>
          </cell>
          <cell r="B919" t="str">
            <v>Merkle-Korff Industries de México, S.A. de C.V.</v>
          </cell>
          <cell r="C919" t="str">
            <v>-</v>
          </cell>
          <cell r="D919" t="str">
            <v xml:space="preserve">Av. Del Siglo </v>
          </cell>
          <cell r="E919" t="str">
            <v>-</v>
          </cell>
          <cell r="F919">
            <v>295</v>
          </cell>
          <cell r="G919" t="str">
            <v>Parque Industrial Millennium</v>
          </cell>
          <cell r="H919">
            <v>78395</v>
          </cell>
          <cell r="I919" t="str">
            <v>San Luis Potosí</v>
          </cell>
          <cell r="J919" t="str">
            <v>San Luis Potosí</v>
          </cell>
          <cell r="K919" t="str">
            <v>México</v>
          </cell>
        </row>
        <row r="920">
          <cell r="A920">
            <v>922</v>
          </cell>
          <cell r="B920" t="str">
            <v>CMS International S.A. de C.V.</v>
          </cell>
          <cell r="C920" t="str">
            <v>-</v>
          </cell>
          <cell r="D920" t="str">
            <v>Calzada de las Armas</v>
          </cell>
          <cell r="E920" t="str">
            <v>-</v>
          </cell>
          <cell r="F920">
            <v>122</v>
          </cell>
          <cell r="G920" t="str">
            <v>Industrial las Armas</v>
          </cell>
          <cell r="H920">
            <v>54080</v>
          </cell>
          <cell r="I920" t="str">
            <v xml:space="preserve">Tlalnepantla   </v>
          </cell>
          <cell r="J920" t="str">
            <v>Estado de México</v>
          </cell>
          <cell r="K920" t="str">
            <v>México</v>
          </cell>
        </row>
        <row r="921">
          <cell r="A921">
            <v>923</v>
          </cell>
          <cell r="B921" t="str">
            <v>Comisión Federal de Electricidad</v>
          </cell>
          <cell r="C921" t="str">
            <v>-</v>
          </cell>
          <cell r="D921" t="str">
            <v>Av. Apaseo Oriente</v>
          </cell>
          <cell r="E921" t="str">
            <v>-</v>
          </cell>
          <cell r="F921" t="str">
            <v>-</v>
          </cell>
          <cell r="G921" t="str">
            <v>Ciudad Industrial Irapuato</v>
          </cell>
          <cell r="H921">
            <v>36541</v>
          </cell>
          <cell r="I921" t="str">
            <v>Irapuato</v>
          </cell>
          <cell r="J921" t="str">
            <v>Guanajuato</v>
          </cell>
          <cell r="K921" t="str">
            <v>México</v>
          </cell>
        </row>
        <row r="922">
          <cell r="A922">
            <v>924</v>
          </cell>
          <cell r="B922" t="str">
            <v>A&amp;C Metrology Services S. de R.L. de C.V.</v>
          </cell>
          <cell r="C922" t="str">
            <v>-</v>
          </cell>
          <cell r="D922" t="str">
            <v>Privada Galileo</v>
          </cell>
          <cell r="E922" t="str">
            <v>-</v>
          </cell>
          <cell r="F922">
            <v>1618</v>
          </cell>
          <cell r="G922" t="str">
            <v>Satelite</v>
          </cell>
          <cell r="H922">
            <v>72310</v>
          </cell>
          <cell r="I922" t="str">
            <v>Puebla</v>
          </cell>
          <cell r="J922" t="str">
            <v>Puebla</v>
          </cell>
          <cell r="K922" t="str">
            <v>México</v>
          </cell>
        </row>
        <row r="923">
          <cell r="A923">
            <v>925</v>
          </cell>
          <cell r="B923" t="str">
            <v>Services Inter Lab de México, S.A. de C.V.</v>
          </cell>
          <cell r="C923" t="str">
            <v>-</v>
          </cell>
          <cell r="D923" t="str">
            <v>Gregorio Mendez</v>
          </cell>
          <cell r="E923" t="str">
            <v>-</v>
          </cell>
          <cell r="F923">
            <v>512</v>
          </cell>
          <cell r="G923" t="str">
            <v>Punta Brava</v>
          </cell>
          <cell r="H923">
            <v>86150</v>
          </cell>
          <cell r="I923" t="str">
            <v>Villahermosa</v>
          </cell>
          <cell r="J923" t="str">
            <v xml:space="preserve">Tabasco, </v>
          </cell>
          <cell r="K923" t="str">
            <v>México</v>
          </cell>
        </row>
        <row r="924">
          <cell r="A924">
            <v>926</v>
          </cell>
          <cell r="B924" t="str">
            <v>BOCAR, S.A. de C.V.</v>
          </cell>
          <cell r="C924" t="str">
            <v>-</v>
          </cell>
          <cell r="D924" t="str">
            <v>Circuito de la Industria Norte</v>
          </cell>
          <cell r="E924" t="str">
            <v>-</v>
          </cell>
          <cell r="F924">
            <v>38</v>
          </cell>
          <cell r="G924" t="str">
            <v>Parque Industrial Lerma</v>
          </cell>
          <cell r="H924">
            <v>52000</v>
          </cell>
          <cell r="I924" t="str">
            <v>Lerma</v>
          </cell>
          <cell r="J924" t="str">
            <v>Estado de México</v>
          </cell>
          <cell r="K924" t="str">
            <v>México</v>
          </cell>
        </row>
        <row r="925">
          <cell r="A925">
            <v>927</v>
          </cell>
          <cell r="B925" t="str">
            <v>Maquinados Industriales J&amp;C S.A. de C.V.</v>
          </cell>
          <cell r="C925" t="str">
            <v>-</v>
          </cell>
          <cell r="D925" t="str">
            <v xml:space="preserve">Técnicos </v>
          </cell>
          <cell r="E925" t="str">
            <v>-</v>
          </cell>
          <cell r="F925">
            <v>28</v>
          </cell>
          <cell r="G925" t="str">
            <v>Peñuelas</v>
          </cell>
          <cell r="H925" t="str">
            <v>-</v>
          </cell>
          <cell r="I925" t="str">
            <v>Queretaro</v>
          </cell>
          <cell r="J925" t="str">
            <v>Queretaro</v>
          </cell>
          <cell r="K925" t="str">
            <v>México</v>
          </cell>
        </row>
        <row r="926">
          <cell r="A926">
            <v>928</v>
          </cell>
          <cell r="B926" t="str">
            <v>Sistemas Especializados de Diagnostico S.A. de C.V.</v>
          </cell>
          <cell r="C926" t="str">
            <v>-</v>
          </cell>
          <cell r="D926" t="str">
            <v>Juan de la Barrera</v>
          </cell>
          <cell r="E926" t="str">
            <v>-</v>
          </cell>
          <cell r="F926" t="str">
            <v>Sur 10-A</v>
          </cell>
          <cell r="G926" t="str">
            <v>Niños Héroes</v>
          </cell>
          <cell r="H926">
            <v>76010</v>
          </cell>
          <cell r="I926" t="str">
            <v>Queretaro</v>
          </cell>
          <cell r="J926" t="str">
            <v>Queretaro</v>
          </cell>
          <cell r="K926" t="str">
            <v>México</v>
          </cell>
        </row>
        <row r="927">
          <cell r="A927">
            <v>929</v>
          </cell>
          <cell r="B927" t="str">
            <v>Mezcladoras Y Trailers de Mexico S.A. de C.V.</v>
          </cell>
          <cell r="C927" t="str">
            <v>-</v>
          </cell>
          <cell r="D927" t="str">
            <v>Federal Mexico - Puebla Km. 126.5</v>
          </cell>
          <cell r="E927" t="str">
            <v>-</v>
          </cell>
          <cell r="F927" t="str">
            <v>S/N</v>
          </cell>
          <cell r="G927" t="str">
            <v>Momoxpan</v>
          </cell>
          <cell r="H927">
            <v>72760</v>
          </cell>
          <cell r="I927" t="str">
            <v>San Pedro Cholula</v>
          </cell>
          <cell r="J927" t="str">
            <v>Puebla</v>
          </cell>
          <cell r="K927" t="str">
            <v>México</v>
          </cell>
        </row>
        <row r="928">
          <cell r="A928">
            <v>930</v>
          </cell>
          <cell r="B928" t="str">
            <v>Hitachi Automotive Systems México, S.A. de C.V.</v>
          </cell>
          <cell r="C928" t="str">
            <v>-</v>
          </cell>
          <cell r="D928" t="str">
            <v xml:space="preserve">Avenida del Parque </v>
          </cell>
          <cell r="E928" t="str">
            <v>-</v>
          </cell>
          <cell r="F928">
            <v>8</v>
          </cell>
          <cell r="G928" t="str">
            <v xml:space="preserve">Parque Industrial Lerma </v>
          </cell>
          <cell r="H928">
            <v>52000</v>
          </cell>
          <cell r="I928" t="str">
            <v>Lerma</v>
          </cell>
          <cell r="J928" t="str">
            <v>Estado de México</v>
          </cell>
          <cell r="K928" t="str">
            <v>México</v>
          </cell>
        </row>
        <row r="929">
          <cell r="A929">
            <v>931</v>
          </cell>
          <cell r="B929" t="str">
            <v>Pirelli Neumáticos, S.A. de C.V.</v>
          </cell>
          <cell r="C929" t="str">
            <v>-</v>
          </cell>
          <cell r="D929" t="str">
            <v>Mineral de Peñafiel</v>
          </cell>
          <cell r="E929" t="str">
            <v>-</v>
          </cell>
          <cell r="F929">
            <v>402</v>
          </cell>
          <cell r="G929" t="str">
            <v>Puerto Interior</v>
          </cell>
          <cell r="H929">
            <v>36275</v>
          </cell>
          <cell r="I929" t="str">
            <v>Silao</v>
          </cell>
          <cell r="J929" t="str">
            <v>Guanajuato</v>
          </cell>
          <cell r="K929" t="str">
            <v>México</v>
          </cell>
        </row>
        <row r="930">
          <cell r="A930">
            <v>932</v>
          </cell>
          <cell r="B930" t="str">
            <v>AS MAQUILA MEXICO S. DE R.L. DE C.V.</v>
          </cell>
          <cell r="C930" t="str">
            <v>-</v>
          </cell>
          <cell r="D930" t="str">
            <v xml:space="preserve">Km 22 Carretera Puebla - Sta Ana Vía Corta </v>
          </cell>
          <cell r="E930" t="str">
            <v>-</v>
          </cell>
          <cell r="F930" t="str">
            <v>S/N</v>
          </cell>
          <cell r="G930" t="str">
            <v xml:space="preserve">La Magdalena </v>
          </cell>
          <cell r="H930" t="str">
            <v>-</v>
          </cell>
          <cell r="I930" t="str">
            <v>La Magdalena Tlaltelulco</v>
          </cell>
          <cell r="J930" t="str">
            <v>Tlaxcala</v>
          </cell>
          <cell r="K930" t="str">
            <v>México</v>
          </cell>
        </row>
        <row r="931">
          <cell r="A931">
            <v>933</v>
          </cell>
          <cell r="B931" t="str">
            <v>Hiroma Plast S.A. de C.V.</v>
          </cell>
          <cell r="C931" t="str">
            <v>-</v>
          </cell>
          <cell r="D931" t="str">
            <v>Carretera San Antonio Calichar km 0.5</v>
          </cell>
          <cell r="E931" t="str">
            <v>-</v>
          </cell>
          <cell r="F931" t="str">
            <v>-</v>
          </cell>
          <cell r="G931" t="str">
            <v>-</v>
          </cell>
          <cell r="H931">
            <v>38500</v>
          </cell>
          <cell r="I931" t="str">
            <v xml:space="preserve">Apaseo el Alto </v>
          </cell>
          <cell r="J931" t="str">
            <v>Guanajuato</v>
          </cell>
          <cell r="K931" t="str">
            <v>México</v>
          </cell>
        </row>
        <row r="932">
          <cell r="A932">
            <v>934</v>
          </cell>
          <cell r="B932" t="str">
            <v>Grupo USA Motors, S.A. de C.V.</v>
          </cell>
          <cell r="C932" t="str">
            <v>-</v>
          </cell>
          <cell r="D932" t="str">
            <v>Constituyentes</v>
          </cell>
          <cell r="E932" t="str">
            <v>-</v>
          </cell>
          <cell r="F932">
            <v>191</v>
          </cell>
          <cell r="G932" t="str">
            <v>Casa Blanca</v>
          </cell>
          <cell r="H932" t="str">
            <v>-</v>
          </cell>
          <cell r="I932" t="str">
            <v>Queretaro</v>
          </cell>
          <cell r="J932" t="str">
            <v>Queretaro</v>
          </cell>
          <cell r="K932" t="str">
            <v>México</v>
          </cell>
        </row>
        <row r="933">
          <cell r="A933">
            <v>935</v>
          </cell>
          <cell r="B933" t="str">
            <v>Abba Metrología, S.A. de C.V.</v>
          </cell>
          <cell r="C933" t="str">
            <v>-</v>
          </cell>
          <cell r="D933" t="str">
            <v>Cuauhtemoc</v>
          </cell>
          <cell r="E933" t="str">
            <v>-</v>
          </cell>
          <cell r="F933">
            <v>293</v>
          </cell>
          <cell r="G933" t="str">
            <v>La Romana</v>
          </cell>
          <cell r="H933">
            <v>54030</v>
          </cell>
          <cell r="I933" t="str">
            <v xml:space="preserve">Tlalnepantla </v>
          </cell>
          <cell r="J933" t="str">
            <v>Estado de Mexico</v>
          </cell>
          <cell r="K933" t="str">
            <v>México</v>
          </cell>
        </row>
        <row r="934">
          <cell r="A934">
            <v>936</v>
          </cell>
          <cell r="B934" t="str">
            <v>Equipos y Herramientas Nacionales, S.A. de C.V.</v>
          </cell>
          <cell r="C934" t="str">
            <v>-</v>
          </cell>
          <cell r="D934" t="str">
            <v>Avenida Framboyanes</v>
          </cell>
          <cell r="E934" t="str">
            <v>Manzana 2</v>
          </cell>
          <cell r="F934" t="str">
            <v>Lote 8</v>
          </cell>
          <cell r="G934" t="str">
            <v>Ciudad Industrial Bruno Pagliai</v>
          </cell>
          <cell r="H934" t="str">
            <v>-</v>
          </cell>
          <cell r="I934" t="str">
            <v>Veracruz</v>
          </cell>
          <cell r="J934" t="str">
            <v>Veracruz</v>
          </cell>
          <cell r="K934" t="str">
            <v>México</v>
          </cell>
        </row>
        <row r="935">
          <cell r="A935">
            <v>937</v>
          </cell>
          <cell r="B935" t="str">
            <v>Felix Cabrera Lagos</v>
          </cell>
          <cell r="C935" t="str">
            <v>-</v>
          </cell>
          <cell r="D935" t="str">
            <v>Yucatan</v>
          </cell>
          <cell r="E935" t="str">
            <v>Manzana 25</v>
          </cell>
          <cell r="F935" t="str">
            <v>Lote 295</v>
          </cell>
          <cell r="G935" t="str">
            <v>Guadalupe Chalma</v>
          </cell>
          <cell r="H935">
            <v>7210</v>
          </cell>
          <cell r="I935" t="str">
            <v>Gustavo A. Madero</v>
          </cell>
          <cell r="J935" t="str">
            <v>Distrito Federal</v>
          </cell>
          <cell r="K935" t="str">
            <v>México</v>
          </cell>
        </row>
        <row r="936">
          <cell r="A936">
            <v>938</v>
          </cell>
          <cell r="B936" t="str">
            <v>Westrock MWV, S.A. de C.V.</v>
          </cell>
          <cell r="C936" t="str">
            <v>-</v>
          </cell>
          <cell r="D936" t="str">
            <v>Circuito Exportación, Segunda Etapa</v>
          </cell>
          <cell r="E936" t="str">
            <v>-</v>
          </cell>
          <cell r="F936">
            <v>371</v>
          </cell>
          <cell r="G936" t="str">
            <v>Parque Industrial 3 Naciones</v>
          </cell>
          <cell r="H936">
            <v>78395</v>
          </cell>
          <cell r="I936" t="str">
            <v>San Luis Potosí</v>
          </cell>
          <cell r="J936" t="str">
            <v>San Luis Potosí</v>
          </cell>
          <cell r="K936" t="str">
            <v>México</v>
          </cell>
        </row>
        <row r="937">
          <cell r="A937">
            <v>939</v>
          </cell>
          <cell r="B937" t="str">
            <v>DENSO DE MÉXICO, S.A. de C.V.</v>
          </cell>
          <cell r="C937" t="str">
            <v>-</v>
          </cell>
          <cell r="D937" t="str">
            <v>Boulevard Mineral de Peñafiel</v>
          </cell>
          <cell r="E937" t="str">
            <v>-</v>
          </cell>
          <cell r="F937">
            <v>330</v>
          </cell>
          <cell r="G937" t="str">
            <v>Puerto Interior, Parque Industrial Santa Fe II</v>
          </cell>
          <cell r="H937">
            <v>36275</v>
          </cell>
          <cell r="I937" t="str">
            <v>Silao</v>
          </cell>
          <cell r="J937" t="str">
            <v>Guanajuato</v>
          </cell>
          <cell r="K937" t="str">
            <v>México</v>
          </cell>
        </row>
        <row r="938">
          <cell r="A938">
            <v>940</v>
          </cell>
          <cell r="B938" t="str">
            <v>NISSAN MEXICANA S.A. DE C.V.</v>
          </cell>
          <cell r="C938" t="str">
            <v>-</v>
          </cell>
          <cell r="D938" t="str">
            <v>Carretera Lagos de Moreno Km. 75</v>
          </cell>
          <cell r="E938" t="str">
            <v>-</v>
          </cell>
          <cell r="F938" t="str">
            <v>-</v>
          </cell>
          <cell r="G938" t="str">
            <v>-</v>
          </cell>
          <cell r="H938" t="str">
            <v>-</v>
          </cell>
          <cell r="I938" t="str">
            <v>Aguascalientes</v>
          </cell>
          <cell r="J938" t="str">
            <v>Aguascalientes</v>
          </cell>
          <cell r="K938" t="str">
            <v>México</v>
          </cell>
        </row>
        <row r="939">
          <cell r="A939">
            <v>941</v>
          </cell>
          <cell r="B939" t="str">
            <v>Danisco Mexicana S.A. de C.V</v>
          </cell>
          <cell r="C939" t="str">
            <v>-</v>
          </cell>
          <cell r="D939" t="str">
            <v>Carretera Colima - Manzanillo Km 37</v>
          </cell>
          <cell r="E939" t="str">
            <v>-</v>
          </cell>
          <cell r="F939" t="str">
            <v>-</v>
          </cell>
          <cell r="G939" t="str">
            <v>-</v>
          </cell>
          <cell r="H939">
            <v>28100</v>
          </cell>
          <cell r="I939" t="str">
            <v>Tecomán</v>
          </cell>
          <cell r="J939" t="str">
            <v>Colima</v>
          </cell>
          <cell r="K939" t="str">
            <v>México</v>
          </cell>
        </row>
        <row r="940">
          <cell r="A940">
            <v>942</v>
          </cell>
          <cell r="B940" t="str">
            <v>Las Encinas S.A. de C.V.</v>
          </cell>
          <cell r="C940" t="str">
            <v>-</v>
          </cell>
          <cell r="D940" t="str">
            <v>Estación Alzada Cuauhtémoc</v>
          </cell>
          <cell r="E940" t="str">
            <v>-</v>
          </cell>
          <cell r="F940" t="str">
            <v>S/N</v>
          </cell>
          <cell r="G940" t="str">
            <v>-</v>
          </cell>
          <cell r="H940">
            <v>28509</v>
          </cell>
          <cell r="I940" t="str">
            <v>Alzada</v>
          </cell>
          <cell r="J940" t="str">
            <v>Colima</v>
          </cell>
          <cell r="K940" t="str">
            <v>México</v>
          </cell>
        </row>
        <row r="941">
          <cell r="A941">
            <v>943</v>
          </cell>
          <cell r="B941" t="str">
            <v xml:space="preserve">ICA FLUOR DANIEL, S. DE R.L. DE C.V.   </v>
          </cell>
          <cell r="C941" t="str">
            <v>-</v>
          </cell>
          <cell r="D941" t="str">
            <v>Dakota</v>
          </cell>
          <cell r="E941" t="str">
            <v>-</v>
          </cell>
          <cell r="F941">
            <v>95</v>
          </cell>
          <cell r="G941" t="str">
            <v>Napoles</v>
          </cell>
          <cell r="H941" t="str">
            <v>03810</v>
          </cell>
          <cell r="I941" t="str">
            <v>-</v>
          </cell>
          <cell r="J941" t="str">
            <v>Distrito Federal</v>
          </cell>
          <cell r="K941" t="str">
            <v>México</v>
          </cell>
        </row>
        <row r="942">
          <cell r="A942">
            <v>944</v>
          </cell>
          <cell r="B942" t="str">
            <v>Swoboda Mechatronics S.A. de C.V.</v>
          </cell>
          <cell r="C942" t="str">
            <v>-</v>
          </cell>
          <cell r="D942" t="str">
            <v>Raramuri</v>
          </cell>
          <cell r="E942" t="str">
            <v>-</v>
          </cell>
          <cell r="F942">
            <v>3</v>
          </cell>
          <cell r="G942" t="str">
            <v>Parque Industrial Nuevo San Juan</v>
          </cell>
          <cell r="H942">
            <v>76806</v>
          </cell>
          <cell r="I942" t="str">
            <v>San Juan del Río</v>
          </cell>
          <cell r="J942" t="str">
            <v>Queretaro</v>
          </cell>
          <cell r="K942" t="str">
            <v>México</v>
          </cell>
        </row>
        <row r="943">
          <cell r="A943">
            <v>945</v>
          </cell>
          <cell r="B943" t="str">
            <v>American Axle &amp; Manufacturing de México</v>
          </cell>
          <cell r="C943" t="str">
            <v>-</v>
          </cell>
          <cell r="D943" t="str">
            <v xml:space="preserve">Av. Comerciantes </v>
          </cell>
          <cell r="E943" t="str">
            <v>-</v>
          </cell>
          <cell r="F943">
            <v>1300</v>
          </cell>
          <cell r="G943" t="str">
            <v>Carr. Silao-Irapuato km. 5.3</v>
          </cell>
          <cell r="H943">
            <v>36100</v>
          </cell>
          <cell r="I943" t="str">
            <v>Parque Industrial Fipasi</v>
          </cell>
          <cell r="J943" t="str">
            <v>Silao</v>
          </cell>
          <cell r="K943" t="str">
            <v>México</v>
          </cell>
          <cell r="O943" t="str">
            <v>Maria.CamarilloMolina@aam.com</v>
          </cell>
        </row>
        <row r="944">
          <cell r="A944">
            <v>946</v>
          </cell>
          <cell r="B944" t="str">
            <v>Colors and Colors.</v>
          </cell>
          <cell r="C944" t="str">
            <v>-</v>
          </cell>
          <cell r="D944" t="str">
            <v xml:space="preserve">Benito Juárez </v>
          </cell>
          <cell r="E944" t="str">
            <v>-</v>
          </cell>
          <cell r="F944">
            <v>20</v>
          </cell>
          <cell r="G944" t="str">
            <v>San Antonio Calichar</v>
          </cell>
          <cell r="H944">
            <v>38512</v>
          </cell>
          <cell r="I944" t="str">
            <v>Apaseo el Alto</v>
          </cell>
          <cell r="J944" t="str">
            <v>Guanajuato</v>
          </cell>
          <cell r="K944" t="str">
            <v>México</v>
          </cell>
        </row>
        <row r="945">
          <cell r="A945">
            <v>947</v>
          </cell>
          <cell r="B945" t="str">
            <v>KALIBRIXCAL S.A. de C.V.</v>
          </cell>
          <cell r="C945" t="str">
            <v>-</v>
          </cell>
          <cell r="D945" t="str">
            <v xml:space="preserve">Av. Colinas del Cimatario </v>
          </cell>
          <cell r="E945" t="str">
            <v>-</v>
          </cell>
          <cell r="F945">
            <v>381</v>
          </cell>
          <cell r="G945" t="str">
            <v xml:space="preserve">Colinas del Cimatario </v>
          </cell>
          <cell r="H945">
            <v>76090</v>
          </cell>
          <cell r="I945" t="str">
            <v>Queretaro</v>
          </cell>
          <cell r="J945" t="str">
            <v xml:space="preserve">Queretaro, </v>
          </cell>
          <cell r="K945" t="str">
            <v>México</v>
          </cell>
        </row>
        <row r="946">
          <cell r="A946">
            <v>948</v>
          </cell>
          <cell r="B946" t="str">
            <v>Yutaka Technologies de México S.A. de C.V.</v>
          </cell>
          <cell r="C946" t="str">
            <v>-</v>
          </cell>
          <cell r="D946" t="str">
            <v xml:space="preserve">Av. Apaseo el Grande </v>
          </cell>
          <cell r="E946" t="str">
            <v>-</v>
          </cell>
          <cell r="F946">
            <v>102</v>
          </cell>
          <cell r="G946" t="str">
            <v xml:space="preserve">Parque Industrial Amistad </v>
          </cell>
          <cell r="H946">
            <v>38160</v>
          </cell>
          <cell r="I946" t="str">
            <v>Apaseo el Grande</v>
          </cell>
          <cell r="J946" t="str">
            <v>Guanajuato</v>
          </cell>
          <cell r="K946" t="str">
            <v>México</v>
          </cell>
        </row>
        <row r="947">
          <cell r="A947">
            <v>949</v>
          </cell>
          <cell r="B947" t="str">
            <v>BAYER DE MÉXICO, S.A. de C.V.</v>
          </cell>
          <cell r="C947" t="str">
            <v>-</v>
          </cell>
          <cell r="D947" t="str">
            <v>Carretera Autopista San Martín Texmelucan-Tlaxcala Km 6.5</v>
          </cell>
          <cell r="E947" t="str">
            <v>-</v>
          </cell>
          <cell r="F947" t="str">
            <v>S/N</v>
          </cell>
          <cell r="G947" t="str">
            <v>San F. Ixtacuixtla</v>
          </cell>
          <cell r="H947">
            <v>90120</v>
          </cell>
          <cell r="I947" t="str">
            <v>Ixtacuixtla de Mariano Matamoros</v>
          </cell>
          <cell r="J947" t="str">
            <v>Tlaxcala</v>
          </cell>
          <cell r="K947" t="str">
            <v>México</v>
          </cell>
        </row>
        <row r="948">
          <cell r="A948">
            <v>950</v>
          </cell>
          <cell r="B948" t="str">
            <v>BorgWarner Turbo and Emissions Systems de México, S.A. de C.V.</v>
          </cell>
          <cell r="C948" t="str">
            <v>-</v>
          </cell>
          <cell r="D948" t="str">
            <v>Blvd. Kappa</v>
          </cell>
          <cell r="E948" t="str">
            <v>B</v>
          </cell>
          <cell r="F948">
            <v>1125</v>
          </cell>
          <cell r="G948" t="str">
            <v>Parque Industrial Santa María</v>
          </cell>
          <cell r="H948">
            <v>25903</v>
          </cell>
          <cell r="I948" t="str">
            <v>Ramos Arizpe</v>
          </cell>
          <cell r="J948" t="str">
            <v>Coahuila</v>
          </cell>
          <cell r="K948" t="str">
            <v>México</v>
          </cell>
        </row>
        <row r="949">
          <cell r="A949">
            <v>951</v>
          </cell>
          <cell r="B949" t="str">
            <v>Prefabricados Dragón, S.A. de C.V.</v>
          </cell>
          <cell r="C949" t="str">
            <v>-</v>
          </cell>
          <cell r="D949" t="str">
            <v>Ejido Malvas Parcela 89Z 1 P 1 P 11</v>
          </cell>
          <cell r="E949" t="str">
            <v>-</v>
          </cell>
          <cell r="F949" t="str">
            <v>S/N</v>
          </cell>
          <cell r="G949" t="str">
            <v>Las Malvas</v>
          </cell>
          <cell r="H949">
            <v>36826</v>
          </cell>
          <cell r="I949" t="str">
            <v>Irapuato</v>
          </cell>
          <cell r="J949" t="str">
            <v>Guanajuato</v>
          </cell>
          <cell r="K949" t="str">
            <v>México</v>
          </cell>
        </row>
        <row r="950">
          <cell r="A950">
            <v>952</v>
          </cell>
          <cell r="B950" t="str">
            <v>Mavic de Queretaro, S.A. de C.V.</v>
          </cell>
          <cell r="C950" t="str">
            <v>-</v>
          </cell>
          <cell r="D950" t="str">
            <v xml:space="preserve">Av. Universidad </v>
          </cell>
          <cell r="F950" t="str">
            <v>176 Pte.</v>
          </cell>
          <cell r="G950" t="str">
            <v>Centro</v>
          </cell>
          <cell r="H950" t="str">
            <v>-</v>
          </cell>
          <cell r="I950" t="str">
            <v>Queretaro</v>
          </cell>
          <cell r="J950" t="str">
            <v>Queretaro</v>
          </cell>
          <cell r="K950" t="str">
            <v>México</v>
          </cell>
        </row>
        <row r="951">
          <cell r="A951">
            <v>953</v>
          </cell>
          <cell r="B951" t="str">
            <v>HERRAJES Y ACABADOS METALICOS, S.A. DE C.V.</v>
          </cell>
          <cell r="C951" t="str">
            <v>-</v>
          </cell>
          <cell r="D951" t="str">
            <v>Norte 45</v>
          </cell>
          <cell r="E951" t="str">
            <v>-</v>
          </cell>
          <cell r="F951">
            <v>899</v>
          </cell>
          <cell r="G951" t="str">
            <v>Industrial Vallejo</v>
          </cell>
          <cell r="H951">
            <v>2300</v>
          </cell>
          <cell r="I951" t="str">
            <v>Azcapotzalco</v>
          </cell>
          <cell r="J951" t="str">
            <v>Distrito Federal</v>
          </cell>
          <cell r="K951" t="str">
            <v>México</v>
          </cell>
        </row>
        <row r="952">
          <cell r="A952">
            <v>954</v>
          </cell>
          <cell r="B952" t="str">
            <v>Empadora San Marcos S.A. de C.V.</v>
          </cell>
          <cell r="C952" t="str">
            <v>ESM841129CV1</v>
          </cell>
          <cell r="D952" t="str">
            <v>Carretera Puebla-Amozoc-Oriental Km 54</v>
          </cell>
          <cell r="E952" t="str">
            <v>S/N</v>
          </cell>
          <cell r="F952" t="str">
            <v>S/N</v>
          </cell>
          <cell r="G952" t="str">
            <v>N/A</v>
          </cell>
          <cell r="H952">
            <v>75120</v>
          </cell>
          <cell r="I952" t="str">
            <v>Napalucan</v>
          </cell>
          <cell r="J952" t="str">
            <v>Puebla</v>
          </cell>
          <cell r="K952" t="str">
            <v>México</v>
          </cell>
        </row>
        <row r="953">
          <cell r="A953">
            <v>955</v>
          </cell>
          <cell r="B953" t="str">
            <v>Bio Pappel Products, S.A. de C.V.</v>
          </cell>
          <cell r="C953" t="str">
            <v>-</v>
          </cell>
          <cell r="D953" t="str">
            <v xml:space="preserve">Avenida San Bartolo </v>
          </cell>
          <cell r="E953" t="str">
            <v>-</v>
          </cell>
          <cell r="F953">
            <v>435</v>
          </cell>
          <cell r="G953" t="str">
            <v>El Campanario</v>
          </cell>
          <cell r="H953">
            <v>49090</v>
          </cell>
          <cell r="I953" t="str">
            <v>Ciudad Guzmán</v>
          </cell>
          <cell r="J953" t="str">
            <v>Jalisco</v>
          </cell>
          <cell r="K953" t="str">
            <v>México</v>
          </cell>
        </row>
        <row r="954">
          <cell r="A954">
            <v>956</v>
          </cell>
          <cell r="B954" t="str">
            <v>JAZA INGENIERIA S.A. DE C.V.</v>
          </cell>
          <cell r="C954" t="str">
            <v>-</v>
          </cell>
          <cell r="D954" t="str">
            <v>Carretera Estatal 431</v>
          </cell>
          <cell r="E954" t="str">
            <v>-</v>
          </cell>
          <cell r="F954">
            <v>27</v>
          </cell>
          <cell r="G954" t="str">
            <v>Parque Innovacón Tecnológico Km 2-200</v>
          </cell>
          <cell r="H954">
            <v>76246</v>
          </cell>
          <cell r="I954" t="str">
            <v>El Marques</v>
          </cell>
          <cell r="J954" t="str">
            <v>Queretaro</v>
          </cell>
          <cell r="K954" t="str">
            <v>México</v>
          </cell>
        </row>
        <row r="955">
          <cell r="A955">
            <v>957</v>
          </cell>
          <cell r="B955" t="str">
            <v>Transportes ACNA</v>
          </cell>
          <cell r="C955" t="str">
            <v>-</v>
          </cell>
          <cell r="D955" t="str">
            <v xml:space="preserve">Privada Arias </v>
          </cell>
          <cell r="E955" t="str">
            <v>-</v>
          </cell>
          <cell r="F955">
            <v>262</v>
          </cell>
          <cell r="G955" t="str">
            <v xml:space="preserve">Santa Fe    </v>
          </cell>
          <cell r="H955" t="str">
            <v>-</v>
          </cell>
          <cell r="I955" t="str">
            <v>Irapuato</v>
          </cell>
          <cell r="J955" t="str">
            <v>Guanajuato</v>
          </cell>
          <cell r="K955" t="str">
            <v>México</v>
          </cell>
        </row>
        <row r="956">
          <cell r="A956">
            <v>958</v>
          </cell>
          <cell r="B956" t="str">
            <v>DRESSER DE MÉXICO, S.A. DE C.V.</v>
          </cell>
          <cell r="C956" t="str">
            <v>-</v>
          </cell>
          <cell r="D956" t="str">
            <v>Henry Ford , Esquina Fulton</v>
          </cell>
          <cell r="E956" t="str">
            <v>-</v>
          </cell>
          <cell r="F956">
            <v>114</v>
          </cell>
          <cell r="G956" t="str">
            <v>Fraccionamiento Industrial, San Nicolas</v>
          </cell>
          <cell r="H956">
            <v>54030</v>
          </cell>
          <cell r="I956" t="str">
            <v>Tlalnepantla</v>
          </cell>
          <cell r="J956" t="str">
            <v>Estado de México</v>
          </cell>
          <cell r="K956" t="str">
            <v>México</v>
          </cell>
        </row>
        <row r="957">
          <cell r="A957">
            <v>959</v>
          </cell>
          <cell r="B957" t="str">
            <v>CUPRUM, S.A. de C.V.</v>
          </cell>
          <cell r="C957" t="str">
            <v>-</v>
          </cell>
          <cell r="D957" t="str">
            <v>Av. De la Presa</v>
          </cell>
          <cell r="E957" t="str">
            <v>-</v>
          </cell>
          <cell r="F957">
            <v>290</v>
          </cell>
          <cell r="G957" t="str">
            <v>San Juan Ixhuatepec</v>
          </cell>
          <cell r="H957">
            <v>54180</v>
          </cell>
          <cell r="I957" t="str">
            <v>Tlalnepantla</v>
          </cell>
          <cell r="J957" t="str">
            <v>Estado de México</v>
          </cell>
          <cell r="K957" t="str">
            <v>México</v>
          </cell>
        </row>
        <row r="958">
          <cell r="A958">
            <v>960</v>
          </cell>
          <cell r="B958" t="str">
            <v>OWENS AMERICA S. DE R.L. DE C.V.</v>
          </cell>
          <cell r="C958" t="str">
            <v>-</v>
          </cell>
          <cell r="D958" t="str">
            <v>Av. Presidente Juarez</v>
          </cell>
          <cell r="E958" t="str">
            <v>-</v>
          </cell>
          <cell r="F958" t="str">
            <v>-</v>
          </cell>
          <cell r="G958" t="str">
            <v>Los Reyes Ixtacala</v>
          </cell>
          <cell r="H958">
            <v>54090</v>
          </cell>
          <cell r="I958" t="str">
            <v>Tlalnepantla</v>
          </cell>
          <cell r="J958" t="str">
            <v>Estado de México</v>
          </cell>
          <cell r="K958" t="str">
            <v>México</v>
          </cell>
        </row>
        <row r="959">
          <cell r="A959">
            <v>961</v>
          </cell>
          <cell r="B959" t="str">
            <v>FEHLMEX, A.S. de C.V.</v>
          </cell>
          <cell r="C959" t="str">
            <v>-</v>
          </cell>
          <cell r="D959" t="str">
            <v>Av. de la Industria</v>
          </cell>
          <cell r="E959" t="str">
            <v>-</v>
          </cell>
          <cell r="F959" t="str">
            <v>244-A</v>
          </cell>
          <cell r="G959" t="str">
            <v>Moctezuma 2da. Seccion</v>
          </cell>
          <cell r="H959">
            <v>15530</v>
          </cell>
          <cell r="I959" t="str">
            <v>Venustiano Carranza</v>
          </cell>
          <cell r="J959" t="str">
            <v>Distrito Federal</v>
          </cell>
          <cell r="K959" t="str">
            <v>México</v>
          </cell>
        </row>
        <row r="960">
          <cell r="A960">
            <v>962</v>
          </cell>
          <cell r="B960" t="str">
            <v xml:space="preserve">CFE LAPEM </v>
          </cell>
          <cell r="C960" t="str">
            <v>-</v>
          </cell>
          <cell r="D960" t="str">
            <v>Av. Apaseo Oriente</v>
          </cell>
          <cell r="E960" t="str">
            <v>-</v>
          </cell>
          <cell r="F960" t="str">
            <v>S/N</v>
          </cell>
          <cell r="G960" t="str">
            <v>Ciudad Industrial</v>
          </cell>
          <cell r="H960">
            <v>36541</v>
          </cell>
          <cell r="I960" t="str">
            <v>Irapuato</v>
          </cell>
          <cell r="J960" t="str">
            <v>Guanajuato</v>
          </cell>
          <cell r="K960" t="str">
            <v>México</v>
          </cell>
        </row>
        <row r="961">
          <cell r="A961">
            <v>963</v>
          </cell>
          <cell r="B961" t="str">
            <v>COLMETRYCA S.A.S</v>
          </cell>
          <cell r="C961" t="str">
            <v>-</v>
          </cell>
          <cell r="D961" t="str">
            <v>Carrera 20</v>
          </cell>
          <cell r="E961" t="str">
            <v>-</v>
          </cell>
          <cell r="F961" t="str">
            <v>32ª – 36</v>
          </cell>
          <cell r="G961" t="str">
            <v>-</v>
          </cell>
          <cell r="H961" t="str">
            <v>-</v>
          </cell>
          <cell r="I961" t="str">
            <v>-</v>
          </cell>
          <cell r="J961" t="str">
            <v>Bogota</v>
          </cell>
          <cell r="K961" t="str">
            <v>Colombia</v>
          </cell>
        </row>
        <row r="962">
          <cell r="A962">
            <v>964</v>
          </cell>
          <cell r="B962" t="str">
            <v>Calibración Instrumental Exacta</v>
          </cell>
          <cell r="C962" t="str">
            <v>-</v>
          </cell>
          <cell r="D962" t="str">
            <v>Circuito Amalucan</v>
          </cell>
          <cell r="E962" t="str">
            <v>-</v>
          </cell>
          <cell r="F962">
            <v>45</v>
          </cell>
          <cell r="G962" t="str">
            <v>Infonavit Amalucan</v>
          </cell>
          <cell r="H962">
            <v>72310</v>
          </cell>
          <cell r="I962" t="str">
            <v>Puebla</v>
          </cell>
          <cell r="J962" t="str">
            <v>Puebla</v>
          </cell>
          <cell r="K962" t="str">
            <v>México</v>
          </cell>
        </row>
        <row r="963">
          <cell r="A963">
            <v>965</v>
          </cell>
          <cell r="B963" t="str">
            <v>AEROPROCESS TTT S.A. DE C.V.</v>
          </cell>
          <cell r="C963" t="str">
            <v>-</v>
          </cell>
          <cell r="D963" t="str">
            <v>Av. Del Marqués</v>
          </cell>
          <cell r="E963" t="str">
            <v>-</v>
          </cell>
          <cell r="F963">
            <v>70</v>
          </cell>
          <cell r="G963" t="str">
            <v>Parque Industrial Bernardo Quintana</v>
          </cell>
          <cell r="H963">
            <v>76246</v>
          </cell>
          <cell r="I963" t="str">
            <v>Queretaro</v>
          </cell>
          <cell r="J963" t="str">
            <v>Queretaro</v>
          </cell>
          <cell r="K963" t="str">
            <v>México</v>
          </cell>
        </row>
        <row r="964">
          <cell r="A964">
            <v>966</v>
          </cell>
          <cell r="B964" t="str">
            <v>AEES Manufacturera,S. de R.L. de C.V.(Acuña)</v>
          </cell>
          <cell r="C964" t="str">
            <v>-</v>
          </cell>
          <cell r="D964" t="str">
            <v>Carr. Presa la Amistad Km 5.823</v>
          </cell>
          <cell r="E964" t="str">
            <v>-</v>
          </cell>
          <cell r="F964" t="str">
            <v>s/n</v>
          </cell>
          <cell r="G964" t="str">
            <v>Parque Industrial Amistad</v>
          </cell>
          <cell r="H964">
            <v>26220</v>
          </cell>
          <cell r="I964" t="str">
            <v>Acuña</v>
          </cell>
          <cell r="J964" t="str">
            <v>Coahuila</v>
          </cell>
          <cell r="K964" t="str">
            <v>México</v>
          </cell>
        </row>
        <row r="965">
          <cell r="A965">
            <v>967</v>
          </cell>
          <cell r="B965" t="str">
            <v>Praxair Mexico, S. de R.L. de C.V.</v>
          </cell>
          <cell r="D965" t="str">
            <v>Cale 2</v>
          </cell>
          <cell r="E965" t="str">
            <v>-</v>
          </cell>
          <cell r="F965">
            <v>2023</v>
          </cell>
          <cell r="G965" t="str">
            <v>Zona Industrial</v>
          </cell>
          <cell r="H965">
            <v>44940</v>
          </cell>
          <cell r="I965" t="str">
            <v>Guadalajara</v>
          </cell>
          <cell r="J965" t="str">
            <v>Jalisco</v>
          </cell>
          <cell r="K965" t="str">
            <v>Mexico</v>
          </cell>
        </row>
        <row r="966">
          <cell r="A966">
            <v>968</v>
          </cell>
          <cell r="B966" t="str">
            <v>Frenados Mexicanos S.A. de C.V.</v>
          </cell>
          <cell r="C966" t="str">
            <v>-</v>
          </cell>
          <cell r="D966" t="str">
            <v>Circuito Aguascalientes  Nte.</v>
          </cell>
          <cell r="E966" t="str">
            <v>-</v>
          </cell>
          <cell r="F966">
            <v>141</v>
          </cell>
          <cell r="G966" t="str">
            <v>Valle de Aguascalientes</v>
          </cell>
          <cell r="I966" t="str">
            <v>Aguascalientes</v>
          </cell>
          <cell r="J966" t="str">
            <v>Aguascalientes</v>
          </cell>
          <cell r="K966" t="str">
            <v>Mexico</v>
          </cell>
        </row>
        <row r="967">
          <cell r="A967">
            <v>969</v>
          </cell>
          <cell r="B967" t="str">
            <v>San Luis Metal Forming S.A. de C.V.</v>
          </cell>
          <cell r="C967" t="str">
            <v>-</v>
          </cell>
          <cell r="D967" t="str">
            <v>Frankfurt</v>
          </cell>
          <cell r="E967" t="str">
            <v>-</v>
          </cell>
          <cell r="F967">
            <v>201</v>
          </cell>
          <cell r="G967" t="str">
            <v>Villa de Reyes</v>
          </cell>
          <cell r="H967">
            <v>79526</v>
          </cell>
          <cell r="I967" t="str">
            <v>San Luis Potosi.</v>
          </cell>
          <cell r="J967" t="str">
            <v>San Luis Potosi.</v>
          </cell>
          <cell r="K967" t="str">
            <v>Mexico</v>
          </cell>
        </row>
        <row r="968">
          <cell r="A968">
            <v>970</v>
          </cell>
          <cell r="B968" t="str">
            <v>Forja y Maquinados, S.A. de C.V.</v>
          </cell>
          <cell r="C968" t="str">
            <v>-</v>
          </cell>
          <cell r="D968" t="str">
            <v>Carretera Querétaro a San Luis Potosi</v>
          </cell>
          <cell r="E968" t="str">
            <v>Bodega 21</v>
          </cell>
          <cell r="F968">
            <v>24000</v>
          </cell>
          <cell r="G968" t="str">
            <v>Ampliación Nuevo Santa Catarina</v>
          </cell>
          <cell r="H968">
            <v>76223</v>
          </cell>
          <cell r="I968" t="str">
            <v>Querétaro</v>
          </cell>
          <cell r="J968" t="str">
            <v>Querétaro</v>
          </cell>
          <cell r="K968" t="str">
            <v>México</v>
          </cell>
          <cell r="O968" t="str">
            <v>FYMSA</v>
          </cell>
        </row>
        <row r="969">
          <cell r="A969">
            <v>971</v>
          </cell>
          <cell r="B969" t="str">
            <v>HR Protectores Flexibles</v>
          </cell>
          <cell r="C969" t="str">
            <v>-</v>
          </cell>
          <cell r="D969" t="str">
            <v>Jacarandas 1</v>
          </cell>
          <cell r="E969" t="str">
            <v>Bodega 5</v>
          </cell>
          <cell r="F969" t="str">
            <v>Nave C</v>
          </cell>
          <cell r="G969" t="str">
            <v>Los Olvera</v>
          </cell>
          <cell r="H969" t="str">
            <v>-</v>
          </cell>
          <cell r="I969" t="str">
            <v>Corregidora</v>
          </cell>
          <cell r="J969" t="str">
            <v>Querétaro</v>
          </cell>
          <cell r="K969" t="str">
            <v>Mexico</v>
          </cell>
        </row>
        <row r="970">
          <cell r="A970">
            <v>972</v>
          </cell>
          <cell r="B970" t="str">
            <v>DIGA, S.A. de C.V.</v>
          </cell>
          <cell r="C970" t="str">
            <v>-</v>
          </cell>
          <cell r="D970" t="str">
            <v>La Acocila</v>
          </cell>
          <cell r="E970" t="str">
            <v>-</v>
          </cell>
          <cell r="F970">
            <v>9</v>
          </cell>
          <cell r="G970" t="str">
            <v>Brio. De la Concepcion</v>
          </cell>
          <cell r="H970" t="str">
            <v>-</v>
          </cell>
          <cell r="I970" t="str">
            <v>Tultitlan</v>
          </cell>
          <cell r="J970" t="str">
            <v>Estado de México</v>
          </cell>
          <cell r="K970" t="str">
            <v>Mexico</v>
          </cell>
        </row>
        <row r="971">
          <cell r="A971">
            <v>973</v>
          </cell>
          <cell r="B971" t="str">
            <v>COPEFITEC AUTOMOTIVE COMPONENTS MEXICO, S. DE R.L. DE C.V.</v>
          </cell>
          <cell r="C971" t="str">
            <v>-</v>
          </cell>
          <cell r="D971" t="str">
            <v>Av.de la Cañada</v>
          </cell>
          <cell r="E971" t="str">
            <v>Nave C</v>
          </cell>
          <cell r="F971">
            <v>4</v>
          </cell>
          <cell r="G971" t="str">
            <v>Parque Industrial Bernardo Quintana</v>
          </cell>
          <cell r="H971">
            <v>76246</v>
          </cell>
          <cell r="I971" t="str">
            <v>El Marques</v>
          </cell>
          <cell r="J971" t="str">
            <v>Queretaro</v>
          </cell>
          <cell r="K971" t="str">
            <v>Mexico</v>
          </cell>
        </row>
        <row r="972">
          <cell r="A972">
            <v>975</v>
          </cell>
          <cell r="B972" t="str">
            <v>POSCO MPPC, S.A. de C.V.</v>
          </cell>
          <cell r="C972" t="str">
            <v>-</v>
          </cell>
          <cell r="D972" t="str">
            <v>Carretera alterna Celaya- Villagran Km 4.45</v>
          </cell>
          <cell r="G972" t="str">
            <v>-</v>
          </cell>
          <cell r="H972">
            <v>38110</v>
          </cell>
          <cell r="I972" t="str">
            <v>Celaya</v>
          </cell>
          <cell r="J972" t="str">
            <v>Guanajuato</v>
          </cell>
          <cell r="K972" t="str">
            <v>México</v>
          </cell>
          <cell r="Q972" t="str">
            <v>SERGIO LUNA</v>
          </cell>
        </row>
        <row r="973">
          <cell r="A973">
            <v>976</v>
          </cell>
          <cell r="B973" t="str">
            <v>FUJIKOKI DE MEXICO S.A. DE C.V.</v>
          </cell>
          <cell r="D973" t="str">
            <v>Rio Guadajoz</v>
          </cell>
          <cell r="E973" t="str">
            <v>-</v>
          </cell>
          <cell r="F973">
            <v>236</v>
          </cell>
          <cell r="G973" t="str">
            <v>Parque Industrial Castro del Rio</v>
          </cell>
          <cell r="H973">
            <v>36810</v>
          </cell>
          <cell r="I973" t="str">
            <v>Irapuato</v>
          </cell>
          <cell r="J973" t="str">
            <v>Guanajato</v>
          </cell>
          <cell r="K973" t="str">
            <v>México</v>
          </cell>
        </row>
        <row r="974">
          <cell r="A974">
            <v>977</v>
          </cell>
          <cell r="B974" t="str">
            <v>Pionner Automotive de México S.A. de C.V.</v>
          </cell>
          <cell r="C974" t="str">
            <v>-</v>
          </cell>
          <cell r="D974" t="str">
            <v xml:space="preserve">Av. Villa de Lagos </v>
          </cell>
          <cell r="E974" t="str">
            <v>-</v>
          </cell>
          <cell r="F974" t="str">
            <v>-</v>
          </cell>
          <cell r="G974" t="str">
            <v>Parque Industrial Colinas de Lagos</v>
          </cell>
          <cell r="H974">
            <v>47515</v>
          </cell>
          <cell r="I974" t="str">
            <v>Lagos de Moreno</v>
          </cell>
          <cell r="J974" t="str">
            <v>Jalisco</v>
          </cell>
          <cell r="K974" t="str">
            <v>México</v>
          </cell>
        </row>
        <row r="975">
          <cell r="A975">
            <v>978</v>
          </cell>
          <cell r="B975" t="str">
            <v>ACCUREASY METROLOGIA ABSOLUTA S. de R.L. de C.V.</v>
          </cell>
          <cell r="D975" t="str">
            <v>Av. Don Bosco</v>
          </cell>
          <cell r="E975">
            <v>41</v>
          </cell>
          <cell r="F975">
            <v>31</v>
          </cell>
          <cell r="G975" t="str">
            <v>El Pueblito</v>
          </cell>
          <cell r="H975">
            <v>76900</v>
          </cell>
          <cell r="I975" t="str">
            <v>Corregidora</v>
          </cell>
          <cell r="J975" t="str">
            <v>Queretaro</v>
          </cell>
          <cell r="K975" t="str">
            <v>México</v>
          </cell>
        </row>
        <row r="976">
          <cell r="A976">
            <v>979</v>
          </cell>
          <cell r="B976" t="str">
            <v>TECNOMEC AGRICOLA S.A. de C.V.</v>
          </cell>
          <cell r="C976" t="str">
            <v>-</v>
          </cell>
          <cell r="D976" t="str">
            <v>Carretera Paso Blanco Km2</v>
          </cell>
          <cell r="F976">
            <v>400</v>
          </cell>
          <cell r="G976" t="str">
            <v>Vista Hermosa</v>
          </cell>
          <cell r="H976">
            <v>20926</v>
          </cell>
          <cell r="I976" t="str">
            <v>Jesus Maria</v>
          </cell>
          <cell r="J976" t="str">
            <v>Aguascalientes</v>
          </cell>
          <cell r="K976" t="str">
            <v>México</v>
          </cell>
        </row>
        <row r="977">
          <cell r="A977">
            <v>980</v>
          </cell>
          <cell r="B977" t="str">
            <v>Compartec, S.A.P.I. de C.V.</v>
          </cell>
          <cell r="C977" t="str">
            <v>-</v>
          </cell>
          <cell r="D977" t="str">
            <v>Oriente 10</v>
          </cell>
          <cell r="E977" t="str">
            <v>-</v>
          </cell>
          <cell r="F977">
            <v>5</v>
          </cell>
          <cell r="G977" t="str">
            <v>Nuevo Parque Industrial</v>
          </cell>
          <cell r="H977">
            <v>76806</v>
          </cell>
          <cell r="I977" t="str">
            <v>San Juan del Río</v>
          </cell>
          <cell r="J977" t="str">
            <v>Queretaro</v>
          </cell>
          <cell r="K977" t="str">
            <v>México</v>
          </cell>
        </row>
        <row r="978">
          <cell r="A978">
            <v>981</v>
          </cell>
          <cell r="B978" t="str">
            <v>Kalibrix Mexicana, S.A. de C.V.</v>
          </cell>
          <cell r="C978" t="str">
            <v>-</v>
          </cell>
          <cell r="D978" t="str">
            <v xml:space="preserve">Av. Colinas del Cimatario </v>
          </cell>
          <cell r="F978">
            <v>381</v>
          </cell>
          <cell r="G978" t="str">
            <v xml:space="preserve">Colinas del Cimatario </v>
          </cell>
          <cell r="H978">
            <v>76090</v>
          </cell>
          <cell r="I978" t="str">
            <v>Queretaro</v>
          </cell>
          <cell r="J978" t="str">
            <v xml:space="preserve">Queretaro, </v>
          </cell>
          <cell r="K978" t="str">
            <v>México</v>
          </cell>
          <cell r="L978" t="str">
            <v>-</v>
          </cell>
        </row>
        <row r="979">
          <cell r="A979">
            <v>982</v>
          </cell>
          <cell r="B979" t="str">
            <v>JAROPAMEX S.A. DE C.V. (PLANT 3) </v>
          </cell>
          <cell r="C979" t="str">
            <v>-</v>
          </cell>
          <cell r="D979" t="str">
            <v>Carretera Sabinas-Rosita</v>
          </cell>
          <cell r="F979" t="str">
            <v>Km 11.89</v>
          </cell>
          <cell r="G979" t="str">
            <v>Parque Industrial  Amistad</v>
          </cell>
          <cell r="H979">
            <v>26749</v>
          </cell>
          <cell r="I979" t="str">
            <v>Sabinas</v>
          </cell>
          <cell r="J979" t="str">
            <v>Coahuila</v>
          </cell>
          <cell r="K979" t="str">
            <v>México</v>
          </cell>
        </row>
        <row r="980">
          <cell r="A980">
            <v>983</v>
          </cell>
          <cell r="B980" t="str">
            <v>PROVEM S.A. de C.V.</v>
          </cell>
          <cell r="C980" t="str">
            <v>-</v>
          </cell>
          <cell r="D980" t="str">
            <v xml:space="preserve">Av. Industria de la Transformación </v>
          </cell>
          <cell r="E980" t="str">
            <v>-</v>
          </cell>
          <cell r="F980">
            <v>646</v>
          </cell>
          <cell r="G980" t="str">
            <v>Parque Industrial Queretaro</v>
          </cell>
          <cell r="H980">
            <v>76220</v>
          </cell>
          <cell r="I980" t="str">
            <v>Santa Rosa Jáuregui</v>
          </cell>
          <cell r="J980" t="str">
            <v>Queretaro</v>
          </cell>
          <cell r="K980" t="str">
            <v>México</v>
          </cell>
        </row>
        <row r="981">
          <cell r="A981">
            <v>984</v>
          </cell>
          <cell r="B981" t="str">
            <v>Mess Servicios Metrológicos, S.A.de C.V.</v>
          </cell>
          <cell r="C981" t="str">
            <v>-</v>
          </cell>
          <cell r="D981" t="str">
            <v>Acceso III,  Nave 10</v>
          </cell>
          <cell r="E981" t="str">
            <v>-</v>
          </cell>
          <cell r="F981" t="str">
            <v>16A</v>
          </cell>
          <cell r="G981" t="str">
            <v>Parque Industrial Benito Juárez</v>
          </cell>
          <cell r="H981">
            <v>76120</v>
          </cell>
          <cell r="I981" t="str">
            <v>Querétaro</v>
          </cell>
          <cell r="J981" t="str">
            <v>Querétaro</v>
          </cell>
          <cell r="K981" t="str">
            <v>México</v>
          </cell>
        </row>
        <row r="982">
          <cell r="A982">
            <v>985</v>
          </cell>
          <cell r="B982" t="str">
            <v>Elektrisola S.A. de C.V.</v>
          </cell>
          <cell r="C982" t="str">
            <v>-</v>
          </cell>
          <cell r="D982" t="str">
            <v>Periférico Manuel Gomez Morín</v>
          </cell>
          <cell r="E982" t="str">
            <v>-</v>
          </cell>
          <cell r="F982">
            <v>1800</v>
          </cell>
          <cell r="G982" t="str">
            <v>Menonita</v>
          </cell>
          <cell r="H982">
            <v>31607</v>
          </cell>
          <cell r="I982" t="str">
            <v>Cuahutemoc</v>
          </cell>
          <cell r="J982" t="str">
            <v>Chihuahua</v>
          </cell>
          <cell r="K982" t="str">
            <v>México</v>
          </cell>
        </row>
        <row r="983">
          <cell r="A983">
            <v>986</v>
          </cell>
          <cell r="B983" t="str">
            <v>BIBOZ SOLUCIONES S. de R.L. de C.V.</v>
          </cell>
          <cell r="C983" t="str">
            <v>-</v>
          </cell>
          <cell r="D983" t="str">
            <v>Minatitlán</v>
          </cell>
          <cell r="E983" t="str">
            <v>-</v>
          </cell>
          <cell r="F983">
            <v>212</v>
          </cell>
          <cell r="G983" t="str">
            <v>Bellavista</v>
          </cell>
          <cell r="H983">
            <v>36730</v>
          </cell>
          <cell r="I983" t="str">
            <v>Salamanca</v>
          </cell>
          <cell r="J983" t="str">
            <v>Guanajuato</v>
          </cell>
          <cell r="K983" t="str">
            <v>México</v>
          </cell>
        </row>
        <row r="984">
          <cell r="A984">
            <v>987</v>
          </cell>
          <cell r="B984" t="str">
            <v>STEERINGMEX, S.de R.L de C.V.</v>
          </cell>
          <cell r="C984" t="str">
            <v>-</v>
          </cell>
          <cell r="D984" t="str">
            <v>Santa Rosa de Viterbo</v>
          </cell>
          <cell r="E984" t="str">
            <v>-</v>
          </cell>
          <cell r="F984">
            <v>12</v>
          </cell>
          <cell r="G984" t="str">
            <v>Parque Industrial Finsa</v>
          </cell>
          <cell r="H984">
            <v>76246</v>
          </cell>
          <cell r="I984" t="str">
            <v>El Marques</v>
          </cell>
          <cell r="J984" t="str">
            <v>Queretaro</v>
          </cell>
          <cell r="K984" t="str">
            <v>México</v>
          </cell>
        </row>
        <row r="985">
          <cell r="A985">
            <v>988</v>
          </cell>
          <cell r="B985" t="str">
            <v>Demek S.A. de C.V.</v>
          </cell>
          <cell r="C985" t="str">
            <v>-</v>
          </cell>
          <cell r="D985" t="str">
            <v>Centro Ejecutivo</v>
          </cell>
          <cell r="E985" t="str">
            <v>-</v>
          </cell>
          <cell r="F985">
            <v>5700</v>
          </cell>
          <cell r="G985" t="str">
            <v>Complejo Industrial , El Saucito</v>
          </cell>
          <cell r="H985">
            <v>31125</v>
          </cell>
          <cell r="I985" t="str">
            <v>Chihuahua</v>
          </cell>
          <cell r="J985" t="str">
            <v>Chihuahua</v>
          </cell>
          <cell r="K985" t="str">
            <v>México</v>
          </cell>
        </row>
        <row r="986">
          <cell r="A986">
            <v>989</v>
          </cell>
          <cell r="B986" t="str">
            <v>Metrología Especializada y Calibración S.A. de C.V.</v>
          </cell>
          <cell r="C986" t="str">
            <v>-</v>
          </cell>
          <cell r="D986" t="str">
            <v>Ignacio Aldama</v>
          </cell>
          <cell r="E986" t="str">
            <v>-</v>
          </cell>
          <cell r="F986">
            <v>32</v>
          </cell>
          <cell r="G986" t="str">
            <v>Los Reyes Ixtacala</v>
          </cell>
          <cell r="H986">
            <v>54090</v>
          </cell>
          <cell r="I986" t="str">
            <v>Tlalnepantla</v>
          </cell>
          <cell r="J986" t="str">
            <v>Estado de México</v>
          </cell>
          <cell r="K986" t="str">
            <v>México</v>
          </cell>
        </row>
        <row r="987">
          <cell r="A987">
            <v>990</v>
          </cell>
          <cell r="B987" t="str">
            <v xml:space="preserve">JAROPAMEX S.A. DE C.V. </v>
          </cell>
          <cell r="C987" t="str">
            <v>-</v>
          </cell>
          <cell r="D987" t="str">
            <v>Carretera Sabinas-Rosita Km 11.89</v>
          </cell>
          <cell r="E987" t="str">
            <v>-</v>
          </cell>
          <cell r="F987" t="str">
            <v>-</v>
          </cell>
          <cell r="G987" t="str">
            <v>Parque Industrial Amistad</v>
          </cell>
          <cell r="H987">
            <v>26749</v>
          </cell>
          <cell r="I987" t="str">
            <v>Sabinas</v>
          </cell>
          <cell r="J987" t="str">
            <v>Coahuila</v>
          </cell>
          <cell r="K987" t="str">
            <v>México</v>
          </cell>
        </row>
        <row r="988">
          <cell r="A988">
            <v>991</v>
          </cell>
          <cell r="B988" t="str">
            <v>HOLCIM MEXICO</v>
          </cell>
          <cell r="C988" t="str">
            <v>-</v>
          </cell>
          <cell r="D988" t="str">
            <v>Carretera Libre a Guanajuato</v>
          </cell>
          <cell r="F988" t="str">
            <v>Km 8</v>
          </cell>
          <cell r="G988" t="str">
            <v>Tramo Silao-Los Rodriguez</v>
          </cell>
          <cell r="H988">
            <v>36100</v>
          </cell>
          <cell r="I988" t="str">
            <v>Silao</v>
          </cell>
          <cell r="J988" t="str">
            <v>Guanajuato</v>
          </cell>
          <cell r="K988" t="str">
            <v>México</v>
          </cell>
        </row>
        <row r="989">
          <cell r="A989">
            <v>992</v>
          </cell>
          <cell r="B989" t="str">
            <v>Mecánica Tek, S.A. de C.V.</v>
          </cell>
          <cell r="C989" t="str">
            <v>-</v>
          </cell>
          <cell r="D989" t="str">
            <v>Calle 14</v>
          </cell>
          <cell r="E989" t="str">
            <v>-</v>
          </cell>
          <cell r="F989">
            <v>2408</v>
          </cell>
          <cell r="G989" t="str">
            <v>Zona Industrial Guadalajara</v>
          </cell>
          <cell r="H989">
            <v>44940</v>
          </cell>
          <cell r="I989" t="str">
            <v>Guadalajara</v>
          </cell>
          <cell r="J989" t="str">
            <v>Jalisco</v>
          </cell>
          <cell r="K989" t="str">
            <v>México</v>
          </cell>
        </row>
        <row r="990">
          <cell r="A990">
            <v>993</v>
          </cell>
          <cell r="B990" t="str">
            <v>TREFINASA DE MÉXICO S.A. de C.V.</v>
          </cell>
          <cell r="C990" t="str">
            <v>-</v>
          </cell>
          <cell r="D990" t="str">
            <v xml:space="preserve">Carretera Estatal 431 Km 5+750, Av. de la Transformación </v>
          </cell>
          <cell r="E990" t="str">
            <v>Mz 9</v>
          </cell>
          <cell r="F990" t="str">
            <v>Lote 3</v>
          </cell>
          <cell r="G990" t="str">
            <v>Parque Industrial Pyme II, San Antonio de la Galera</v>
          </cell>
          <cell r="H990">
            <v>76971</v>
          </cell>
          <cell r="I990" t="str">
            <v>Huimilpan</v>
          </cell>
          <cell r="J990" t="str">
            <v>Queretaro</v>
          </cell>
          <cell r="K990" t="str">
            <v>México</v>
          </cell>
        </row>
        <row r="991">
          <cell r="A991">
            <v>994</v>
          </cell>
          <cell r="B991" t="str">
            <v>Mecánica Tek, S.A. de C.V.</v>
          </cell>
          <cell r="C991" t="str">
            <v>-</v>
          </cell>
          <cell r="D991" t="str">
            <v>Corrales Ayala</v>
          </cell>
          <cell r="E991" t="str">
            <v>-</v>
          </cell>
          <cell r="F991">
            <v>102</v>
          </cell>
          <cell r="G991" t="str">
            <v>Santa Rosa de Lima</v>
          </cell>
          <cell r="H991">
            <v>37210</v>
          </cell>
          <cell r="I991" t="str">
            <v>León</v>
          </cell>
          <cell r="J991" t="str">
            <v>Guanajuato</v>
          </cell>
          <cell r="K991" t="str">
            <v>México</v>
          </cell>
        </row>
        <row r="992">
          <cell r="A992">
            <v>995</v>
          </cell>
          <cell r="B992" t="str">
            <v>Mahle Componentes de Motor de México, S. de R.L. de C.V. (Saltillo, Ramos A.)</v>
          </cell>
          <cell r="C992" t="str">
            <v>-</v>
          </cell>
          <cell r="D992" t="str">
            <v xml:space="preserve">Blvd. del Parque Industrial </v>
          </cell>
          <cell r="E992" t="str">
            <v>-</v>
          </cell>
          <cell r="F992">
            <v>3045</v>
          </cell>
          <cell r="G992" t="str">
            <v>Parque Industrial Saltillo-Ramos Arizpe</v>
          </cell>
          <cell r="H992">
            <v>25900</v>
          </cell>
          <cell r="I992" t="str">
            <v>Ramos Arizpe</v>
          </cell>
          <cell r="J992" t="str">
            <v>Coahuila</v>
          </cell>
          <cell r="K992" t="str">
            <v>México</v>
          </cell>
        </row>
        <row r="993">
          <cell r="A993">
            <v>996</v>
          </cell>
          <cell r="B993" t="str">
            <v>P&amp;C MX S. DE R.L .DE C.V.</v>
          </cell>
          <cell r="C993" t="str">
            <v>-</v>
          </cell>
          <cell r="D993" t="str">
            <v xml:space="preserve">PRIVADA INDUSTRIAL OJO DE AGUA </v>
          </cell>
          <cell r="E993" t="str">
            <v>-</v>
          </cell>
          <cell r="F993">
            <v>380</v>
          </cell>
          <cell r="G993" t="str">
            <v>Desarrollo Industrial</v>
          </cell>
          <cell r="H993">
            <v>266632</v>
          </cell>
          <cell r="I993" t="str">
            <v>Apocada</v>
          </cell>
          <cell r="J993" t="str">
            <v>Nuevo Leon</v>
          </cell>
          <cell r="K993" t="str">
            <v>México</v>
          </cell>
        </row>
        <row r="994">
          <cell r="A994">
            <v>997</v>
          </cell>
          <cell r="B994" t="str">
            <v>Procesos Control Numerico Computarizado, S.A. de C.V.</v>
          </cell>
          <cell r="C994" t="str">
            <v>-</v>
          </cell>
          <cell r="D994" t="str">
            <v>Manuel Martinez</v>
          </cell>
          <cell r="E994" t="str">
            <v>-</v>
          </cell>
          <cell r="F994">
            <v>105</v>
          </cell>
          <cell r="G994" t="str">
            <v>Parque Indutrial Buenavista</v>
          </cell>
          <cell r="H994">
            <v>50010</v>
          </cell>
          <cell r="I994" t="str">
            <v>Toluca</v>
          </cell>
          <cell r="J994" t="str">
            <v>Estado de Mexico</v>
          </cell>
          <cell r="K994" t="str">
            <v>México</v>
          </cell>
        </row>
        <row r="995">
          <cell r="A995">
            <v>998</v>
          </cell>
          <cell r="B995" t="str">
            <v xml:space="preserve">AEES Manufacturera, S. de R. L. de C.V. (Torreón) </v>
          </cell>
          <cell r="C995" t="str">
            <v>-</v>
          </cell>
          <cell r="D995" t="str">
            <v xml:space="preserve">Carretera Matamoros entronque con Mieleras </v>
          </cell>
          <cell r="E995" t="str">
            <v>-</v>
          </cell>
          <cell r="F995" t="str">
            <v>S/N</v>
          </cell>
          <cell r="G995" t="str">
            <v>Parque Industrial Las Americas</v>
          </cell>
          <cell r="H995">
            <v>27277</v>
          </cell>
          <cell r="I995" t="str">
            <v>Torreon</v>
          </cell>
          <cell r="J995" t="str">
            <v>Coahuila</v>
          </cell>
          <cell r="K995" t="str">
            <v>México</v>
          </cell>
        </row>
        <row r="996">
          <cell r="A996">
            <v>999</v>
          </cell>
          <cell r="B996" t="str">
            <v>Productos Especializados de Acero, S.A. de C.V.</v>
          </cell>
          <cell r="C996" t="str">
            <v>-</v>
          </cell>
          <cell r="D996" t="str">
            <v>Eje 140</v>
          </cell>
          <cell r="E996" t="str">
            <v>-</v>
          </cell>
          <cell r="F996" t="str">
            <v>205-2</v>
          </cell>
          <cell r="G996" t="str">
            <v>Zona Industrial del Potosí</v>
          </cell>
          <cell r="H996">
            <v>78395</v>
          </cell>
          <cell r="I996" t="str">
            <v>San Luis Potosi.</v>
          </cell>
          <cell r="J996" t="str">
            <v>San Luis Potosi.</v>
          </cell>
          <cell r="K996" t="str">
            <v>México</v>
          </cell>
        </row>
        <row r="997">
          <cell r="A997">
            <v>1000</v>
          </cell>
          <cell r="B997" t="str">
            <v>MD Electronik de México, S.A. de C.V.</v>
          </cell>
          <cell r="C997" t="str">
            <v>-</v>
          </cell>
          <cell r="D997" t="str">
            <v xml:space="preserve">Virgen de San Juan </v>
          </cell>
          <cell r="E997" t="str">
            <v>-</v>
          </cell>
          <cell r="F997">
            <v>117</v>
          </cell>
          <cell r="G997" t="str">
            <v>Parque Industrial Colinas de León</v>
          </cell>
          <cell r="H997">
            <v>37668</v>
          </cell>
          <cell r="I997" t="str">
            <v>León</v>
          </cell>
          <cell r="J997" t="str">
            <v>Guanajuato</v>
          </cell>
          <cell r="K997" t="str">
            <v>México</v>
          </cell>
        </row>
        <row r="998">
          <cell r="A998">
            <v>1001</v>
          </cell>
          <cell r="B998" t="str">
            <v>Mexicana MRO, S.A DE C.V</v>
          </cell>
          <cell r="C998" t="str">
            <v>-</v>
          </cell>
          <cell r="D998" t="str">
            <v>Avenida 602</v>
          </cell>
          <cell r="E998" t="str">
            <v>-</v>
          </cell>
          <cell r="F998" t="str">
            <v>161-A</v>
          </cell>
          <cell r="G998" t="str">
            <v>Zona Federal Aeropuerto Internacional Ciudad de México</v>
          </cell>
          <cell r="H998">
            <v>15620</v>
          </cell>
          <cell r="I998" t="str">
            <v>Venustiano Carranza</v>
          </cell>
          <cell r="J998" t="str">
            <v>Distrito Federal</v>
          </cell>
          <cell r="K998" t="str">
            <v>México</v>
          </cell>
        </row>
        <row r="999">
          <cell r="A999">
            <v>1002</v>
          </cell>
          <cell r="B999" t="str">
            <v>IAPMO Testing and service, LLC</v>
          </cell>
          <cell r="C999" t="str">
            <v>-</v>
          </cell>
          <cell r="D999" t="str">
            <v>East Philadelphia Street</v>
          </cell>
          <cell r="E999" t="str">
            <v>-</v>
          </cell>
          <cell r="F999">
            <v>5001</v>
          </cell>
          <cell r="G999" t="str">
            <v>-</v>
          </cell>
          <cell r="H999">
            <v>91761</v>
          </cell>
          <cell r="I999" t="str">
            <v>Ontario</v>
          </cell>
          <cell r="J999" t="str">
            <v>California</v>
          </cell>
          <cell r="K999" t="str">
            <v>USA</v>
          </cell>
          <cell r="O999" t="str">
            <v>CIDESI B.C.</v>
          </cell>
          <cell r="P999" t="str">
            <v>CIDESI BC</v>
          </cell>
        </row>
        <row r="1000">
          <cell r="A1000">
            <v>1003</v>
          </cell>
          <cell r="B1000" t="str">
            <v>KASAI MEXICANA, S.A. de C.V.</v>
          </cell>
          <cell r="C1000" t="str">
            <v>-</v>
          </cell>
          <cell r="D1000" t="str">
            <v xml:space="preserve">Blvd. Miguel de Cervantes Saavedra Sur </v>
          </cell>
          <cell r="E1000" t="str">
            <v>-</v>
          </cell>
          <cell r="F1000">
            <v>7502</v>
          </cell>
          <cell r="G1000" t="str">
            <v xml:space="preserve">Ciudad Industrial </v>
          </cell>
          <cell r="H1000">
            <v>37490</v>
          </cell>
          <cell r="I1000" t="str">
            <v>León</v>
          </cell>
          <cell r="J1000" t="str">
            <v>Guanajuato</v>
          </cell>
          <cell r="K1000" t="str">
            <v>México</v>
          </cell>
        </row>
        <row r="1001">
          <cell r="A1001">
            <v>1004</v>
          </cell>
          <cell r="B1001" t="str">
            <v>Metrología Monterrey, S.A. de C.V.</v>
          </cell>
          <cell r="C1001" t="str">
            <v>-</v>
          </cell>
          <cell r="D1001" t="str">
            <v>Agua Roja</v>
          </cell>
          <cell r="E1001" t="str">
            <v>-</v>
          </cell>
          <cell r="F1001" t="str">
            <v>1460-4</v>
          </cell>
          <cell r="G1001" t="str">
            <v>Fraccionamiento La Fuente</v>
          </cell>
          <cell r="H1001">
            <v>67150</v>
          </cell>
          <cell r="I1001" t="str">
            <v>Guadalupe</v>
          </cell>
          <cell r="J1001" t="str">
            <v>Nuevo Leon</v>
          </cell>
          <cell r="K1001" t="str">
            <v>México</v>
          </cell>
        </row>
        <row r="1002">
          <cell r="A1002">
            <v>1005</v>
          </cell>
          <cell r="B1002" t="str">
            <v>G3 Huasteca Apprisals, S.A. de C.V.</v>
          </cell>
          <cell r="C1002" t="str">
            <v>-</v>
          </cell>
          <cell r="D1002" t="str">
            <v xml:space="preserve">Cerrada Monte Sacro </v>
          </cell>
          <cell r="E1002">
            <v>104</v>
          </cell>
          <cell r="F1002">
            <v>31</v>
          </cell>
          <cell r="G1002" t="str">
            <v>Villas Fontana II</v>
          </cell>
          <cell r="H1002">
            <v>76148</v>
          </cell>
          <cell r="I1002" t="str">
            <v>Santiago de Querétaro</v>
          </cell>
          <cell r="J1002" t="str">
            <v>Queretaro</v>
          </cell>
          <cell r="K1002" t="str">
            <v>México</v>
          </cell>
        </row>
        <row r="1003">
          <cell r="A1003">
            <v>1006</v>
          </cell>
          <cell r="B1003" t="str">
            <v>Gonvauto Puebla, S.A. de C.V.</v>
          </cell>
          <cell r="C1003" t="str">
            <v>-</v>
          </cell>
          <cell r="D1003" t="str">
            <v>Automoción</v>
          </cell>
          <cell r="E1003" t="str">
            <v>-</v>
          </cell>
          <cell r="F1003">
            <v>10</v>
          </cell>
          <cell r="G1003" t="str">
            <v>San Lorenzo Almecatla</v>
          </cell>
          <cell r="H1003">
            <v>72710</v>
          </cell>
          <cell r="I1003" t="str">
            <v>Cuautlancingo</v>
          </cell>
          <cell r="J1003" t="str">
            <v>Puebla</v>
          </cell>
          <cell r="K1003" t="str">
            <v>México</v>
          </cell>
        </row>
        <row r="1004">
          <cell r="A1004">
            <v>1007</v>
          </cell>
          <cell r="B1004" t="str">
            <v>Construcciones Metal Mecánicas Mexicanas S. de R.L. de C.V.</v>
          </cell>
          <cell r="C1004" t="str">
            <v>-</v>
          </cell>
          <cell r="D1004" t="str">
            <v>Carretera San Juan del Río-Tequisquiapan Km 6+200</v>
          </cell>
          <cell r="E1004" t="str">
            <v>-</v>
          </cell>
          <cell r="F1004" t="str">
            <v>-</v>
          </cell>
          <cell r="G1004" t="str">
            <v>San Pedro Ahuacatlán</v>
          </cell>
          <cell r="H1004">
            <v>76833</v>
          </cell>
          <cell r="I1004" t="str">
            <v>San Juan del Río</v>
          </cell>
          <cell r="J1004" t="str">
            <v>Queretaro</v>
          </cell>
          <cell r="K1004" t="str">
            <v>México</v>
          </cell>
        </row>
        <row r="1005">
          <cell r="A1005">
            <v>1008</v>
          </cell>
          <cell r="B1005" t="str">
            <v>MARTÍN ROBERTO SANDOVAL ROJO / DIMA </v>
          </cell>
          <cell r="C1005" t="str">
            <v>-</v>
          </cell>
          <cell r="D1005" t="str">
            <v xml:space="preserve">Isla Cartagena </v>
          </cell>
          <cell r="E1005" t="str">
            <v>-</v>
          </cell>
          <cell r="F1005" t="str">
            <v xml:space="preserve">2 955 </v>
          </cell>
          <cell r="G1005" t="str">
            <v>Jardines de La Cruz</v>
          </cell>
          <cell r="H1005">
            <v>44950</v>
          </cell>
          <cell r="I1005" t="str">
            <v>Guadalajara</v>
          </cell>
          <cell r="J1005" t="str">
            <v>Jalisco</v>
          </cell>
          <cell r="K1005" t="str">
            <v>México</v>
          </cell>
        </row>
        <row r="1006">
          <cell r="A1006">
            <v>1009</v>
          </cell>
          <cell r="B1006" t="str">
            <v>Rossignol Technology S.A de C.V</v>
          </cell>
          <cell r="C1006" t="str">
            <v>-</v>
          </cell>
          <cell r="D1006" t="str">
            <v xml:space="preserve">Av. del Marques </v>
          </cell>
          <cell r="E1006" t="str">
            <v>-</v>
          </cell>
          <cell r="F1006">
            <v>7</v>
          </cell>
          <cell r="G1006" t="str">
            <v>Parque Industrial Bernardo Quintana</v>
          </cell>
          <cell r="H1006">
            <v>76246</v>
          </cell>
          <cell r="I1006" t="str">
            <v>El Marques</v>
          </cell>
          <cell r="J1006" t="str">
            <v>Queretaro</v>
          </cell>
          <cell r="K1006" t="str">
            <v>México</v>
          </cell>
        </row>
        <row r="1007">
          <cell r="A1007">
            <v>1010</v>
          </cell>
          <cell r="B1007" t="str">
            <v>TEXTILES SANTA SUSANA, S.A. de C.V.</v>
          </cell>
          <cell r="C1007" t="str">
            <v>-</v>
          </cell>
          <cell r="D1007" t="str">
            <v>Exhacienda de la Luz</v>
          </cell>
          <cell r="E1007" t="str">
            <v>-</v>
          </cell>
          <cell r="F1007" t="str">
            <v>S/N</v>
          </cell>
          <cell r="G1007" t="str">
            <v>Ignacio Zaragoza</v>
          </cell>
          <cell r="H1007">
            <v>90240</v>
          </cell>
          <cell r="I1007" t="str">
            <v>Hueyotlipan</v>
          </cell>
          <cell r="J1007" t="str">
            <v>Tlaxcala</v>
          </cell>
          <cell r="K1007" t="str">
            <v>México</v>
          </cell>
        </row>
        <row r="1008">
          <cell r="A1008">
            <v>1011</v>
          </cell>
          <cell r="B1008" t="str">
            <v xml:space="preserve">SYME S.A DE C.V </v>
          </cell>
          <cell r="C1008" t="str">
            <v>-</v>
          </cell>
          <cell r="D1008" t="str">
            <v>Constituyentes</v>
          </cell>
          <cell r="E1008" t="str">
            <v>Nave 2</v>
          </cell>
          <cell r="F1008">
            <v>1</v>
          </cell>
          <cell r="G1008" t="str">
            <v>San Isidro</v>
          </cell>
          <cell r="H1008" t="str">
            <v>-</v>
          </cell>
          <cell r="I1008" t="str">
            <v>San Juan del Río</v>
          </cell>
          <cell r="J1008" t="str">
            <v>Queretaro</v>
          </cell>
          <cell r="K1008" t="str">
            <v>México</v>
          </cell>
        </row>
        <row r="1009">
          <cell r="A1009">
            <v>1012</v>
          </cell>
          <cell r="B1009" t="str">
            <v>Remolques, Tanques y Equipos S.A de C.V.</v>
          </cell>
          <cell r="C1009" t="str">
            <v>-</v>
          </cell>
          <cell r="D1009" t="str">
            <v xml:space="preserve">Carretera libre a Celaya Km. 8.5 </v>
          </cell>
          <cell r="E1009" t="str">
            <v>-</v>
          </cell>
          <cell r="F1009" t="str">
            <v>-</v>
          </cell>
          <cell r="G1009" t="str">
            <v>Fracc. Industrial Balvanera</v>
          </cell>
          <cell r="H1009">
            <v>76900</v>
          </cell>
          <cell r="I1009" t="str">
            <v>Corregidora</v>
          </cell>
          <cell r="J1009" t="str">
            <v>Queretaro</v>
          </cell>
          <cell r="K1009" t="str">
            <v>México</v>
          </cell>
        </row>
        <row r="1010">
          <cell r="A1010">
            <v>1013</v>
          </cell>
          <cell r="B1010" t="str">
            <v>Metrología y Mantenimiento Industrial, S.A. de C.V.   </v>
          </cell>
          <cell r="C1010" t="str">
            <v>-</v>
          </cell>
          <cell r="D1010" t="str">
            <v xml:space="preserve">Privada Victoria </v>
          </cell>
          <cell r="E1010" t="str">
            <v>-</v>
          </cell>
          <cell r="F1010">
            <v>506</v>
          </cell>
          <cell r="G1010" t="str">
            <v>Zona Centro</v>
          </cell>
          <cell r="H1010">
            <v>89600</v>
          </cell>
          <cell r="I1010" t="str">
            <v>Altamira</v>
          </cell>
          <cell r="J1010" t="str">
            <v>Tamaulipas,</v>
          </cell>
          <cell r="K1010" t="str">
            <v>México</v>
          </cell>
        </row>
        <row r="1011">
          <cell r="A1011">
            <v>1014</v>
          </cell>
          <cell r="B1011" t="str">
            <v>Mailhot de México, S. de R.L. de C.V.</v>
          </cell>
          <cell r="C1011" t="str">
            <v>-</v>
          </cell>
          <cell r="D1011" t="str">
            <v>Circuito Mexiamora Pte.</v>
          </cell>
          <cell r="E1011" t="str">
            <v>-</v>
          </cell>
          <cell r="F1011">
            <v>140</v>
          </cell>
          <cell r="G1011" t="str">
            <v>Parque Industrial Santa Fe, Puerto Interior</v>
          </cell>
          <cell r="H1011">
            <v>36275</v>
          </cell>
          <cell r="I1011" t="str">
            <v>Silao</v>
          </cell>
          <cell r="J1011" t="str">
            <v>Guanajuato</v>
          </cell>
          <cell r="K1011" t="str">
            <v>México</v>
          </cell>
        </row>
        <row r="1012">
          <cell r="A1012">
            <v>1015</v>
          </cell>
          <cell r="B1012" t="str">
            <v>Anvi Mexicana, S.A. de C.V.</v>
          </cell>
          <cell r="C1012" t="str">
            <v>-</v>
          </cell>
          <cell r="D1012" t="str">
            <v>Av. Industrias, Entre Ejes 126 Y 128</v>
          </cell>
          <cell r="E1012" t="str">
            <v>-</v>
          </cell>
          <cell r="F1012">
            <v>4350</v>
          </cell>
          <cell r="G1012" t="str">
            <v>Zona Industrial Del Potosí</v>
          </cell>
          <cell r="H1012">
            <v>78395</v>
          </cell>
          <cell r="I1012" t="str">
            <v>San Luis Potosi.</v>
          </cell>
          <cell r="J1012" t="str">
            <v>San Luis Potosi.</v>
          </cell>
          <cell r="K1012" t="str">
            <v>México</v>
          </cell>
        </row>
        <row r="1013">
          <cell r="A1013">
            <v>1016</v>
          </cell>
          <cell r="B1013" t="str">
            <v>BIMBO, S. A. DE C. V. (PLANTA SUANDY)</v>
          </cell>
          <cell r="C1013" t="str">
            <v>-</v>
          </cell>
          <cell r="D1013" t="str">
            <v xml:space="preserve">CARRET. MÉXICO-TOLUCA KM 54 </v>
          </cell>
          <cell r="E1013" t="str">
            <v>-</v>
          </cell>
          <cell r="F1013" t="str">
            <v>-</v>
          </cell>
          <cell r="G1013" t="str">
            <v xml:space="preserve">AV. EMILIANO ZAPATA </v>
          </cell>
          <cell r="H1013">
            <v>52000</v>
          </cell>
          <cell r="I1013" t="str">
            <v>INDUSTRIAL LERMA</v>
          </cell>
          <cell r="J1013" t="str">
            <v xml:space="preserve">ESTADO DE MÉXICO </v>
          </cell>
          <cell r="K1013" t="str">
            <v>México</v>
          </cell>
        </row>
        <row r="1014">
          <cell r="A1014">
            <v>1017</v>
          </cell>
          <cell r="B1014" t="str">
            <v>Edemtec S.A. de C.V.</v>
          </cell>
          <cell r="C1014" t="str">
            <v>-</v>
          </cell>
          <cell r="D1014" t="str">
            <v>Av. Mariano Escobedo</v>
          </cell>
          <cell r="E1014" t="str">
            <v>Piso 7</v>
          </cell>
          <cell r="F1014">
            <v>510</v>
          </cell>
          <cell r="G1014" t="str">
            <v>Nueva Anzures</v>
          </cell>
          <cell r="H1014">
            <v>11590</v>
          </cell>
          <cell r="I1014" t="str">
            <v>Delegacion Miguel Hidalgo</v>
          </cell>
          <cell r="J1014" t="str">
            <v>Distrito Federal</v>
          </cell>
          <cell r="K1014" t="str">
            <v>México</v>
          </cell>
        </row>
        <row r="1015">
          <cell r="A1015">
            <v>1018</v>
          </cell>
          <cell r="B1015" t="str">
            <v>THK Rhythm Mexicana, S.A.  De C.V.</v>
          </cell>
          <cell r="C1015" t="str">
            <v>-</v>
          </cell>
          <cell r="D1015" t="str">
            <v>Circuito San Roque</v>
          </cell>
          <cell r="E1015" t="str">
            <v>-</v>
          </cell>
          <cell r="F1015">
            <v>503</v>
          </cell>
          <cell r="G1015" t="str">
            <v>Parque industrial Santa Fe Ampliacion</v>
          </cell>
          <cell r="H1015">
            <v>36275</v>
          </cell>
          <cell r="I1015" t="str">
            <v>Silao</v>
          </cell>
          <cell r="J1015" t="str">
            <v>Guanajuato</v>
          </cell>
          <cell r="K1015" t="str">
            <v>México</v>
          </cell>
        </row>
        <row r="1016">
          <cell r="A1016">
            <v>1019</v>
          </cell>
          <cell r="B1016" t="str">
            <v>PLASESS MEXICO S.A. DE C.V.</v>
          </cell>
          <cell r="C1016" t="str">
            <v>-</v>
          </cell>
          <cell r="D1016" t="str">
            <v>Av. Río San Lorenzo</v>
          </cell>
          <cell r="E1016" t="str">
            <v>-</v>
          </cell>
          <cell r="F1016">
            <v>1772</v>
          </cell>
          <cell r="G1016" t="str">
            <v>Industrial Castro del Río V Etapa</v>
          </cell>
          <cell r="H1016">
            <v>36810</v>
          </cell>
          <cell r="I1016" t="str">
            <v>Irapuato</v>
          </cell>
          <cell r="J1016" t="str">
            <v>Guanajuato</v>
          </cell>
          <cell r="K1016" t="str">
            <v>México</v>
          </cell>
        </row>
        <row r="1017">
          <cell r="A1017">
            <v>1020</v>
          </cell>
          <cell r="B1017" t="str">
            <v>Schneider R&amp;D S.A. de C.V.</v>
          </cell>
          <cell r="C1017" t="str">
            <v>-</v>
          </cell>
          <cell r="D1017" t="str">
            <v>Blvd Apodaca</v>
          </cell>
          <cell r="E1017" t="str">
            <v>-</v>
          </cell>
          <cell r="F1017">
            <v>100</v>
          </cell>
          <cell r="G1017" t="str">
            <v xml:space="preserve">Apodaca Tecnology Park </v>
          </cell>
          <cell r="H1017">
            <v>66600</v>
          </cell>
          <cell r="I1017" t="str">
            <v>Apocada</v>
          </cell>
          <cell r="J1017" t="str">
            <v>Nuevo Leon</v>
          </cell>
          <cell r="K1017" t="str">
            <v>México</v>
          </cell>
        </row>
        <row r="1018">
          <cell r="A1018">
            <v>1021</v>
          </cell>
          <cell r="B1018" t="str">
            <v>Soluciones Médicas Manufactura S.A. de C.V.</v>
          </cell>
          <cell r="C1018" t="str">
            <v>-</v>
          </cell>
          <cell r="D1018" t="str">
            <v>Prol. Mariano Otero</v>
          </cell>
          <cell r="E1018" t="str">
            <v>-</v>
          </cell>
          <cell r="F1018">
            <v>408</v>
          </cell>
          <cell r="G1018" t="str">
            <v>-</v>
          </cell>
          <cell r="H1018">
            <v>45050</v>
          </cell>
          <cell r="I1018" t="str">
            <v>Zapopan</v>
          </cell>
          <cell r="J1018" t="str">
            <v>Jalisco</v>
          </cell>
          <cell r="K1018" t="str">
            <v>México</v>
          </cell>
        </row>
        <row r="1019">
          <cell r="A1019">
            <v>1022</v>
          </cell>
          <cell r="B1019" t="str">
            <v>Calibraciones e Instrumentos de Occidente</v>
          </cell>
          <cell r="C1019" t="str">
            <v>-</v>
          </cell>
          <cell r="D1019" t="str">
            <v>Zafiro</v>
          </cell>
          <cell r="E1019" t="str">
            <v>-</v>
          </cell>
          <cell r="F1019">
            <v>3</v>
          </cell>
          <cell r="G1019" t="str">
            <v>El Fortin</v>
          </cell>
          <cell r="H1019">
            <v>45066</v>
          </cell>
          <cell r="I1019" t="str">
            <v>Zapopan</v>
          </cell>
          <cell r="J1019" t="str">
            <v>Jalisco</v>
          </cell>
          <cell r="K1019" t="str">
            <v>México</v>
          </cell>
        </row>
        <row r="1020">
          <cell r="A1020">
            <v>1023</v>
          </cell>
          <cell r="B1020" t="str">
            <v>KOIDE MÉXICO S.A. de C.V.</v>
          </cell>
          <cell r="C1020" t="str">
            <v>-</v>
          </cell>
          <cell r="D1020" t="str">
            <v>Boulevard Morelos</v>
          </cell>
          <cell r="E1020" t="str">
            <v>-</v>
          </cell>
          <cell r="F1020">
            <v>100</v>
          </cell>
          <cell r="G1020" t="str">
            <v>Parque Industrial Aeropuerto</v>
          </cell>
          <cell r="H1020" t="str">
            <v>-</v>
          </cell>
          <cell r="I1020" t="str">
            <v>Morelos</v>
          </cell>
          <cell r="J1020" t="str">
            <v>Zacatecas</v>
          </cell>
          <cell r="K1020" t="str">
            <v>México</v>
          </cell>
        </row>
        <row r="1021">
          <cell r="A1021">
            <v>1024</v>
          </cell>
          <cell r="B1021" t="str">
            <v>Kimpen, S.A. de C.V.</v>
          </cell>
          <cell r="C1021" t="str">
            <v>-</v>
          </cell>
          <cell r="D1021" t="str">
            <v>Eje 118 y Av. Producto Terminado</v>
          </cell>
          <cell r="E1021" t="str">
            <v>-</v>
          </cell>
          <cell r="F1021" t="str">
            <v>-</v>
          </cell>
          <cell r="G1021" t="str">
            <v>Zona Industrial</v>
          </cell>
          <cell r="H1021">
            <v>78395</v>
          </cell>
          <cell r="I1021" t="str">
            <v>San Luis Potosí</v>
          </cell>
          <cell r="J1021" t="str">
            <v>San Luis Potosí</v>
          </cell>
          <cell r="K1021" t="str">
            <v>México</v>
          </cell>
        </row>
        <row r="1022">
          <cell r="A1022">
            <v>1025</v>
          </cell>
          <cell r="B1022" t="str">
            <v>Embraco México, S. de R.L. de C.V.</v>
          </cell>
          <cell r="C1022" t="str">
            <v>-</v>
          </cell>
          <cell r="D1022" t="str">
            <v>Avenida de las Industrias</v>
          </cell>
          <cell r="E1022" t="str">
            <v>-</v>
          </cell>
          <cell r="F1022">
            <v>501</v>
          </cell>
          <cell r="G1022" t="str">
            <v>Pimsa Oriente</v>
          </cell>
          <cell r="H1022" t="str">
            <v>-</v>
          </cell>
          <cell r="I1022" t="str">
            <v>Apocada</v>
          </cell>
          <cell r="J1022" t="str">
            <v>Nuevo Leon</v>
          </cell>
          <cell r="K1022" t="str">
            <v>México</v>
          </cell>
        </row>
        <row r="1023">
          <cell r="A1023">
            <v>1026</v>
          </cell>
          <cell r="B1023" t="str">
            <v>Aceway de Mexico S. A. de C.V.</v>
          </cell>
          <cell r="D1023" t="str">
            <v>Caerretera Estatal 431</v>
          </cell>
          <cell r="E1023">
            <v>75</v>
          </cell>
          <cell r="F1023" t="str">
            <v>-</v>
          </cell>
          <cell r="G1023" t="str">
            <v>El Marques</v>
          </cell>
          <cell r="H1023">
            <v>76246</v>
          </cell>
          <cell r="I1023" t="str">
            <v>Queretaro</v>
          </cell>
          <cell r="J1023" t="str">
            <v>Queretaro</v>
          </cell>
          <cell r="K1023" t="str">
            <v>Mexico</v>
          </cell>
        </row>
        <row r="1024">
          <cell r="A1024">
            <v>1027</v>
          </cell>
          <cell r="B1024" t="str">
            <v>DESARROLLO E INGENIERIA URMAQ, S.A. de C.V.</v>
          </cell>
          <cell r="C1024" t="str">
            <v>-</v>
          </cell>
          <cell r="D1024" t="str">
            <v>Calle Uno</v>
          </cell>
          <cell r="E1024" t="str">
            <v>-</v>
          </cell>
          <cell r="F1024">
            <v>3</v>
          </cell>
          <cell r="G1024" t="str">
            <v>La Loma</v>
          </cell>
          <cell r="H1024">
            <v>42088</v>
          </cell>
          <cell r="I1024" t="str">
            <v>Pachuca</v>
          </cell>
          <cell r="J1024" t="str">
            <v>Hidalgo</v>
          </cell>
          <cell r="K1024" t="str">
            <v>Mexico</v>
          </cell>
        </row>
        <row r="1025">
          <cell r="A1025">
            <v>1028</v>
          </cell>
          <cell r="B1025" t="str">
            <v>TECNICA ELECTROMECANICA CENTRAL, S.A. DE C.V.</v>
          </cell>
          <cell r="C1025" t="str">
            <v>-</v>
          </cell>
          <cell r="D1025" t="str">
            <v xml:space="preserve">AV. TECNICOS </v>
          </cell>
          <cell r="E1025" t="str">
            <v>-</v>
          </cell>
          <cell r="F1025">
            <v>250</v>
          </cell>
          <cell r="G1025" t="str">
            <v xml:space="preserve">EL SABINO. </v>
          </cell>
          <cell r="H1025">
            <v>76148</v>
          </cell>
          <cell r="I1025" t="str">
            <v>QUERETARO</v>
          </cell>
          <cell r="J1025" t="str">
            <v>QUERETARO</v>
          </cell>
          <cell r="K1025" t="str">
            <v>Mexico</v>
          </cell>
        </row>
        <row r="1026">
          <cell r="A1026">
            <v>1029</v>
          </cell>
          <cell r="B1026" t="str">
            <v>CELAY S.A. de C.V.</v>
          </cell>
          <cell r="C1026" t="str">
            <v>-</v>
          </cell>
          <cell r="D1026" t="str">
            <v>Avenida Norte 4</v>
          </cell>
          <cell r="E1026" t="str">
            <v>-</v>
          </cell>
          <cell r="F1026">
            <v>110</v>
          </cell>
          <cell r="G1026" t="str">
            <v xml:space="preserve"> Ciudad Industrial Celaya </v>
          </cell>
          <cell r="H1026">
            <v>38010</v>
          </cell>
          <cell r="I1026" t="str">
            <v>Celaya</v>
          </cell>
          <cell r="J1026" t="str">
            <v>Guanajuato</v>
          </cell>
          <cell r="K1026" t="str">
            <v>Mexico</v>
          </cell>
        </row>
        <row r="1027">
          <cell r="A1027">
            <v>1030</v>
          </cell>
          <cell r="B1027" t="str">
            <v>Centro de Calidad Ambiental S.C.</v>
          </cell>
          <cell r="C1027" t="str">
            <v>-</v>
          </cell>
          <cell r="D1027" t="str">
            <v>Av. Heroico Colegio Militar y Arroyo del Mimbre</v>
          </cell>
          <cell r="E1027" t="str">
            <v>-</v>
          </cell>
          <cell r="F1027">
            <v>4901</v>
          </cell>
          <cell r="G1027" t="str">
            <v>Nombre de Dios</v>
          </cell>
          <cell r="H1027">
            <v>31300</v>
          </cell>
          <cell r="I1027" t="str">
            <v>Chihuahua</v>
          </cell>
          <cell r="J1027" t="str">
            <v>Chihuahua</v>
          </cell>
          <cell r="K1027" t="str">
            <v>Mexico</v>
          </cell>
        </row>
        <row r="1028">
          <cell r="A1028">
            <v>1031</v>
          </cell>
          <cell r="B1028" t="str">
            <v>Hugo Nicolás González Reyes</v>
          </cell>
          <cell r="C1028" t="str">
            <v>-</v>
          </cell>
          <cell r="D1028" t="str">
            <v>Gardenias</v>
          </cell>
          <cell r="E1028" t="str">
            <v>-</v>
          </cell>
          <cell r="F1028">
            <v>203</v>
          </cell>
          <cell r="G1028" t="str">
            <v>Residencial las Flores</v>
          </cell>
          <cell r="H1028">
            <v>50018</v>
          </cell>
          <cell r="I1028" t="str">
            <v>Toluca</v>
          </cell>
          <cell r="J1028" t="str">
            <v>Estado de México</v>
          </cell>
          <cell r="K1028" t="str">
            <v>Mexico</v>
          </cell>
        </row>
        <row r="1029">
          <cell r="A1029">
            <v>1032</v>
          </cell>
          <cell r="B1029" t="str">
            <v>DURMAN ESQUIVEL S.A. DE C.V.</v>
          </cell>
          <cell r="C1029" t="str">
            <v>-</v>
          </cell>
          <cell r="D1029" t="str">
            <v>Camino la Palma km 1.5</v>
          </cell>
          <cell r="E1029" t="str">
            <v>-</v>
          </cell>
          <cell r="F1029" t="str">
            <v>-</v>
          </cell>
          <cell r="G1029" t="str">
            <v>El Ahorcado</v>
          </cell>
          <cell r="H1029">
            <v>76700</v>
          </cell>
          <cell r="I1029" t="str">
            <v>Pedro Escobedo</v>
          </cell>
          <cell r="J1029" t="str">
            <v>Queretaro</v>
          </cell>
          <cell r="K1029" t="str">
            <v>Mexico</v>
          </cell>
        </row>
        <row r="1030">
          <cell r="A1030">
            <v>1033</v>
          </cell>
          <cell r="B1030" t="str">
            <v>Inalfa Roof Systems de México</v>
          </cell>
          <cell r="C1030" t="str">
            <v>-</v>
          </cell>
          <cell r="D1030" t="str">
            <v xml:space="preserve">Av. Río Mississippi </v>
          </cell>
          <cell r="E1030" t="str">
            <v>-</v>
          </cell>
          <cell r="F1030">
            <v>91</v>
          </cell>
          <cell r="G1030" t="str">
            <v>Parque Tecno-Industrial Castro del Río,</v>
          </cell>
          <cell r="H1030" t="str">
            <v>-</v>
          </cell>
          <cell r="I1030" t="str">
            <v>Irapuato</v>
          </cell>
          <cell r="J1030" t="str">
            <v>Guanajuato</v>
          </cell>
          <cell r="K1030" t="str">
            <v>Mexico</v>
          </cell>
        </row>
        <row r="1031">
          <cell r="A1031">
            <v>1034</v>
          </cell>
          <cell r="B1031" t="str">
            <v>Nacobre Planta Celaya</v>
          </cell>
          <cell r="C1031" t="str">
            <v>-</v>
          </cell>
          <cell r="D1031" t="str">
            <v>Carretera Panamericana Km. 292</v>
          </cell>
          <cell r="E1031" t="str">
            <v>-</v>
          </cell>
          <cell r="F1031" t="str">
            <v>-</v>
          </cell>
          <cell r="G1031" t="str">
            <v>-</v>
          </cell>
          <cell r="H1031">
            <v>38260</v>
          </cell>
          <cell r="I1031" t="str">
            <v>Celaya</v>
          </cell>
          <cell r="J1031" t="str">
            <v>Guanajuato</v>
          </cell>
          <cell r="K1031" t="str">
            <v>Mexico</v>
          </cell>
        </row>
        <row r="1032">
          <cell r="A1032">
            <v>1035</v>
          </cell>
          <cell r="B1032" t="str">
            <v>Grupo Industrial Val Ro, S.A. de C.V.</v>
          </cell>
          <cell r="C1032" t="str">
            <v>-</v>
          </cell>
          <cell r="D1032" t="str">
            <v xml:space="preserve">Carr. Jorobas Tula Km. 3.5 </v>
          </cell>
          <cell r="E1032" t="str">
            <v>Mza. 3</v>
          </cell>
          <cell r="F1032" t="str">
            <v>Lote 8</v>
          </cell>
          <cell r="G1032" t="str">
            <v>Fracc. Parque Industrial Huehuetoca</v>
          </cell>
          <cell r="H1032">
            <v>54680</v>
          </cell>
          <cell r="I1032" t="str">
            <v>Huehuetoca</v>
          </cell>
          <cell r="J1032" t="str">
            <v>Estado de México</v>
          </cell>
          <cell r="K1032" t="str">
            <v>Mexico</v>
          </cell>
        </row>
        <row r="1033">
          <cell r="A1033">
            <v>1036</v>
          </cell>
          <cell r="B1033" t="str">
            <v>IRIZAR MÉXICO, S.A. DE C.V.</v>
          </cell>
          <cell r="C1033" t="str">
            <v>-</v>
          </cell>
          <cell r="D1033" t="str">
            <v>Av. Las Misiones , 3ra. Etapa</v>
          </cell>
          <cell r="E1033" t="str">
            <v>-</v>
          </cell>
          <cell r="F1033">
            <v>13</v>
          </cell>
          <cell r="G1033" t="str">
            <v xml:space="preserve">Parque Industrial Bernardo Quintana </v>
          </cell>
          <cell r="H1033">
            <v>76246</v>
          </cell>
          <cell r="I1033" t="str">
            <v>El Marques</v>
          </cell>
          <cell r="J1033" t="str">
            <v>Queretaro</v>
          </cell>
          <cell r="K1033" t="str">
            <v>Mexico</v>
          </cell>
        </row>
        <row r="1034">
          <cell r="A1034">
            <v>1037</v>
          </cell>
          <cell r="B1034" t="str">
            <v>GRUPO ARIGMED S. de R.L. de C.V.</v>
          </cell>
          <cell r="C1034" t="str">
            <v>-</v>
          </cell>
          <cell r="D1034" t="str">
            <v xml:space="preserve">Avenida 16 de Enero de 1969 </v>
          </cell>
          <cell r="E1034" t="str">
            <v>-</v>
          </cell>
          <cell r="F1034">
            <v>6</v>
          </cell>
          <cell r="G1034" t="str">
            <v>Huitzila</v>
          </cell>
          <cell r="H1034">
            <v>43820</v>
          </cell>
          <cell r="I1034" t="str">
            <v>Tizayuca</v>
          </cell>
          <cell r="J1034" t="str">
            <v xml:space="preserve"> Hidalgo </v>
          </cell>
          <cell r="K1034" t="str">
            <v>Mexico</v>
          </cell>
        </row>
        <row r="1035">
          <cell r="A1035">
            <v>1038</v>
          </cell>
          <cell r="B1035" t="str">
            <v>Hellermann Tyton S. de R.L. de C.V.</v>
          </cell>
          <cell r="C1035" t="str">
            <v>-</v>
          </cell>
          <cell r="D1035" t="str">
            <v>Anillo Periferico Sur, Edificio 6-A</v>
          </cell>
          <cell r="E1035" t="str">
            <v>-</v>
          </cell>
          <cell r="F1035">
            <v>7980</v>
          </cell>
          <cell r="G1035" t="str">
            <v>Santa Maria Tequepexpan</v>
          </cell>
          <cell r="H1035">
            <v>45601</v>
          </cell>
          <cell r="I1035" t="str">
            <v>Tlaquepaque</v>
          </cell>
          <cell r="J1035" t="str">
            <v>Jalisco</v>
          </cell>
          <cell r="K1035" t="str">
            <v>Mexico</v>
          </cell>
        </row>
        <row r="1036">
          <cell r="A1036">
            <v>1039</v>
          </cell>
          <cell r="B1036" t="str">
            <v>Mecánica Tek, S.A. de C.V.</v>
          </cell>
          <cell r="C1036" t="str">
            <v>MTE010529QV8</v>
          </cell>
          <cell r="D1036" t="str">
            <v xml:space="preserve">Av. Cuauhtémoc </v>
          </cell>
          <cell r="E1036" t="str">
            <v>B</v>
          </cell>
          <cell r="F1036">
            <v>140</v>
          </cell>
          <cell r="G1036" t="str">
            <v>El Carmen  Totolelpec</v>
          </cell>
          <cell r="H1036">
            <v>50200</v>
          </cell>
          <cell r="I1036" t="str">
            <v>Toluca</v>
          </cell>
          <cell r="J1036" t="str">
            <v>Estado de México</v>
          </cell>
          <cell r="K1036" t="str">
            <v>México</v>
          </cell>
        </row>
        <row r="1037">
          <cell r="A1037">
            <v>1040</v>
          </cell>
          <cell r="B1037" t="str">
            <v>Consejo Mexicano de Certificación, A.C.</v>
          </cell>
          <cell r="C1037" t="str">
            <v>-</v>
          </cell>
          <cell r="D1037" t="str">
            <v>Nogal</v>
          </cell>
          <cell r="E1037" t="str">
            <v>Local B</v>
          </cell>
          <cell r="F1037">
            <v>45</v>
          </cell>
          <cell r="G1037" t="str">
            <v>Santa Maria la Ribera</v>
          </cell>
          <cell r="H1037" t="str">
            <v>06400</v>
          </cell>
          <cell r="I1037" t="str">
            <v>Delegación Cuahutemoc</v>
          </cell>
          <cell r="J1037" t="str">
            <v>Distrito Federal</v>
          </cell>
          <cell r="K1037" t="str">
            <v>México</v>
          </cell>
        </row>
        <row r="1038">
          <cell r="A1038">
            <v>1041</v>
          </cell>
          <cell r="B1038" t="str">
            <v>Baker Hughes Operations México S.A. de C.V.</v>
          </cell>
          <cell r="C1038" t="str">
            <v>-</v>
          </cell>
          <cell r="D1038" t="str">
            <v>Carretera Federal Carmen-Puerto Real Km 14 +200</v>
          </cell>
          <cell r="E1038" t="str">
            <v>-</v>
          </cell>
          <cell r="F1038" t="str">
            <v>-</v>
          </cell>
          <cell r="G1038" t="str">
            <v>-</v>
          </cell>
          <cell r="H1038">
            <v>24119</v>
          </cell>
          <cell r="I1038" t="str">
            <v>Ciudad de Carmen</v>
          </cell>
          <cell r="J1038" t="str">
            <v>Campeche</v>
          </cell>
          <cell r="K1038" t="str">
            <v>México</v>
          </cell>
        </row>
        <row r="1039">
          <cell r="A1039">
            <v>1042</v>
          </cell>
          <cell r="B1039" t="str">
            <v>Ohashi Technica México, S.A. de C.V.</v>
          </cell>
          <cell r="C1039" t="str">
            <v>-</v>
          </cell>
          <cell r="D1039" t="str">
            <v>Circuito San Roque Poniente</v>
          </cell>
          <cell r="E1039" t="str">
            <v>D</v>
          </cell>
          <cell r="F1039">
            <v>263</v>
          </cell>
          <cell r="G1039" t="str">
            <v>Parque Industrial Santa Fe II</v>
          </cell>
          <cell r="H1039">
            <v>36275</v>
          </cell>
          <cell r="I1039" t="str">
            <v>Silao</v>
          </cell>
          <cell r="J1039" t="str">
            <v>Guanajuato</v>
          </cell>
          <cell r="K1039" t="str">
            <v>México</v>
          </cell>
        </row>
        <row r="1040">
          <cell r="A1040">
            <v>1043</v>
          </cell>
          <cell r="B1040" t="str">
            <v>Meicoma S.C.</v>
          </cell>
          <cell r="D1040" t="str">
            <v>Av. Jurica-San Juan, Fraccionamiento Altavista</v>
          </cell>
          <cell r="E1040" t="str">
            <v>Dep. 502-A</v>
          </cell>
          <cell r="F1040">
            <v>1050</v>
          </cell>
          <cell r="G1040" t="str">
            <v>Juriquilla</v>
          </cell>
          <cell r="H1040">
            <v>76230</v>
          </cell>
          <cell r="I1040" t="str">
            <v>Queretaro</v>
          </cell>
          <cell r="J1040" t="str">
            <v>Queretaro</v>
          </cell>
          <cell r="K1040" t="str">
            <v>México</v>
          </cell>
        </row>
        <row r="1041">
          <cell r="A1041">
            <v>1044</v>
          </cell>
          <cell r="B1041" t="str">
            <v>Polymers</v>
          </cell>
          <cell r="C1041" t="str">
            <v>-</v>
          </cell>
          <cell r="D1041" t="str">
            <v xml:space="preserve">Prolongación Paseo De La Constitución </v>
          </cell>
          <cell r="E1041" t="str">
            <v>A</v>
          </cell>
          <cell r="F1041">
            <v>9</v>
          </cell>
          <cell r="G1041" t="str">
            <v>Fraccionamiento Industrial San Pedrito Peñuelas</v>
          </cell>
          <cell r="H1041" t="str">
            <v>-</v>
          </cell>
          <cell r="I1041" t="str">
            <v>Queretaro</v>
          </cell>
          <cell r="J1041" t="str">
            <v>Queretaro</v>
          </cell>
          <cell r="K1041" t="str">
            <v>México</v>
          </cell>
        </row>
        <row r="1042">
          <cell r="A1042">
            <v>1045</v>
          </cell>
          <cell r="B1042" t="str">
            <v>BARDAHL  DE MEXICO, S.A. DE C.V.</v>
          </cell>
          <cell r="C1042" t="str">
            <v>-</v>
          </cell>
          <cell r="D1042" t="str">
            <v>Eje 1 Norte</v>
          </cell>
          <cell r="E1042" t="str">
            <v>Mza. 1</v>
          </cell>
          <cell r="F1042">
            <v>16</v>
          </cell>
          <cell r="G1042" t="str">
            <v>Parque Industrial Toluca 2000</v>
          </cell>
          <cell r="H1042">
            <v>50233</v>
          </cell>
          <cell r="I1042" t="str">
            <v>Toluca</v>
          </cell>
          <cell r="J1042" t="str">
            <v>Estado de México</v>
          </cell>
          <cell r="K1042" t="str">
            <v>México</v>
          </cell>
        </row>
        <row r="1043">
          <cell r="A1043">
            <v>1046</v>
          </cell>
          <cell r="B1043" t="str">
            <v>ACT Energy México, S.de R.L. de C.V.</v>
          </cell>
          <cell r="C1043" t="str">
            <v>-</v>
          </cell>
          <cell r="D1043" t="str">
            <v xml:space="preserve">Carretera Luis Gil Perez </v>
          </cell>
          <cell r="E1043" t="str">
            <v>-</v>
          </cell>
          <cell r="F1043" t="str">
            <v>-</v>
          </cell>
          <cell r="G1043" t="str">
            <v>Rancheria Estancia Vieja Segunda Sección, Centro</v>
          </cell>
          <cell r="H1043">
            <v>86280</v>
          </cell>
          <cell r="I1043" t="str">
            <v>Villahermosa</v>
          </cell>
          <cell r="J1043" t="str">
            <v xml:space="preserve">Tabasco, </v>
          </cell>
          <cell r="K1043" t="str">
            <v>Mexico</v>
          </cell>
        </row>
        <row r="1044">
          <cell r="A1044">
            <v>1047</v>
          </cell>
          <cell r="B1044" t="str">
            <v>Maquinados Industriales COPEDI</v>
          </cell>
          <cell r="C1044" t="str">
            <v>-</v>
          </cell>
          <cell r="D1044" t="str">
            <v>Margaritas</v>
          </cell>
          <cell r="E1044" t="str">
            <v>-</v>
          </cell>
          <cell r="F1044">
            <v>102</v>
          </cell>
          <cell r="G1044" t="str">
            <v>Las Flores</v>
          </cell>
          <cell r="H1044">
            <v>76135</v>
          </cell>
          <cell r="I1044" t="str">
            <v>Querétaro</v>
          </cell>
          <cell r="J1044" t="str">
            <v>Querétaro</v>
          </cell>
          <cell r="K1044" t="str">
            <v>Mexico</v>
          </cell>
        </row>
        <row r="1045">
          <cell r="A1045">
            <v>1048</v>
          </cell>
          <cell r="B1045" t="str">
            <v>COMERCIALIZADORA MIFISA, S.A. DE C.V.</v>
          </cell>
          <cell r="C1045" t="str">
            <v>-</v>
          </cell>
          <cell r="D1045" t="str">
            <v>Calle 3</v>
          </cell>
          <cell r="E1045" t="str">
            <v>A</v>
          </cell>
          <cell r="F1045">
            <v>11</v>
          </cell>
          <cell r="G1045" t="str">
            <v>Fraccionamiento Industrial Benito Juarez</v>
          </cell>
          <cell r="H1045">
            <v>76120</v>
          </cell>
          <cell r="I1045" t="str">
            <v>Santiago de Querétaro</v>
          </cell>
          <cell r="J1045" t="str">
            <v>Querétaro</v>
          </cell>
          <cell r="K1045" t="str">
            <v>Mexico</v>
          </cell>
        </row>
        <row r="1046">
          <cell r="A1046">
            <v>1049</v>
          </cell>
          <cell r="B1046" t="str">
            <v>QATSUKO S.C.</v>
          </cell>
          <cell r="C1046" t="str">
            <v>-</v>
          </cell>
          <cell r="D1046" t="str">
            <v>Av. Tercer Milenio</v>
          </cell>
          <cell r="E1046">
            <v>1</v>
          </cell>
          <cell r="F1046">
            <v>205</v>
          </cell>
          <cell r="G1046" t="str">
            <v>Fraccionamiento Lomas del Tecnologico</v>
          </cell>
          <cell r="H1046">
            <v>78215</v>
          </cell>
          <cell r="I1046" t="str">
            <v>San Luis Potosi.</v>
          </cell>
          <cell r="J1046" t="str">
            <v>San Luis Potosi.</v>
          </cell>
          <cell r="K1046" t="str">
            <v>Mexico</v>
          </cell>
        </row>
        <row r="1047">
          <cell r="A1047">
            <v>1050</v>
          </cell>
          <cell r="B1047" t="str">
            <v>NIFCO CENTRAL MEXICO, S. DE R.L. de C.V.</v>
          </cell>
          <cell r="C1047" t="str">
            <v>-</v>
          </cell>
          <cell r="D1047" t="str">
            <v>Av. Rio San Lorenzo</v>
          </cell>
          <cell r="E1047" t="str">
            <v>-</v>
          </cell>
          <cell r="F1047">
            <v>1117</v>
          </cell>
          <cell r="G1047" t="str">
            <v>Parque Tecnoindustrial Castro del Rio</v>
          </cell>
          <cell r="H1047">
            <v>36815</v>
          </cell>
          <cell r="I1047" t="str">
            <v>Irapuato</v>
          </cell>
          <cell r="J1047" t="str">
            <v>Guanajuato</v>
          </cell>
          <cell r="K1047" t="str">
            <v>Mexico</v>
          </cell>
        </row>
        <row r="1048">
          <cell r="A1048">
            <v>1051</v>
          </cell>
          <cell r="B1048" t="str">
            <v>ALUPRESS S.A. DE C.V.</v>
          </cell>
          <cell r="C1048" t="str">
            <v>-</v>
          </cell>
          <cell r="D1048" t="str">
            <v>Miguel Hidalgo</v>
          </cell>
          <cell r="E1048" t="str">
            <v>-</v>
          </cell>
          <cell r="F1048">
            <v>53</v>
          </cell>
          <cell r="G1048" t="str">
            <v>Santa Clara</v>
          </cell>
          <cell r="H1048">
            <v>55540</v>
          </cell>
          <cell r="I1048" t="str">
            <v>Ecatepec</v>
          </cell>
          <cell r="J1048" t="str">
            <v>Estado de México</v>
          </cell>
          <cell r="K1048" t="str">
            <v>Mexico</v>
          </cell>
        </row>
        <row r="1049">
          <cell r="A1049">
            <v>1052</v>
          </cell>
          <cell r="B1049" t="str">
            <v>Aditivos Mexicanos, S.A. De C.V.</v>
          </cell>
          <cell r="C1049" t="str">
            <v>-</v>
          </cell>
          <cell r="D1049" t="str">
            <v>Norte 3</v>
          </cell>
          <cell r="E1049" t="str">
            <v>-</v>
          </cell>
          <cell r="F1049">
            <v>13</v>
          </cell>
          <cell r="G1049" t="str">
            <v>Nuevo Parque San Juan del Río</v>
          </cell>
          <cell r="H1049">
            <v>76806</v>
          </cell>
          <cell r="I1049" t="str">
            <v>San Juan del Río</v>
          </cell>
          <cell r="J1049" t="str">
            <v>Querétaro</v>
          </cell>
          <cell r="K1049" t="str">
            <v>Mexico</v>
          </cell>
        </row>
        <row r="1050">
          <cell r="A1050">
            <v>1053</v>
          </cell>
          <cell r="B1050" t="str">
            <v>ECOEMPQQUES DE CARTON</v>
          </cell>
          <cell r="C1050" t="str">
            <v>-</v>
          </cell>
          <cell r="D1050" t="str">
            <v>Blvd Ibarrilla</v>
          </cell>
          <cell r="E1050" t="str">
            <v>-</v>
          </cell>
          <cell r="F1050">
            <v>115</v>
          </cell>
          <cell r="G1050" t="str">
            <v>San Jose del Consuelo</v>
          </cell>
          <cell r="H1050">
            <v>37200</v>
          </cell>
          <cell r="I1050" t="str">
            <v>Leon</v>
          </cell>
          <cell r="J1050" t="str">
            <v>Guanajuato</v>
          </cell>
          <cell r="K1050" t="str">
            <v>Mexico</v>
          </cell>
        </row>
        <row r="1051">
          <cell r="A1051">
            <v>1054</v>
          </cell>
          <cell r="B1051" t="str">
            <v>Sk Tec Mexicana S.A. de C.V.</v>
          </cell>
          <cell r="C1051" t="str">
            <v>-</v>
          </cell>
          <cell r="D1051" t="str">
            <v>Av. Rio Ota</v>
          </cell>
          <cell r="E1051" t="str">
            <v>-</v>
          </cell>
          <cell r="F1051">
            <v>292</v>
          </cell>
          <cell r="G1051" t="str">
            <v>Parque Tecnoindustrial Castro del Rio</v>
          </cell>
          <cell r="H1051">
            <v>36815</v>
          </cell>
          <cell r="I1051" t="str">
            <v>Irapuato</v>
          </cell>
          <cell r="J1051" t="str">
            <v>Guanajuato</v>
          </cell>
          <cell r="K1051" t="str">
            <v>Mexico</v>
          </cell>
        </row>
        <row r="1052">
          <cell r="A1052">
            <v>1055</v>
          </cell>
          <cell r="B1052" t="str">
            <v>Orbis Plastic Molding de México S. de R.L. de C.V.</v>
          </cell>
          <cell r="C1052" t="str">
            <v>-</v>
          </cell>
          <cell r="D1052" t="str">
            <v>Av. Libre Comercio</v>
          </cell>
          <cell r="E1052" t="str">
            <v>-</v>
          </cell>
          <cell r="F1052">
            <v>135</v>
          </cell>
          <cell r="G1052" t="str">
            <v>Parque Industrial Santa Fe III</v>
          </cell>
          <cell r="H1052">
            <v>36275</v>
          </cell>
          <cell r="I1052" t="str">
            <v>Silao</v>
          </cell>
          <cell r="J1052" t="str">
            <v>Guanajuato</v>
          </cell>
          <cell r="K1052" t="str">
            <v>Mexico</v>
          </cell>
        </row>
        <row r="1053">
          <cell r="A1053">
            <v>1056</v>
          </cell>
          <cell r="B1053" t="str">
            <v>Berro Industrial y Servicios S.A. de C.V.</v>
          </cell>
          <cell r="C1053" t="str">
            <v>-</v>
          </cell>
          <cell r="D1053" t="str">
            <v>Av. Insurgentes</v>
          </cell>
          <cell r="E1053">
            <v>6</v>
          </cell>
          <cell r="F1053" t="str">
            <v>23-B</v>
          </cell>
          <cell r="G1053" t="str">
            <v>Alameda</v>
          </cell>
          <cell r="H1053">
            <v>82128</v>
          </cell>
          <cell r="I1053" t="str">
            <v>Mazatlán</v>
          </cell>
          <cell r="J1053" t="str">
            <v>Sinaloa</v>
          </cell>
          <cell r="K1053" t="str">
            <v>Mexico</v>
          </cell>
        </row>
        <row r="1054">
          <cell r="A1054">
            <v>1057</v>
          </cell>
          <cell r="B1054" t="str">
            <v>SAMA HERRAMIENTAS</v>
          </cell>
          <cell r="C1054" t="str">
            <v>-</v>
          </cell>
          <cell r="D1054" t="str">
            <v>Sector 35 Mza 115</v>
          </cell>
          <cell r="E1054">
            <v>3</v>
          </cell>
          <cell r="F1054">
            <v>54</v>
          </cell>
          <cell r="G1054" t="str">
            <v>-</v>
          </cell>
          <cell r="H1054">
            <v>55765</v>
          </cell>
          <cell r="I1054" t="str">
            <v>Los Heroes Tecamac</v>
          </cell>
          <cell r="J1054" t="str">
            <v>Estado de México</v>
          </cell>
          <cell r="K1054" t="str">
            <v>Mexico</v>
          </cell>
        </row>
        <row r="1055">
          <cell r="A1055">
            <v>1058</v>
          </cell>
          <cell r="B1055" t="str">
            <v>FUNDICIÓN DE PRECISIÓN EUTECTIC SA DE CV</v>
          </cell>
          <cell r="C1055" t="str">
            <v>-</v>
          </cell>
          <cell r="D1055" t="str">
            <v>AVENIDA DEL CONDE</v>
          </cell>
          <cell r="E1055" t="str">
            <v>-</v>
          </cell>
          <cell r="F1055">
            <v>45</v>
          </cell>
          <cell r="G1055" t="str">
            <v>PARQUE INDUSTRIAL 5 DE MAYO,</v>
          </cell>
          <cell r="H1055">
            <v>72019</v>
          </cell>
          <cell r="I1055" t="str">
            <v>PUEBLA</v>
          </cell>
          <cell r="J1055" t="str">
            <v>PUEBLA</v>
          </cell>
          <cell r="K1055" t="str">
            <v>Mexico</v>
          </cell>
        </row>
        <row r="1056">
          <cell r="A1056">
            <v>1059</v>
          </cell>
          <cell r="B1056" t="str">
            <v>MAQRO CNC S.A. DE C.V.</v>
          </cell>
          <cell r="C1056" t="str">
            <v>-</v>
          </cell>
          <cell r="D1056" t="str">
            <v>JARDINEROS</v>
          </cell>
          <cell r="E1056" t="str">
            <v>-</v>
          </cell>
          <cell r="F1056" t="str">
            <v>93-L</v>
          </cell>
          <cell r="G1056" t="str">
            <v>ZONA INDUSTRIAL PEÑUELAS</v>
          </cell>
          <cell r="H1056">
            <v>76148</v>
          </cell>
          <cell r="I1056" t="str">
            <v>QUERETARO</v>
          </cell>
          <cell r="J1056" t="str">
            <v>QUERETARO</v>
          </cell>
          <cell r="K1056" t="str">
            <v>Mexico</v>
          </cell>
        </row>
        <row r="1057">
          <cell r="A1057">
            <v>1060</v>
          </cell>
          <cell r="B1057" t="str">
            <v>CENTRO DE INVESTIGACION Y TECNOLOGIA Z, S.A. DE C.V.</v>
          </cell>
          <cell r="D1057" t="str">
            <v>ANTONIO CARRANZA</v>
          </cell>
          <cell r="E1057" t="str">
            <v>-</v>
          </cell>
          <cell r="F1057">
            <v>559</v>
          </cell>
          <cell r="G1057" t="str">
            <v>CLAUSTROS DEL CAMPESTRE</v>
          </cell>
          <cell r="H1057">
            <v>76086</v>
          </cell>
          <cell r="I1057" t="str">
            <v>QUERETARO</v>
          </cell>
          <cell r="J1057" t="str">
            <v>QUERETARO</v>
          </cell>
          <cell r="K1057" t="str">
            <v>Mexico</v>
          </cell>
        </row>
        <row r="1058">
          <cell r="A1058">
            <v>1061</v>
          </cell>
          <cell r="B1058" t="str">
            <v>KATAYAMA MEXICO, S.A. DE C.V.</v>
          </cell>
          <cell r="C1058" t="str">
            <v>-</v>
          </cell>
          <cell r="D1058" t="str">
            <v>AV. DE LAS FUENTES</v>
          </cell>
          <cell r="E1058">
            <v>13</v>
          </cell>
          <cell r="F1058">
            <v>106</v>
          </cell>
          <cell r="G1058" t="str">
            <v>PARQUE INDUSTRIAL FINSA</v>
          </cell>
          <cell r="H1058">
            <v>76246</v>
          </cell>
          <cell r="I1058" t="str">
            <v>EL MARQUES</v>
          </cell>
          <cell r="J1058" t="str">
            <v>QUERETARO</v>
          </cell>
          <cell r="K1058" t="str">
            <v>Mexico</v>
          </cell>
        </row>
        <row r="1059">
          <cell r="A1059">
            <v>1062</v>
          </cell>
          <cell r="B1059" t="str">
            <v>Gas Natural Fenosa</v>
          </cell>
          <cell r="C1059" t="str">
            <v>-</v>
          </cell>
          <cell r="D1059" t="str">
            <v>Carretera La Victoria - Los cazones Km. 15.5</v>
          </cell>
          <cell r="E1059" t="str">
            <v>-</v>
          </cell>
          <cell r="F1059" t="str">
            <v>-</v>
          </cell>
          <cell r="G1059" t="str">
            <v>Congregación Chile Frio</v>
          </cell>
          <cell r="H1059">
            <v>92800</v>
          </cell>
          <cell r="I1059" t="str">
            <v>Tuxpan</v>
          </cell>
          <cell r="J1059" t="str">
            <v>Veracruz</v>
          </cell>
          <cell r="K1059" t="str">
            <v>Mexico</v>
          </cell>
        </row>
        <row r="1060">
          <cell r="A1060">
            <v>1063</v>
          </cell>
          <cell r="B1060" t="str">
            <v>Autoliv Steering Wheels México, S. de R.L. de C.V</v>
          </cell>
          <cell r="C1060" t="str">
            <v>-</v>
          </cell>
          <cell r="D1060" t="str">
            <v>Av. El Tepeyac</v>
          </cell>
          <cell r="E1060" t="str">
            <v>-</v>
          </cell>
          <cell r="F1060">
            <v>1360</v>
          </cell>
          <cell r="G1060" t="str">
            <v>Parque Industrial O´Donnell- Aeropuerto</v>
          </cell>
          <cell r="H1060" t="str">
            <v>-</v>
          </cell>
          <cell r="I1060" t="str">
            <v>El Marques</v>
          </cell>
          <cell r="J1060" t="str">
            <v>QUERETARO</v>
          </cell>
          <cell r="K1060" t="str">
            <v>Mexico</v>
          </cell>
        </row>
        <row r="1061">
          <cell r="A1061">
            <v>1064</v>
          </cell>
          <cell r="B1061" t="str">
            <v>Cummins Grupo Comercial y de Servicios, S. de R.L. C.V.</v>
          </cell>
          <cell r="C1061" t="str">
            <v>-</v>
          </cell>
          <cell r="D1061" t="str">
            <v>Eje 122</v>
          </cell>
          <cell r="E1061" t="str">
            <v>-</v>
          </cell>
          <cell r="F1061">
            <v>200</v>
          </cell>
          <cell r="G1061" t="str">
            <v>Zona Industrial</v>
          </cell>
          <cell r="H1061">
            <v>78395</v>
          </cell>
          <cell r="I1061" t="str">
            <v>San Luis Potosi.</v>
          </cell>
          <cell r="J1061" t="str">
            <v>San Luis Potosi.</v>
          </cell>
          <cell r="K1061" t="str">
            <v>Mexico</v>
          </cell>
        </row>
        <row r="1062">
          <cell r="A1062">
            <v>1065</v>
          </cell>
          <cell r="B1062" t="str">
            <v>Marmon Keystone de México, S.A. de C.V.</v>
          </cell>
          <cell r="C1062" t="str">
            <v>-</v>
          </cell>
          <cell r="D1062" t="str">
            <v>Acceso III</v>
          </cell>
          <cell r="E1062" t="str">
            <v>-</v>
          </cell>
          <cell r="F1062">
            <v>959</v>
          </cell>
          <cell r="G1062" t="str">
            <v>Parque Industrial Benito Juarez</v>
          </cell>
          <cell r="H1062">
            <v>76120</v>
          </cell>
          <cell r="I1062" t="str">
            <v>Santiago de Querétaro</v>
          </cell>
          <cell r="J1062" t="str">
            <v>Queretaro</v>
          </cell>
          <cell r="K1062" t="str">
            <v>Mexico</v>
          </cell>
        </row>
        <row r="1063">
          <cell r="A1063">
            <v>1066</v>
          </cell>
          <cell r="B1063" t="str">
            <v>Hyunbo, S. de R.L. de C.V</v>
          </cell>
          <cell r="C1063" t="str">
            <v>-</v>
          </cell>
          <cell r="D1063" t="str">
            <v xml:space="preserve">Calle Cataratas </v>
          </cell>
          <cell r="E1063" t="str">
            <v>-</v>
          </cell>
          <cell r="F1063">
            <v>13</v>
          </cell>
          <cell r="G1063" t="str">
            <v>Parque Industrial La Noria</v>
          </cell>
          <cell r="H1063" t="str">
            <v>-</v>
          </cell>
          <cell r="I1063" t="str">
            <v>El Marques</v>
          </cell>
          <cell r="J1063" t="str">
            <v>Queretaro</v>
          </cell>
          <cell r="K1063" t="str">
            <v>Mexico</v>
          </cell>
        </row>
        <row r="1064">
          <cell r="A1064">
            <v>1067</v>
          </cell>
          <cell r="B1064" t="str">
            <v>MANUEL MARCOS BAEZ VALLEJO</v>
          </cell>
          <cell r="C1064" t="str">
            <v>-</v>
          </cell>
          <cell r="D1064" t="str">
            <v>STA. BEATRIZ</v>
          </cell>
          <cell r="F1064">
            <v>1629</v>
          </cell>
          <cell r="G1064" t="str">
            <v>SANTA MARIA</v>
          </cell>
          <cell r="H1064">
            <v>44350</v>
          </cell>
          <cell r="I1064" t="str">
            <v>GUADALAJARA</v>
          </cell>
          <cell r="J1064" t="str">
            <v>JALISCO</v>
          </cell>
          <cell r="K1064" t="str">
            <v>Mexico</v>
          </cell>
        </row>
        <row r="1065">
          <cell r="A1065">
            <v>1068</v>
          </cell>
          <cell r="B1065" t="str">
            <v>USADOS TRACTOCAMIONES Y PARTES REFACCIONARIAS S.A. DE C.V.</v>
          </cell>
          <cell r="C1065" t="str">
            <v>-</v>
          </cell>
          <cell r="D1065" t="str">
            <v>CARRETERA FEDERAL TOLUCA NAUCALPAN</v>
          </cell>
          <cell r="E1065" t="str">
            <v>-</v>
          </cell>
          <cell r="F1065">
            <v>156</v>
          </cell>
          <cell r="G1065" t="str">
            <v>BARRIO EL ESPINO</v>
          </cell>
          <cell r="H1065">
            <v>52080</v>
          </cell>
          <cell r="I1065" t="str">
            <v>OTZOLOTEPEC</v>
          </cell>
          <cell r="J1065" t="str">
            <v>ESTADO DE MÉXICO</v>
          </cell>
          <cell r="K1065" t="str">
            <v>MEXICO</v>
          </cell>
        </row>
        <row r="1066">
          <cell r="A1066">
            <v>1069</v>
          </cell>
          <cell r="B1066" t="str">
            <v>Safran Landing Systems Services Americas S.A. de C.V.</v>
          </cell>
          <cell r="C1066" t="str">
            <v>-</v>
          </cell>
          <cell r="D1066" t="str">
            <v>Av. La Noria, Km 28.5</v>
          </cell>
          <cell r="E1066" t="str">
            <v>-</v>
          </cell>
          <cell r="F1066">
            <v>131</v>
          </cell>
          <cell r="G1066" t="str">
            <v>Parque Industrial Queretaro</v>
          </cell>
          <cell r="H1066">
            <v>76220</v>
          </cell>
          <cell r="I1066" t="str">
            <v>Queretaro</v>
          </cell>
          <cell r="J1066" t="str">
            <v>Queretaro</v>
          </cell>
          <cell r="K1066" t="str">
            <v>Mexico</v>
          </cell>
        </row>
        <row r="1067">
          <cell r="A1067">
            <v>1070</v>
          </cell>
          <cell r="B1067" t="str">
            <v>Cooperation Manufacturing Plant Aguascalientes S.A.P.I. de C.V.</v>
          </cell>
          <cell r="C1067" t="str">
            <v>-</v>
          </cell>
          <cell r="D1067" t="str">
            <v>Carretera Panameriaca Sur Km. 112</v>
          </cell>
          <cell r="F1067" t="str">
            <v>Acceso 1</v>
          </cell>
          <cell r="G1067" t="str">
            <v>Peñuelas</v>
          </cell>
          <cell r="H1067">
            <v>20340</v>
          </cell>
          <cell r="I1067" t="str">
            <v>Aguascalientes</v>
          </cell>
          <cell r="J1067" t="str">
            <v>Aguascalientes</v>
          </cell>
          <cell r="K1067" t="str">
            <v>Mexico</v>
          </cell>
        </row>
        <row r="1068">
          <cell r="A1068">
            <v>1071</v>
          </cell>
          <cell r="B1068" t="str">
            <v>CANEL'S ZONA INDUSTRIAL</v>
          </cell>
          <cell r="C1068" t="str">
            <v>-</v>
          </cell>
          <cell r="D1068" t="str">
            <v>Av.Industrias</v>
          </cell>
          <cell r="E1068" t="str">
            <v>-</v>
          </cell>
          <cell r="F1068">
            <v>3805</v>
          </cell>
          <cell r="G1068" t="str">
            <v>Zona Industrial San Luis Potosi</v>
          </cell>
          <cell r="H1068">
            <v>78090</v>
          </cell>
          <cell r="I1068" t="str">
            <v>San Luis Potosi.</v>
          </cell>
          <cell r="J1068" t="str">
            <v>San Luis Potosi.</v>
          </cell>
          <cell r="K1068" t="str">
            <v>Mexico</v>
          </cell>
        </row>
        <row r="1069">
          <cell r="A1069">
            <v>1072</v>
          </cell>
          <cell r="B1069" t="str">
            <v xml:space="preserve">Maq Mold Precision </v>
          </cell>
          <cell r="C1069" t="str">
            <v>-</v>
          </cell>
          <cell r="D1069" t="str">
            <v>Adolfo Ruiz Cortinez</v>
          </cell>
          <cell r="E1069" t="str">
            <v>-</v>
          </cell>
          <cell r="F1069">
            <v>506</v>
          </cell>
          <cell r="G1069" t="str">
            <v xml:space="preserve">Presidentes    </v>
          </cell>
          <cell r="H1069">
            <v>76080</v>
          </cell>
          <cell r="I1069" t="str">
            <v>Queretaro</v>
          </cell>
          <cell r="J1069" t="str">
            <v>Queretaro</v>
          </cell>
          <cell r="K1069" t="str">
            <v>Mexico</v>
          </cell>
        </row>
        <row r="1070">
          <cell r="A1070">
            <v>1073</v>
          </cell>
          <cell r="B1070" t="str">
            <v>Fulltech Casting México S. de R.L. de C.V.</v>
          </cell>
          <cell r="C1070" t="str">
            <v>-</v>
          </cell>
          <cell r="D1070" t="str">
            <v>Autopista México-Queretaro Km194-813</v>
          </cell>
          <cell r="E1070" t="str">
            <v>Delta I, II</v>
          </cell>
          <cell r="F1070" t="str">
            <v>Bodega C</v>
          </cell>
          <cell r="G1070" t="str">
            <v>Parque Industrial La Bomba</v>
          </cell>
          <cell r="H1070">
            <v>76246</v>
          </cell>
          <cell r="I1070" t="str">
            <v>El Marques</v>
          </cell>
          <cell r="J1070" t="str">
            <v>Queretaro</v>
          </cell>
          <cell r="K1070" t="str">
            <v>Mexico</v>
          </cell>
        </row>
        <row r="1071">
          <cell r="A1071">
            <v>1074</v>
          </cell>
          <cell r="B1071" t="str">
            <v>AMC LABS S.A. de C.V.</v>
          </cell>
          <cell r="C1071" t="str">
            <v>-</v>
          </cell>
          <cell r="D1071" t="str">
            <v>México</v>
          </cell>
          <cell r="E1071" t="str">
            <v>-</v>
          </cell>
          <cell r="F1071">
            <v>329</v>
          </cell>
          <cell r="G1071" t="str">
            <v>Valle de los Alamos</v>
          </cell>
          <cell r="H1071">
            <v>66633</v>
          </cell>
          <cell r="I1071" t="str">
            <v>Apocada</v>
          </cell>
          <cell r="J1071" t="str">
            <v>Nuevo Leon</v>
          </cell>
          <cell r="K1071" t="str">
            <v>Mexico</v>
          </cell>
        </row>
        <row r="1072">
          <cell r="A1072">
            <v>1075</v>
          </cell>
          <cell r="B1072" t="str">
            <v>PHARMA TAP, S.A. DE C.V.</v>
          </cell>
          <cell r="D1072" t="str">
            <v>Av. Centenario</v>
          </cell>
          <cell r="E1072" t="str">
            <v>Mz.1B</v>
          </cell>
          <cell r="F1072" t="str">
            <v>Lote 22</v>
          </cell>
          <cell r="G1072" t="str">
            <v>Civac</v>
          </cell>
          <cell r="H1072">
            <v>62578</v>
          </cell>
          <cell r="I1072" t="str">
            <v>Jiutepec</v>
          </cell>
          <cell r="J1072" t="str">
            <v>Morelos</v>
          </cell>
          <cell r="K1072" t="str">
            <v>Mexico</v>
          </cell>
        </row>
        <row r="1073">
          <cell r="A1073">
            <v>1076</v>
          </cell>
          <cell r="B1073" t="str">
            <v>LIGHTOLIER DE MÉXICO S.A. DE C.V.</v>
          </cell>
          <cell r="C1073" t="str">
            <v>-</v>
          </cell>
          <cell r="D1073" t="str">
            <v xml:space="preserve">Av. De las Industrias  </v>
          </cell>
          <cell r="E1073" t="str">
            <v>-</v>
          </cell>
          <cell r="F1073">
            <v>1</v>
          </cell>
          <cell r="G1073" t="str">
            <v>Parque Industrial</v>
          </cell>
          <cell r="H1073">
            <v>3370</v>
          </cell>
          <cell r="I1073" t="str">
            <v>Camargo</v>
          </cell>
          <cell r="J1073" t="str">
            <v>Chihuahua</v>
          </cell>
          <cell r="K1073" t="str">
            <v>Mexico</v>
          </cell>
        </row>
        <row r="1074">
          <cell r="A1074">
            <v>1077</v>
          </cell>
          <cell r="B1074" t="str">
            <v>CONCRETOS HOLCIM APASCO, S.A. de C.V.</v>
          </cell>
          <cell r="C1074" t="str">
            <v>-</v>
          </cell>
          <cell r="D1074" t="str">
            <v>Av. 5 de Febrero km 4.5</v>
          </cell>
          <cell r="E1074" t="str">
            <v>-</v>
          </cell>
          <cell r="F1074" t="str">
            <v>S/N</v>
          </cell>
          <cell r="G1074" t="str">
            <v>Zona Industrial Carrillo Puerto</v>
          </cell>
          <cell r="H1074">
            <v>76138</v>
          </cell>
          <cell r="I1074" t="str">
            <v>Queretaro</v>
          </cell>
          <cell r="J1074" t="str">
            <v>Queretaro</v>
          </cell>
          <cell r="K1074" t="str">
            <v>Mexico</v>
          </cell>
        </row>
        <row r="1075">
          <cell r="A1075">
            <v>1078</v>
          </cell>
          <cell r="B1075" t="str">
            <v>Hirschmann Automotive México S. de R.L. de C.V.</v>
          </cell>
          <cell r="C1075" t="str">
            <v>-</v>
          </cell>
          <cell r="D1075" t="str">
            <v>Boulevard Los Picachos, Esquina con Circuito Corral de Piedras</v>
          </cell>
          <cell r="E1075" t="str">
            <v>-</v>
          </cell>
          <cell r="F1075">
            <v>7</v>
          </cell>
          <cell r="G1075" t="str">
            <v>Fraccionamiento Poligono Empresarial San Miguel</v>
          </cell>
          <cell r="H1075">
            <v>37888</v>
          </cell>
          <cell r="I1075" t="str">
            <v>San Miguel de Allende</v>
          </cell>
          <cell r="J1075" t="str">
            <v>Guanajuato</v>
          </cell>
          <cell r="K1075" t="str">
            <v>Mexico</v>
          </cell>
        </row>
        <row r="1076">
          <cell r="A1076">
            <v>1079</v>
          </cell>
          <cell r="B1076" t="str">
            <v>Mecánica Tek, S.A. de C.V.</v>
          </cell>
          <cell r="C1076" t="str">
            <v>-</v>
          </cell>
          <cell r="D1076" t="str">
            <v>Carretera Panamericana KM 360.7-b</v>
          </cell>
          <cell r="E1076" t="str">
            <v>-</v>
          </cell>
          <cell r="F1076" t="str">
            <v>-</v>
          </cell>
          <cell r="G1076" t="str">
            <v>Tres Guerras</v>
          </cell>
          <cell r="H1076">
            <v>38080</v>
          </cell>
          <cell r="I1076" t="str">
            <v>Celaya</v>
          </cell>
          <cell r="J1076" t="str">
            <v>Guanajuato</v>
          </cell>
          <cell r="K1076" t="str">
            <v>Mexico</v>
          </cell>
        </row>
        <row r="1077">
          <cell r="A1077">
            <v>1080</v>
          </cell>
          <cell r="B1077" t="str">
            <v>Laboratorio Jaba, S.A. de C.V.</v>
          </cell>
          <cell r="C1077" t="str">
            <v>-</v>
          </cell>
          <cell r="D1077" t="str">
            <v>Jose Maria Salvatierra</v>
          </cell>
          <cell r="E1077" t="str">
            <v>-</v>
          </cell>
          <cell r="F1077">
            <v>17529</v>
          </cell>
          <cell r="G1077" t="str">
            <v>Fraccionamiento Garita de Otay</v>
          </cell>
          <cell r="H1077">
            <v>22509</v>
          </cell>
          <cell r="I1077" t="str">
            <v>Tijuana</v>
          </cell>
          <cell r="J1077" t="str">
            <v>Baja California</v>
          </cell>
          <cell r="K1077" t="str">
            <v>Mexico</v>
          </cell>
        </row>
        <row r="1078">
          <cell r="A1078">
            <v>1081</v>
          </cell>
          <cell r="B1078" t="str">
            <v>EMEXIMARC S. DE R.L. DE C.V.</v>
          </cell>
          <cell r="C1078" t="str">
            <v>EME150219PI7</v>
          </cell>
          <cell r="D1078" t="str">
            <v>Av. Cerrada La Estacada</v>
          </cell>
          <cell r="E1078" t="str">
            <v>B</v>
          </cell>
          <cell r="F1078">
            <v>550</v>
          </cell>
          <cell r="G1078" t="str">
            <v>Parque industrial Querétaro</v>
          </cell>
          <cell r="H1078">
            <v>76220</v>
          </cell>
          <cell r="I1078" t="str">
            <v>Querétaro</v>
          </cell>
          <cell r="J1078" t="str">
            <v>Querétaro</v>
          </cell>
          <cell r="K1078" t="str">
            <v>Mexico</v>
          </cell>
        </row>
        <row r="1079">
          <cell r="A1079">
            <v>1082</v>
          </cell>
          <cell r="B1079" t="str">
            <v>Envases Universales de México S.A. de C.V.</v>
          </cell>
          <cell r="C1079" t="str">
            <v>-</v>
          </cell>
          <cell r="D1079" t="str">
            <v>Carretera El Salto - La Capilla Km. 2</v>
          </cell>
          <cell r="E1079" t="str">
            <v>-</v>
          </cell>
          <cell r="F1079" t="str">
            <v>-</v>
          </cell>
          <cell r="G1079" t="str">
            <v>-</v>
          </cell>
          <cell r="H1079" t="str">
            <v>-</v>
          </cell>
          <cell r="I1079" t="str">
            <v>El Salto</v>
          </cell>
          <cell r="J1079" t="str">
            <v>Jalisco</v>
          </cell>
          <cell r="K1079" t="str">
            <v>Mexico</v>
          </cell>
        </row>
        <row r="1080">
          <cell r="A1080">
            <v>1083</v>
          </cell>
          <cell r="B1080" t="str">
            <v>ADIENT MÉXICO, S. DE R.L. DE C.V.</v>
          </cell>
          <cell r="C1080" t="str">
            <v>-</v>
          </cell>
          <cell r="D1080" t="str">
            <v>Patxi</v>
          </cell>
          <cell r="E1080" t="str">
            <v>-</v>
          </cell>
          <cell r="F1080">
            <v>201</v>
          </cell>
          <cell r="G1080" t="str">
            <v>Parque Industrial Bralemex</v>
          </cell>
          <cell r="H1080">
            <v>72008</v>
          </cell>
          <cell r="I1080" t="str">
            <v>Cuautlancingo</v>
          </cell>
          <cell r="J1080" t="str">
            <v>Puebla</v>
          </cell>
          <cell r="K1080" t="str">
            <v>México</v>
          </cell>
        </row>
        <row r="1081">
          <cell r="A1081">
            <v>1084</v>
          </cell>
          <cell r="B1081" t="str">
            <v>ALTTRA S.A. de C.V.</v>
          </cell>
          <cell r="C1081" t="str">
            <v>-</v>
          </cell>
          <cell r="D1081" t="str">
            <v>Av. De las Misiones</v>
          </cell>
          <cell r="E1081" t="str">
            <v>B</v>
          </cell>
          <cell r="F1081">
            <v>26</v>
          </cell>
          <cell r="G1081" t="str">
            <v>Parque Industrial Bernardo Quintana</v>
          </cell>
          <cell r="H1081">
            <v>76246</v>
          </cell>
          <cell r="I1081" t="str">
            <v>El Marques</v>
          </cell>
          <cell r="J1081" t="str">
            <v>Queretaro</v>
          </cell>
          <cell r="K1081" t="str">
            <v>México</v>
          </cell>
        </row>
        <row r="1082">
          <cell r="A1082">
            <v>1085</v>
          </cell>
          <cell r="B1082" t="str">
            <v>Mahr Corporation de Mexico Sa de CV</v>
          </cell>
          <cell r="C1082" t="str">
            <v>MCM960808EG6</v>
          </cell>
          <cell r="D1082" t="str">
            <v xml:space="preserve">Francisco G. Sada </v>
          </cell>
          <cell r="E1082" t="str">
            <v>-</v>
          </cell>
          <cell r="F1082">
            <v>690</v>
          </cell>
          <cell r="G1082" t="str">
            <v>Chepevera</v>
          </cell>
          <cell r="H1082">
            <v>64030</v>
          </cell>
          <cell r="I1082" t="str">
            <v>Monterrey</v>
          </cell>
          <cell r="J1082" t="str">
            <v>Nuevo Leon</v>
          </cell>
          <cell r="K1082" t="str">
            <v>México</v>
          </cell>
          <cell r="O1082" t="str">
            <v>enrrique.peinado@mahr.com</v>
          </cell>
          <cell r="P1082" t="str">
            <v>Enrique.Peinado@mahr.com</v>
          </cell>
        </row>
        <row r="1083">
          <cell r="A1083">
            <v>1086</v>
          </cell>
          <cell r="B1083" t="str">
            <v>UNIÓN DE RESORTES, S.A.</v>
          </cell>
          <cell r="C1083" t="str">
            <v>-</v>
          </cell>
          <cell r="D1083" t="str">
            <v>Cuauhtémoc</v>
          </cell>
          <cell r="E1083" t="str">
            <v>A</v>
          </cell>
          <cell r="F1083">
            <v>77</v>
          </cell>
          <cell r="G1083" t="str">
            <v>Urbana Ixhuatepec</v>
          </cell>
          <cell r="H1083">
            <v>55349</v>
          </cell>
          <cell r="I1083" t="str">
            <v>Ecatepec de Morelos</v>
          </cell>
          <cell r="J1083" t="str">
            <v>Estado de México</v>
          </cell>
          <cell r="K1083" t="str">
            <v>México</v>
          </cell>
        </row>
        <row r="1084">
          <cell r="A1084">
            <v>1087</v>
          </cell>
          <cell r="B1084" t="str">
            <v>BorgWarner PDS S de RL de CV</v>
          </cell>
          <cell r="C1084" t="str">
            <v>-</v>
          </cell>
          <cell r="D1084" t="str">
            <v xml:space="preserve">Rio Danubio </v>
          </cell>
          <cell r="E1084" t="str">
            <v>-</v>
          </cell>
          <cell r="F1084">
            <v>303</v>
          </cell>
          <cell r="G1084" t="str">
            <v>Parque Tecno-Industrial Castro del Rio</v>
          </cell>
          <cell r="H1084">
            <v>36815</v>
          </cell>
          <cell r="I1084" t="str">
            <v>Irapuato</v>
          </cell>
          <cell r="J1084" t="str">
            <v>Guanajuato</v>
          </cell>
          <cell r="K1084" t="str">
            <v>México</v>
          </cell>
          <cell r="O1084" t="str">
            <v>joperez@borgwarner.com</v>
          </cell>
        </row>
        <row r="1085">
          <cell r="A1085">
            <v>1088</v>
          </cell>
          <cell r="B1085" t="str">
            <v>Mainprecor, S.A. de C.V.</v>
          </cell>
          <cell r="C1085" t="str">
            <v>-</v>
          </cell>
          <cell r="D1085" t="str">
            <v>Plan de San Luis</v>
          </cell>
          <cell r="E1085" t="str">
            <v>-</v>
          </cell>
          <cell r="F1085">
            <v>404</v>
          </cell>
          <cell r="G1085" t="str">
            <v>Emiliano Zapata</v>
          </cell>
          <cell r="H1085">
            <v>38500</v>
          </cell>
          <cell r="I1085" t="str">
            <v>Apaseo El Alto</v>
          </cell>
          <cell r="J1085" t="str">
            <v>Guanajuato</v>
          </cell>
          <cell r="K1085" t="str">
            <v>México</v>
          </cell>
        </row>
        <row r="1086">
          <cell r="A1086">
            <v>1089</v>
          </cell>
          <cell r="B1086" t="str">
            <v>Maquinados y Maquilas Especiales, S.A. de C.V.</v>
          </cell>
          <cell r="C1086" t="str">
            <v>-</v>
          </cell>
          <cell r="D1086" t="str">
            <v>Calle -1</v>
          </cell>
          <cell r="E1086" t="str">
            <v>Bodega 5</v>
          </cell>
          <cell r="F1086">
            <v>310</v>
          </cell>
          <cell r="G1086" t="str">
            <v>Conjunto Palmares</v>
          </cell>
          <cell r="H1086">
            <v>76100</v>
          </cell>
          <cell r="I1086" t="str">
            <v>Parque Industrial Jurica</v>
          </cell>
          <cell r="J1086" t="str">
            <v>Queretaro</v>
          </cell>
          <cell r="K1086" t="str">
            <v>México</v>
          </cell>
        </row>
        <row r="1087">
          <cell r="A1087">
            <v>1090</v>
          </cell>
          <cell r="B1087" t="str">
            <v>F.M. INGENIEROS, S.A. DE C.V.</v>
          </cell>
          <cell r="C1087" t="str">
            <v>-</v>
          </cell>
          <cell r="D1087" t="str">
            <v>San Francisco</v>
          </cell>
          <cell r="E1087" t="str">
            <v>-</v>
          </cell>
          <cell r="F1087">
            <v>35</v>
          </cell>
          <cell r="G1087" t="str">
            <v>Colinas de San Francisco</v>
          </cell>
          <cell r="H1087" t="str">
            <v>-</v>
          </cell>
          <cell r="I1087" t="str">
            <v>Queretaro</v>
          </cell>
          <cell r="J1087" t="str">
            <v>Queretaro</v>
          </cell>
          <cell r="K1087" t="str">
            <v>México</v>
          </cell>
        </row>
        <row r="1088">
          <cell r="A1088">
            <v>1091</v>
          </cell>
          <cell r="B1088" t="str">
            <v>Eaton Controls S. de R.L. de C.V.</v>
          </cell>
          <cell r="C1088" t="str">
            <v>-</v>
          </cell>
          <cell r="D1088" t="str">
            <v>Av. Balvanera</v>
          </cell>
          <cell r="E1088" t="str">
            <v>-</v>
          </cell>
          <cell r="F1088">
            <v>61</v>
          </cell>
          <cell r="G1088" t="str">
            <v>Parque Industrial Queretaro</v>
          </cell>
          <cell r="H1088">
            <v>76220</v>
          </cell>
          <cell r="I1088" t="str">
            <v>Santa Rosa Jáuregui</v>
          </cell>
          <cell r="J1088" t="str">
            <v>Queretaro</v>
          </cell>
          <cell r="K1088" t="str">
            <v>México</v>
          </cell>
          <cell r="Q1088" t="str">
            <v>JUAN V., OMAR S. SHEILA C. YADIRA Q., GEORGINA MTZ</v>
          </cell>
        </row>
        <row r="1089">
          <cell r="A1089">
            <v>1092</v>
          </cell>
          <cell r="B1089" t="str">
            <v>Siemens, S.A. de C.V.</v>
          </cell>
          <cell r="C1089" t="str">
            <v>-</v>
          </cell>
          <cell r="D1089" t="str">
            <v>Circuito El Marques Norte</v>
          </cell>
          <cell r="E1089" t="str">
            <v>-</v>
          </cell>
          <cell r="F1089">
            <v>45</v>
          </cell>
          <cell r="G1089" t="str">
            <v>Parque Industrial El Marques</v>
          </cell>
          <cell r="H1089">
            <v>76246</v>
          </cell>
          <cell r="I1089" t="str">
            <v>El Marques</v>
          </cell>
          <cell r="J1089" t="str">
            <v>Queretaro</v>
          </cell>
          <cell r="K1089" t="str">
            <v>México</v>
          </cell>
        </row>
        <row r="1090">
          <cell r="A1090">
            <v>1093</v>
          </cell>
          <cell r="B1090" t="str">
            <v>Manufacturas Zapaliname S.A. de C.V.</v>
          </cell>
          <cell r="C1090" t="str">
            <v>-</v>
          </cell>
          <cell r="D1090" t="str">
            <v>Carretera Saltillo-Zacatecas km. 4.5</v>
          </cell>
          <cell r="E1090" t="str">
            <v>-</v>
          </cell>
          <cell r="F1090" t="str">
            <v>-</v>
          </cell>
          <cell r="G1090" t="str">
            <v>La Angostura</v>
          </cell>
          <cell r="H1090">
            <v>25315</v>
          </cell>
          <cell r="I1090" t="str">
            <v xml:space="preserve">Saltillo </v>
          </cell>
          <cell r="J1090" t="str">
            <v>Coahuila</v>
          </cell>
          <cell r="K1090" t="str">
            <v>México</v>
          </cell>
        </row>
        <row r="1091">
          <cell r="A1091">
            <v>1094</v>
          </cell>
          <cell r="B1091" t="str">
            <v>San Luis Dasung S.A. de C.V.</v>
          </cell>
          <cell r="C1091" t="str">
            <v>-</v>
          </cell>
          <cell r="D1091" t="str">
            <v>Kioto</v>
          </cell>
          <cell r="E1091" t="str">
            <v>-</v>
          </cell>
          <cell r="F1091">
            <v>111</v>
          </cell>
          <cell r="G1091" t="str">
            <v>Laguna de San Vicente</v>
          </cell>
          <cell r="H1091">
            <v>79525</v>
          </cell>
          <cell r="I1091" t="str">
            <v>Villa de Reyes</v>
          </cell>
          <cell r="J1091" t="str">
            <v>San Luis Potosi</v>
          </cell>
          <cell r="K1091" t="str">
            <v>México</v>
          </cell>
        </row>
        <row r="1092">
          <cell r="A1092">
            <v>1095</v>
          </cell>
          <cell r="B1092" t="str">
            <v>Daher Aerospace Queretaro S.A. de C.V.</v>
          </cell>
          <cell r="C1092" t="str">
            <v>-</v>
          </cell>
          <cell r="D1092" t="str">
            <v>Carr. Estatal 200 Queretaro-Tequisquiapan Km. 22</v>
          </cell>
          <cell r="E1092" t="str">
            <v>-</v>
          </cell>
          <cell r="F1092">
            <v>547</v>
          </cell>
          <cell r="G1092" t="str">
            <v>Parque Industrial Aerotech</v>
          </cell>
          <cell r="H1092">
            <v>76278</v>
          </cell>
          <cell r="I1092" t="str">
            <v>Queretaro</v>
          </cell>
          <cell r="J1092" t="str">
            <v>Queretaro</v>
          </cell>
          <cell r="K1092" t="str">
            <v>México</v>
          </cell>
        </row>
        <row r="1093">
          <cell r="A1093">
            <v>1096</v>
          </cell>
          <cell r="B1093" t="str">
            <v>ZF Powertrain Modules Saltillo, S.A. de C.V.</v>
          </cell>
          <cell r="C1093" t="str">
            <v>-</v>
          </cell>
          <cell r="D1093" t="str">
            <v xml:space="preserve">Industrial Metalúrgica </v>
          </cell>
          <cell r="E1093">
            <v>2</v>
          </cell>
          <cell r="F1093">
            <v>1010</v>
          </cell>
          <cell r="G1093" t="str">
            <v>-</v>
          </cell>
          <cell r="H1093">
            <v>25900</v>
          </cell>
          <cell r="I1093" t="str">
            <v>Ramos Arizpe</v>
          </cell>
          <cell r="J1093" t="str">
            <v>Coahuila</v>
          </cell>
          <cell r="K1093" t="str">
            <v>México</v>
          </cell>
        </row>
        <row r="1094">
          <cell r="A1094">
            <v>1097</v>
          </cell>
          <cell r="B1094" t="str">
            <v>3D Soluciones</v>
          </cell>
          <cell r="C1094" t="str">
            <v>-</v>
          </cell>
          <cell r="D1094" t="str">
            <v>Flamingo</v>
          </cell>
          <cell r="E1094" t="str">
            <v>-</v>
          </cell>
          <cell r="F1094">
            <v>24</v>
          </cell>
          <cell r="G1094" t="str">
            <v>Cuarto Centenario</v>
          </cell>
          <cell r="H1094">
            <v>76840</v>
          </cell>
          <cell r="I1094" t="str">
            <v>San Juan del Río</v>
          </cell>
          <cell r="J1094" t="str">
            <v>Queretaro</v>
          </cell>
          <cell r="K1094" t="str">
            <v>México</v>
          </cell>
        </row>
        <row r="1095">
          <cell r="A1095">
            <v>1098</v>
          </cell>
          <cell r="B1095" t="str">
            <v>DEACERO S.A.P.I. de CV</v>
          </cell>
          <cell r="C1095" t="str">
            <v>-</v>
          </cell>
          <cell r="D1095" t="str">
            <v>Carretera Panamericana, Tramo Celaya - Salamanca km 64.8</v>
          </cell>
          <cell r="E1095" t="str">
            <v>-</v>
          </cell>
          <cell r="F1095" t="str">
            <v>-</v>
          </cell>
          <cell r="G1095" t="str">
            <v xml:space="preserve">Rancho el Chinaco </v>
          </cell>
          <cell r="H1095">
            <v>38260</v>
          </cell>
          <cell r="I1095" t="str">
            <v>-</v>
          </cell>
          <cell r="J1095" t="str">
            <v>Guanajuato</v>
          </cell>
          <cell r="K1095" t="str">
            <v>México</v>
          </cell>
        </row>
        <row r="1096">
          <cell r="A1096">
            <v>1099</v>
          </cell>
          <cell r="B1096" t="str">
            <v>RBP Metalurgia, S.A. de C.V.</v>
          </cell>
          <cell r="C1096" t="str">
            <v>-</v>
          </cell>
          <cell r="D1096" t="str">
            <v xml:space="preserve">Av. Felipe Carrillo Puerto </v>
          </cell>
          <cell r="E1096" t="str">
            <v>-</v>
          </cell>
          <cell r="F1096">
            <v>303</v>
          </cell>
          <cell r="G1096" t="str">
            <v>Zona Industrial Benito Juárez</v>
          </cell>
          <cell r="H1096">
            <v>76130</v>
          </cell>
          <cell r="I1096" t="str">
            <v>Santiago de Querétaro</v>
          </cell>
          <cell r="J1096" t="str">
            <v>Queretaro</v>
          </cell>
          <cell r="K1096" t="str">
            <v>México</v>
          </cell>
        </row>
        <row r="1097">
          <cell r="A1097">
            <v>1100</v>
          </cell>
          <cell r="B1097" t="str">
            <v>Inyecciones y Soplados Kompalka, S.A. de C.V.</v>
          </cell>
          <cell r="C1097" t="str">
            <v>-</v>
          </cell>
          <cell r="D1097" t="str">
            <v>Camino Tierra Blanca</v>
          </cell>
          <cell r="E1097" t="str">
            <v>-</v>
          </cell>
          <cell r="F1097">
            <v>2590</v>
          </cell>
          <cell r="G1097" t="str">
            <v>Montenegro</v>
          </cell>
          <cell r="H1097" t="str">
            <v>-</v>
          </cell>
          <cell r="I1097" t="str">
            <v>Querétaro</v>
          </cell>
          <cell r="J1097" t="str">
            <v>Querétaro</v>
          </cell>
          <cell r="K1097" t="str">
            <v>México</v>
          </cell>
        </row>
        <row r="1098">
          <cell r="A1098">
            <v>1101</v>
          </cell>
          <cell r="B1098" t="str">
            <v>Manufacturera Daca S.A. de C.V.</v>
          </cell>
          <cell r="C1098" t="str">
            <v>-</v>
          </cell>
          <cell r="D1098" t="str">
            <v xml:space="preserve">Calzada Tlatilco </v>
          </cell>
          <cell r="E1098" t="str">
            <v>-</v>
          </cell>
          <cell r="F1098">
            <v>229</v>
          </cell>
          <cell r="G1098" t="str">
            <v>Tlatilco</v>
          </cell>
          <cell r="H1098" t="str">
            <v>02860</v>
          </cell>
          <cell r="I1098" t="str">
            <v>Azcapotzalco</v>
          </cell>
          <cell r="J1098" t="str">
            <v>Ciudad de México</v>
          </cell>
          <cell r="K1098" t="str">
            <v>México</v>
          </cell>
        </row>
        <row r="1099">
          <cell r="A1099">
            <v>1102</v>
          </cell>
          <cell r="B1099" t="str">
            <v>Mills Products S.A. de C.V.</v>
          </cell>
          <cell r="C1099" t="str">
            <v>-</v>
          </cell>
          <cell r="D1099" t="str">
            <v>Eje 126</v>
          </cell>
          <cell r="E1099" t="str">
            <v>-</v>
          </cell>
          <cell r="F1099" t="str">
            <v>S/N</v>
          </cell>
          <cell r="G1099" t="str">
            <v>Zona Industrial</v>
          </cell>
          <cell r="H1099">
            <v>78395</v>
          </cell>
          <cell r="I1099" t="str">
            <v>San Luis Potosi.</v>
          </cell>
          <cell r="J1099" t="str">
            <v>San Luis Potosi</v>
          </cell>
          <cell r="K1099" t="str">
            <v>México</v>
          </cell>
        </row>
        <row r="1100">
          <cell r="A1100">
            <v>1103</v>
          </cell>
          <cell r="B1100" t="str">
            <v>MARVEMEX, S.A. de C.V.</v>
          </cell>
          <cell r="C1100" t="str">
            <v>-</v>
          </cell>
          <cell r="D1100" t="str">
            <v>Pirineos</v>
          </cell>
          <cell r="E1100">
            <v>500</v>
          </cell>
          <cell r="F1100" t="str">
            <v>Bodega 2</v>
          </cell>
          <cell r="G1100" t="str">
            <v>Parque Industrial</v>
          </cell>
          <cell r="H1100">
            <v>76120</v>
          </cell>
          <cell r="I1100" t="str">
            <v>Queretaro</v>
          </cell>
          <cell r="J1100" t="str">
            <v>Queretaro</v>
          </cell>
          <cell r="K1100" t="str">
            <v>México</v>
          </cell>
        </row>
        <row r="1101">
          <cell r="A1101">
            <v>1104</v>
          </cell>
          <cell r="B1101" t="str">
            <v>Rehau S.A. de C.V</v>
          </cell>
          <cell r="C1101" t="str">
            <v>-</v>
          </cell>
          <cell r="D1101" t="str">
            <v>Carretera libre Celaya Querétaro km.8.5</v>
          </cell>
          <cell r="E1101" t="str">
            <v>-</v>
          </cell>
          <cell r="F1101" t="str">
            <v>-</v>
          </cell>
          <cell r="G1101" t="str">
            <v>Rancho Nuevo</v>
          </cell>
          <cell r="H1101">
            <v>38192</v>
          </cell>
          <cell r="I1101" t="str">
            <v>Apaseo el Grande</v>
          </cell>
          <cell r="J1101" t="str">
            <v>Guanajuato</v>
          </cell>
          <cell r="K1101" t="str">
            <v>México</v>
          </cell>
        </row>
        <row r="1102">
          <cell r="A1102">
            <v>1105</v>
          </cell>
          <cell r="B1102" t="str">
            <v>EATON TRUCK COMPONENTS, S. DE R.L. DE C.V.</v>
          </cell>
          <cell r="C1102" t="str">
            <v>-</v>
          </cell>
          <cell r="D1102" t="str">
            <v>Circuito Mexico</v>
          </cell>
          <cell r="E1102" t="str">
            <v>-</v>
          </cell>
          <cell r="F1102">
            <v>200</v>
          </cell>
          <cell r="G1102" t="str">
            <v>Parque Industrial Tres Naciones</v>
          </cell>
          <cell r="H1102">
            <v>78398</v>
          </cell>
          <cell r="I1102" t="str">
            <v>San Luis Potosi.</v>
          </cell>
          <cell r="J1102" t="str">
            <v>San Luis Potosi.</v>
          </cell>
          <cell r="K1102" t="str">
            <v>México</v>
          </cell>
        </row>
        <row r="1103">
          <cell r="A1103">
            <v>1106</v>
          </cell>
          <cell r="B1103" t="str">
            <v>FTE Mexicana S.A. de C.V.</v>
          </cell>
          <cell r="C1103" t="str">
            <v>-</v>
          </cell>
          <cell r="D1103" t="str">
            <v>-</v>
          </cell>
          <cell r="E1103" t="str">
            <v>-</v>
          </cell>
          <cell r="F1103" t="str">
            <v>-</v>
          </cell>
          <cell r="G1103" t="str">
            <v>Chachapa</v>
          </cell>
          <cell r="H1103">
            <v>72990</v>
          </cell>
          <cell r="I1103" t="str">
            <v>Amozoc</v>
          </cell>
          <cell r="J1103" t="str">
            <v>Puebla</v>
          </cell>
          <cell r="K1103" t="str">
            <v>México</v>
          </cell>
        </row>
        <row r="1104">
          <cell r="A1104">
            <v>1107</v>
          </cell>
          <cell r="B1104" t="str">
            <v>PPM INDUSTRIES  DE MÉXICO, S.A. de C.V.</v>
          </cell>
          <cell r="C1104" t="str">
            <v>-</v>
          </cell>
          <cell r="D1104" t="str">
            <v>Calle uno</v>
          </cell>
          <cell r="E1104" t="str">
            <v>-</v>
          </cell>
          <cell r="F1104">
            <v>270</v>
          </cell>
          <cell r="G1104" t="str">
            <v>Parque Industrial Millennium</v>
          </cell>
          <cell r="H1104" t="str">
            <v>-</v>
          </cell>
          <cell r="I1104" t="str">
            <v>San Luis Potosi.</v>
          </cell>
          <cell r="J1104" t="str">
            <v>San Luis Potosi.</v>
          </cell>
          <cell r="K1104" t="str">
            <v>México</v>
          </cell>
        </row>
        <row r="1105">
          <cell r="A1105">
            <v>1108</v>
          </cell>
          <cell r="B1105" t="str">
            <v>Sistemas Superiores Integrales S. de R.L. de C.V.</v>
          </cell>
          <cell r="C1105" t="str">
            <v>-</v>
          </cell>
          <cell r="D1105" t="str">
            <v>Acceso IV</v>
          </cell>
          <cell r="E1105" t="str">
            <v>No. H</v>
          </cell>
          <cell r="F1105">
            <v>31</v>
          </cell>
          <cell r="G1105" t="str">
            <v>Parque Industrial Benito Juarez</v>
          </cell>
          <cell r="H1105">
            <v>76120</v>
          </cell>
          <cell r="I1105" t="str">
            <v>Queretaro</v>
          </cell>
          <cell r="J1105" t="str">
            <v>Queretaro</v>
          </cell>
          <cell r="K1105" t="str">
            <v>México</v>
          </cell>
        </row>
        <row r="1106">
          <cell r="A1106">
            <v>1109</v>
          </cell>
          <cell r="B1106" t="str">
            <v>NEDEC MEXICO S.A. de C.V.</v>
          </cell>
          <cell r="C1106" t="str">
            <v>-</v>
          </cell>
          <cell r="D1106" t="str">
            <v>Antonio Gutierrez Cortina</v>
          </cell>
          <cell r="E1106" t="str">
            <v>-</v>
          </cell>
          <cell r="F1106">
            <v>18</v>
          </cell>
          <cell r="G1106" t="str">
            <v>Parque Opción</v>
          </cell>
          <cell r="H1106">
            <v>37980</v>
          </cell>
          <cell r="I1106" t="str">
            <v>San Jose Iturbide</v>
          </cell>
          <cell r="J1106" t="str">
            <v>Guanajuato</v>
          </cell>
          <cell r="K1106" t="str">
            <v>México</v>
          </cell>
        </row>
        <row r="1107">
          <cell r="A1107">
            <v>1110</v>
          </cell>
          <cell r="B1107" t="str">
            <v>Ana Paulina Flores Aboytes</v>
          </cell>
          <cell r="C1107" t="str">
            <v>-</v>
          </cell>
          <cell r="D1107" t="str">
            <v>Prolongación 5 de Mayo</v>
          </cell>
          <cell r="E1107" t="str">
            <v>-</v>
          </cell>
          <cell r="F1107">
            <v>119</v>
          </cell>
          <cell r="G1107" t="str">
            <v>Valle Hermoso</v>
          </cell>
          <cell r="H1107">
            <v>38300</v>
          </cell>
          <cell r="I1107" t="str">
            <v>Cortazar</v>
          </cell>
          <cell r="J1107" t="str">
            <v>Guanajuato</v>
          </cell>
          <cell r="K1107" t="str">
            <v>México</v>
          </cell>
        </row>
        <row r="1108">
          <cell r="A1108">
            <v>1111</v>
          </cell>
          <cell r="B1108" t="str">
            <v>AGM Durmont México, S. de R. L. de C. V.</v>
          </cell>
          <cell r="C1108" t="str">
            <v>-</v>
          </cell>
          <cell r="D1108" t="str">
            <v>Carretera Estatal 200 Queretaro-Tequisquiapan km 24+120</v>
          </cell>
          <cell r="E1108" t="str">
            <v>Int. 4</v>
          </cell>
          <cell r="F1108" t="str">
            <v>-</v>
          </cell>
          <cell r="G1108" t="str">
            <v>Parque Industrial Aerotech</v>
          </cell>
          <cell r="H1108">
            <v>76295</v>
          </cell>
          <cell r="I1108" t="str">
            <v>Colon</v>
          </cell>
          <cell r="J1108" t="str">
            <v>Queretaro</v>
          </cell>
          <cell r="K1108" t="str">
            <v>México</v>
          </cell>
        </row>
        <row r="1109">
          <cell r="A1109">
            <v>1112</v>
          </cell>
          <cell r="B1109" t="str">
            <v>GUALA DISPENSING MEXICO, S.A. DE C.V.</v>
          </cell>
          <cell r="C1109" t="str">
            <v>-</v>
          </cell>
          <cell r="D1109" t="str">
            <v xml:space="preserve">Av. Jardin de la Union </v>
          </cell>
          <cell r="E1109" t="str">
            <v>-</v>
          </cell>
          <cell r="F1109">
            <v>102</v>
          </cell>
          <cell r="G1109" t="str">
            <v>Puerto Interior</v>
          </cell>
          <cell r="H1109">
            <v>36275</v>
          </cell>
          <cell r="I1109" t="str">
            <v>Silao</v>
          </cell>
          <cell r="J1109" t="str">
            <v>Guanajuato</v>
          </cell>
          <cell r="K1109" t="str">
            <v>México</v>
          </cell>
        </row>
        <row r="1110">
          <cell r="A1110">
            <v>1113</v>
          </cell>
          <cell r="B1110" t="str">
            <v>Qualos Servicio y Asesoría S.C</v>
          </cell>
          <cell r="C1110" t="str">
            <v>-</v>
          </cell>
          <cell r="D1110" t="str">
            <v xml:space="preserve">Lago Grande </v>
          </cell>
          <cell r="F1110">
            <v>619</v>
          </cell>
          <cell r="G1110" t="str">
            <v>Fraccionamiento San Agustín</v>
          </cell>
          <cell r="H1110">
            <v>25215</v>
          </cell>
          <cell r="I1110" t="str">
            <v xml:space="preserve">Saltillo </v>
          </cell>
          <cell r="J1110" t="str">
            <v>Coahuila</v>
          </cell>
          <cell r="K1110" t="str">
            <v>México</v>
          </cell>
        </row>
        <row r="1111">
          <cell r="A1111">
            <v>1114</v>
          </cell>
          <cell r="B1111" t="str">
            <v>LIDECM S.A. de C.V.</v>
          </cell>
          <cell r="C1111" t="str">
            <v>-</v>
          </cell>
          <cell r="D1111" t="str">
            <v>Retono 13 de Jesus Galindo y Villa</v>
          </cell>
          <cell r="E1111" t="str">
            <v>-</v>
          </cell>
          <cell r="F1111">
            <v>21</v>
          </cell>
          <cell r="G1111" t="str">
            <v>Jardin Balbuena</v>
          </cell>
          <cell r="H1111">
            <v>15900</v>
          </cell>
          <cell r="I1111" t="str">
            <v>Venustiano Carranza</v>
          </cell>
          <cell r="J1111" t="str">
            <v>Ciudad de México</v>
          </cell>
          <cell r="K1111" t="str">
            <v>México</v>
          </cell>
        </row>
        <row r="1112">
          <cell r="A1112">
            <v>1115</v>
          </cell>
          <cell r="B1112" t="str">
            <v>Mecánica Tek, S.A. de C.V.</v>
          </cell>
          <cell r="C1112" t="str">
            <v>-</v>
          </cell>
          <cell r="D1112" t="str">
            <v xml:space="preserve">Av. 5 de Febrero </v>
          </cell>
          <cell r="E1112" t="str">
            <v>-</v>
          </cell>
          <cell r="F1112">
            <v>1057</v>
          </cell>
          <cell r="G1112" t="str">
            <v>Fracc Ind Benito Juarez</v>
          </cell>
          <cell r="H1112">
            <v>76130</v>
          </cell>
          <cell r="I1112" t="str">
            <v>Queretaro</v>
          </cell>
          <cell r="J1112" t="str">
            <v>Queretaro</v>
          </cell>
          <cell r="K1112" t="str">
            <v>México</v>
          </cell>
        </row>
        <row r="1113">
          <cell r="A1113">
            <v>1116</v>
          </cell>
          <cell r="B1113" t="str">
            <v>David Martinez Hernández</v>
          </cell>
          <cell r="C1113" t="str">
            <v>-</v>
          </cell>
          <cell r="D1113" t="str">
            <v xml:space="preserve">Nuevo Leon </v>
          </cell>
          <cell r="E1113" t="str">
            <v>-</v>
          </cell>
          <cell r="F1113">
            <v>23</v>
          </cell>
          <cell r="G1113" t="str">
            <v>Obrera</v>
          </cell>
          <cell r="H1113">
            <v>76130</v>
          </cell>
          <cell r="I1113" t="str">
            <v>Queretaro</v>
          </cell>
          <cell r="J1113" t="str">
            <v>Queretaro</v>
          </cell>
          <cell r="K1113" t="str">
            <v>México</v>
          </cell>
        </row>
        <row r="1114">
          <cell r="A1114">
            <v>1117</v>
          </cell>
          <cell r="B1114" t="str">
            <v>SKF SEALING SOLUTIONS, S.A. DE C.V.</v>
          </cell>
          <cell r="D1114" t="str">
            <v xml:space="preserve">Gobernador Curiel </v>
          </cell>
          <cell r="F1114">
            <v>2690</v>
          </cell>
          <cell r="G1114" t="str">
            <v>Zona Industrial Guadalajara</v>
          </cell>
          <cell r="I1114" t="str">
            <v>Guadalajara</v>
          </cell>
          <cell r="J1114" t="str">
            <v>Jalisco</v>
          </cell>
          <cell r="K1114" t="str">
            <v>México</v>
          </cell>
        </row>
        <row r="1115">
          <cell r="A1115">
            <v>1118</v>
          </cell>
          <cell r="B1115" t="str">
            <v>Mecánica Tek, S.A. de C.V.</v>
          </cell>
          <cell r="C1115" t="str">
            <v>-</v>
          </cell>
          <cell r="D1115" t="str">
            <v>Las Americas</v>
          </cell>
          <cell r="E1115" t="str">
            <v>A</v>
          </cell>
          <cell r="F1115">
            <v>360</v>
          </cell>
          <cell r="G1115" t="str">
            <v>Ejido lo de Juarez</v>
          </cell>
          <cell r="H1115">
            <v>36630</v>
          </cell>
          <cell r="I1115" t="str">
            <v>Irapuato</v>
          </cell>
          <cell r="J1115" t="str">
            <v>Guanajuato</v>
          </cell>
          <cell r="K1115" t="str">
            <v>México</v>
          </cell>
        </row>
        <row r="1116">
          <cell r="A1116">
            <v>1119</v>
          </cell>
          <cell r="B1116" t="str">
            <v>Parker Corporation Mexicana</v>
          </cell>
          <cell r="C1116" t="str">
            <v>-</v>
          </cell>
          <cell r="D1116" t="str">
            <v>Maquiladores</v>
          </cell>
          <cell r="E1116" t="str">
            <v>-</v>
          </cell>
          <cell r="F1116">
            <v>158</v>
          </cell>
          <cell r="G1116" t="str">
            <v>Parque Industrial Chichimico, Jesus Maria</v>
          </cell>
          <cell r="H1116">
            <v>20916</v>
          </cell>
          <cell r="I1116" t="str">
            <v>Aguascalientes</v>
          </cell>
          <cell r="J1116" t="str">
            <v>Aguascalientes</v>
          </cell>
          <cell r="K1116" t="str">
            <v>México</v>
          </cell>
        </row>
        <row r="1117">
          <cell r="A1117">
            <v>1120</v>
          </cell>
          <cell r="B1117" t="str">
            <v>Comau Automatizacion S. de R.L de C.V.</v>
          </cell>
          <cell r="C1117" t="str">
            <v>-</v>
          </cell>
          <cell r="D1117" t="str">
            <v>Autopista Chamapa-Lecheria Km 2.5</v>
          </cell>
          <cell r="E1117" t="str">
            <v>-</v>
          </cell>
          <cell r="F1117" t="str">
            <v>B017</v>
          </cell>
          <cell r="G1117" t="str">
            <v>San Martin Obispo</v>
          </cell>
          <cell r="H1117">
            <v>54769</v>
          </cell>
          <cell r="I1117" t="str">
            <v>Cuautitlán Izcalli</v>
          </cell>
          <cell r="J1117" t="str">
            <v>Ciudad de México</v>
          </cell>
          <cell r="K1117" t="str">
            <v>México</v>
          </cell>
        </row>
        <row r="1118">
          <cell r="A1118">
            <v>1121</v>
          </cell>
          <cell r="B1118" t="str">
            <v>AUMA S.A de C.V.</v>
          </cell>
          <cell r="C1118" t="str">
            <v>-</v>
          </cell>
          <cell r="D1118" t="str">
            <v xml:space="preserve">Carretera Chihuahua Tabalaopa </v>
          </cell>
          <cell r="E1118" t="str">
            <v>-</v>
          </cell>
          <cell r="F1118">
            <v>7700</v>
          </cell>
          <cell r="G1118" t="str">
            <v>Concordia Chihuahua</v>
          </cell>
          <cell r="H1118">
            <v>31380</v>
          </cell>
          <cell r="I1118" t="str">
            <v>Chihuahua</v>
          </cell>
          <cell r="J1118" t="str">
            <v>Chihuahua</v>
          </cell>
          <cell r="K1118" t="str">
            <v>México</v>
          </cell>
        </row>
        <row r="1119">
          <cell r="A1119">
            <v>1122</v>
          </cell>
          <cell r="B1119" t="str">
            <v>Angelica Garcia Aquino</v>
          </cell>
          <cell r="C1119" t="str">
            <v>-</v>
          </cell>
          <cell r="D1119" t="str">
            <v>Tlaloc</v>
          </cell>
          <cell r="E1119" t="str">
            <v>Lote 4</v>
          </cell>
          <cell r="F1119" t="str">
            <v>Mz.11</v>
          </cell>
          <cell r="G1119" t="str">
            <v>Cumbres de Conin, San Isidro Miranda</v>
          </cell>
          <cell r="H1119">
            <v>76240</v>
          </cell>
          <cell r="I1119" t="str">
            <v>El Marques</v>
          </cell>
          <cell r="J1119" t="str">
            <v>Queretaro</v>
          </cell>
          <cell r="K1119" t="str">
            <v>México</v>
          </cell>
        </row>
        <row r="1120">
          <cell r="A1120">
            <v>1123</v>
          </cell>
          <cell r="B1120" t="str">
            <v>AUTOLIV  MEXICO,S.A. de C.V.                                                            </v>
          </cell>
          <cell r="C1120" t="str">
            <v>-</v>
          </cell>
          <cell r="D1120" t="str">
            <v>Avenida de los Sauces</v>
          </cell>
          <cell r="E1120" t="str">
            <v>-</v>
          </cell>
          <cell r="F1120">
            <v>9</v>
          </cell>
          <cell r="G1120" t="str">
            <v>Fraccionamiento Industrial Lerma</v>
          </cell>
          <cell r="H1120">
            <v>52000</v>
          </cell>
          <cell r="I1120" t="str">
            <v>Lerma</v>
          </cell>
          <cell r="J1120" t="str">
            <v>Estado de México</v>
          </cell>
          <cell r="K1120" t="str">
            <v>México</v>
          </cell>
        </row>
        <row r="1121">
          <cell r="A1121">
            <v>1124</v>
          </cell>
          <cell r="B1121" t="str">
            <v>Ecopak Mx (EPMP project)</v>
          </cell>
          <cell r="C1121" t="str">
            <v>-</v>
          </cell>
          <cell r="D1121" t="str">
            <v>Avenida Industria Minera</v>
          </cell>
          <cell r="E1121">
            <v>562</v>
          </cell>
          <cell r="F1121">
            <v>19</v>
          </cell>
          <cell r="G1121" t="str">
            <v>Parque Industrial Queretaro</v>
          </cell>
          <cell r="H1121">
            <v>76220</v>
          </cell>
          <cell r="I1121" t="str">
            <v>Santa Rosa Jáuregui</v>
          </cell>
          <cell r="J1121" t="str">
            <v>Queretaro</v>
          </cell>
          <cell r="K1121" t="str">
            <v>México</v>
          </cell>
        </row>
        <row r="1122">
          <cell r="A1122">
            <v>1125</v>
          </cell>
          <cell r="B1122" t="str">
            <v>Vorwerk Autotec de México S.A. de C.V.</v>
          </cell>
          <cell r="C1122" t="str">
            <v>-</v>
          </cell>
          <cell r="D1122" t="str">
            <v>Av. Villa de Lagos Sur</v>
          </cell>
          <cell r="E1122" t="str">
            <v>-</v>
          </cell>
          <cell r="F1122">
            <v>1080</v>
          </cell>
          <cell r="G1122" t="str">
            <v>Parque Industrial Villas de Lagos</v>
          </cell>
          <cell r="H1122">
            <v>47515</v>
          </cell>
          <cell r="I1122" t="str">
            <v>Lagos de Moreno</v>
          </cell>
          <cell r="J1122" t="str">
            <v>Jalisco</v>
          </cell>
          <cell r="K1122" t="str">
            <v>México</v>
          </cell>
        </row>
        <row r="1123">
          <cell r="A1123">
            <v>1126</v>
          </cell>
          <cell r="B1123" t="str">
            <v>Olsa Sistemas de Iluminación Automotriz, S. de R.L. de C.V.</v>
          </cell>
          <cell r="C1123" t="str">
            <v>-</v>
          </cell>
          <cell r="D1123" t="str">
            <v xml:space="preserve">Carretera a Tlacote KM 5 + 300 </v>
          </cell>
          <cell r="E1123" t="str">
            <v>-</v>
          </cell>
          <cell r="F1123" t="str">
            <v>-</v>
          </cell>
          <cell r="G1123" t="str">
            <v>-</v>
          </cell>
          <cell r="H1123" t="str">
            <v>-</v>
          </cell>
          <cell r="I1123" t="str">
            <v>Corregidora</v>
          </cell>
          <cell r="J1123" t="str">
            <v>Queretaro</v>
          </cell>
          <cell r="K1123" t="str">
            <v>México</v>
          </cell>
        </row>
        <row r="1124">
          <cell r="A1124">
            <v>1127</v>
          </cell>
          <cell r="B1124" t="str">
            <v>Fresenius Medical Care de Mexico, S.A. de C.V.</v>
          </cell>
          <cell r="C1124" t="str">
            <v>-</v>
          </cell>
          <cell r="D1124" t="str">
            <v>Paseo del Norte, Carretera a Nogales Km. 12.5</v>
          </cell>
          <cell r="E1124" t="str">
            <v>-</v>
          </cell>
          <cell r="F1124">
            <v>5300</v>
          </cell>
          <cell r="G1124" t="str">
            <v>Guadalajara Technology Park</v>
          </cell>
          <cell r="H1124">
            <v>45010</v>
          </cell>
          <cell r="I1124" t="str">
            <v>Zapopan</v>
          </cell>
          <cell r="J1124" t="str">
            <v>Jalisco</v>
          </cell>
          <cell r="K1124" t="str">
            <v>México</v>
          </cell>
        </row>
        <row r="1125">
          <cell r="A1125">
            <v>1128</v>
          </cell>
          <cell r="B1125" t="str">
            <v>Mitsui Kinzoku Act Mexicana S.A. de C.V.</v>
          </cell>
          <cell r="C1125" t="str">
            <v>-</v>
          </cell>
          <cell r="D1125" t="str">
            <v>Av. Paseo de las Colinas</v>
          </cell>
          <cell r="E1125" t="str">
            <v>-</v>
          </cell>
          <cell r="F1125">
            <v>207</v>
          </cell>
          <cell r="G1125" t="str">
            <v>Parque Industrial y de Negocios Las Colinas</v>
          </cell>
          <cell r="H1125">
            <v>36270</v>
          </cell>
          <cell r="I1125" t="str">
            <v>Silao</v>
          </cell>
          <cell r="J1125" t="str">
            <v>Guanajuato</v>
          </cell>
          <cell r="K1125" t="str">
            <v>México</v>
          </cell>
        </row>
        <row r="1126">
          <cell r="A1126">
            <v>1129</v>
          </cell>
          <cell r="B1126" t="str">
            <v>Nippon Steel &amp; Sumikin Pipe México S.A. de C.V.</v>
          </cell>
          <cell r="C1126" t="str">
            <v>-</v>
          </cell>
          <cell r="D1126" t="str">
            <v>Av. Libre Comercio</v>
          </cell>
          <cell r="E1126" t="str">
            <v>-</v>
          </cell>
          <cell r="F1126">
            <v>100</v>
          </cell>
          <cell r="G1126" t="str">
            <v>Puerto Interior</v>
          </cell>
          <cell r="H1126">
            <v>36275</v>
          </cell>
          <cell r="I1126" t="str">
            <v>Silao</v>
          </cell>
          <cell r="J1126" t="str">
            <v>Guanajuato</v>
          </cell>
          <cell r="K1126" t="str">
            <v>México</v>
          </cell>
        </row>
        <row r="1127">
          <cell r="A1127">
            <v>1130</v>
          </cell>
          <cell r="B1127" t="str">
            <v>TEKA Mexicana S.A. de C.V.</v>
          </cell>
          <cell r="C1127" t="str">
            <v>-</v>
          </cell>
          <cell r="D1127" t="str">
            <v>Eje 124</v>
          </cell>
          <cell r="E1127">
            <v>7</v>
          </cell>
          <cell r="F1127">
            <v>115</v>
          </cell>
          <cell r="G1127" t="str">
            <v>Zona Industrial</v>
          </cell>
          <cell r="H1127">
            <v>78395</v>
          </cell>
          <cell r="I1127" t="str">
            <v>San Luis Potosi.</v>
          </cell>
          <cell r="J1127" t="str">
            <v>San Luis Potosi.</v>
          </cell>
          <cell r="K1127" t="str">
            <v>México</v>
          </cell>
        </row>
        <row r="1128">
          <cell r="A1128">
            <v>1131</v>
          </cell>
          <cell r="B1128" t="str">
            <v>Asahi Aluminium México, S.A. de C.V.</v>
          </cell>
          <cell r="C1128" t="str">
            <v>-</v>
          </cell>
          <cell r="D1128" t="str">
            <v>Av. Mineral de Valenciana</v>
          </cell>
          <cell r="E1128" t="str">
            <v>-</v>
          </cell>
          <cell r="F1128">
            <v>140</v>
          </cell>
          <cell r="G1128" t="str">
            <v>Santa Fe II, Puerto Interior</v>
          </cell>
          <cell r="H1128">
            <v>99059</v>
          </cell>
          <cell r="I1128" t="str">
            <v>Silao</v>
          </cell>
          <cell r="J1128" t="str">
            <v>Guanajuato</v>
          </cell>
          <cell r="K1128" t="str">
            <v>México</v>
          </cell>
        </row>
        <row r="1129">
          <cell r="A1129">
            <v>1132</v>
          </cell>
          <cell r="B1129" t="str">
            <v>Janesville de México, S.A. de C.V.</v>
          </cell>
          <cell r="C1129" t="str">
            <v>-</v>
          </cell>
          <cell r="D1129" t="str">
            <v>Carretera Panamericana Federal México-Guadalajara Km 5.51</v>
          </cell>
          <cell r="E1129" t="str">
            <v>-</v>
          </cell>
          <cell r="F1129" t="str">
            <v>-</v>
          </cell>
          <cell r="G1129" t="str">
            <v>Ejido Ciudad de Celaya</v>
          </cell>
          <cell r="H1129">
            <v>38110</v>
          </cell>
          <cell r="I1129" t="str">
            <v>Celaya</v>
          </cell>
          <cell r="J1129" t="str">
            <v>Guanajuato</v>
          </cell>
          <cell r="K1129" t="str">
            <v>México</v>
          </cell>
        </row>
        <row r="1130">
          <cell r="A1130">
            <v>1133</v>
          </cell>
          <cell r="B1130" t="str">
            <v>Tubos de Acero de México S.A.</v>
          </cell>
          <cell r="D1130" t="str">
            <v>Carretera México-Veracruz Km 433.7</v>
          </cell>
          <cell r="E1130" t="str">
            <v>-</v>
          </cell>
          <cell r="F1130" t="str">
            <v>-</v>
          </cell>
          <cell r="G1130" t="str">
            <v>Delfino Valenzuela</v>
          </cell>
          <cell r="H1130">
            <v>91697</v>
          </cell>
          <cell r="I1130" t="str">
            <v>Veracruz</v>
          </cell>
          <cell r="J1130" t="str">
            <v>Veracruz</v>
          </cell>
          <cell r="K1130" t="str">
            <v>México</v>
          </cell>
        </row>
        <row r="1131">
          <cell r="A1131">
            <v>1134</v>
          </cell>
          <cell r="B1131" t="str">
            <v>Truper SA de CV</v>
          </cell>
          <cell r="C1131" t="str">
            <v>-</v>
          </cell>
          <cell r="F1131" t="str">
            <v>s/n</v>
          </cell>
          <cell r="G1131" t="str">
            <v>Parque Industria 1</v>
          </cell>
          <cell r="H1131">
            <v>54240</v>
          </cell>
          <cell r="I1131" t="str">
            <v>Jilotepec</v>
          </cell>
          <cell r="J1131" t="str">
            <v>Estado de Mexico</v>
          </cell>
          <cell r="K1131" t="str">
            <v>México</v>
          </cell>
        </row>
        <row r="1132">
          <cell r="A1132">
            <v>1135</v>
          </cell>
          <cell r="B1132" t="str">
            <v>Alstom Mexicana, S.A. de C.V. Planta GE Morelia Service Center GRS</v>
          </cell>
          <cell r="C1132" t="str">
            <v>-</v>
          </cell>
          <cell r="D1132" t="str">
            <v>Antonio Dovali Jaime</v>
          </cell>
          <cell r="E1132" t="str">
            <v>Piso 4</v>
          </cell>
          <cell r="F1132" t="str">
            <v>-</v>
          </cell>
          <cell r="G1132" t="str">
            <v>Santa Fe</v>
          </cell>
          <cell r="H1132">
            <v>1201</v>
          </cell>
          <cell r="I1132" t="str">
            <v>Ciudad de México</v>
          </cell>
          <cell r="J1132" t="str">
            <v>México</v>
          </cell>
          <cell r="K1132" t="str">
            <v>México</v>
          </cell>
        </row>
        <row r="1133">
          <cell r="A1133">
            <v>1136</v>
          </cell>
          <cell r="B1133" t="str">
            <v>Miesa Metrology, S. de R.L. de C.V.</v>
          </cell>
          <cell r="C1133" t="str">
            <v>-</v>
          </cell>
          <cell r="D1133" t="str">
            <v xml:space="preserve">Av. Valentin Fuentes </v>
          </cell>
          <cell r="E1133">
            <v>1193</v>
          </cell>
          <cell r="F1133" t="str">
            <v>L-5</v>
          </cell>
          <cell r="G1133" t="str">
            <v>Partido la Fuente  B</v>
          </cell>
          <cell r="H1133">
            <v>32370</v>
          </cell>
          <cell r="I1133" t="str">
            <v>Juarez</v>
          </cell>
          <cell r="J1133" t="str">
            <v>Chihuahua</v>
          </cell>
          <cell r="K1133" t="str">
            <v>México</v>
          </cell>
        </row>
        <row r="1134">
          <cell r="A1134">
            <v>1137</v>
          </cell>
          <cell r="B1134" t="str">
            <v>Excell Metrologia S.A. de C.V.</v>
          </cell>
          <cell r="C1134" t="str">
            <v>-</v>
          </cell>
          <cell r="D1134" t="str">
            <v>3 de Marzo</v>
          </cell>
          <cell r="E1134" t="str">
            <v>-</v>
          </cell>
          <cell r="F1134">
            <v>209</v>
          </cell>
          <cell r="G1134" t="str">
            <v>Lomas de Escobedo</v>
          </cell>
          <cell r="H1134">
            <v>66056</v>
          </cell>
          <cell r="I1134" t="str">
            <v>Escobedo</v>
          </cell>
          <cell r="J1134" t="str">
            <v>Nuevo Leon</v>
          </cell>
          <cell r="K1134" t="str">
            <v>México</v>
          </cell>
        </row>
        <row r="1135">
          <cell r="A1135">
            <v>1138</v>
          </cell>
          <cell r="B1135" t="str">
            <v>Hitachi Automotive Systems S.A. de C.V.</v>
          </cell>
          <cell r="C1135" t="str">
            <v>-</v>
          </cell>
          <cell r="D1135" t="str">
            <v>Av. Manufactura</v>
          </cell>
          <cell r="E1135" t="str">
            <v>-</v>
          </cell>
          <cell r="F1135" t="str">
            <v>-</v>
          </cell>
          <cell r="G1135" t="str">
            <v>Parque Industrial Queretaro</v>
          </cell>
          <cell r="H1135">
            <v>76230</v>
          </cell>
          <cell r="I1135" t="str">
            <v>Queretaro</v>
          </cell>
          <cell r="J1135" t="str">
            <v>Queretaro</v>
          </cell>
          <cell r="K1135" t="str">
            <v>México</v>
          </cell>
        </row>
        <row r="1136">
          <cell r="A1136">
            <v>1139</v>
          </cell>
          <cell r="B1136" t="str">
            <v>Oasis Latinoamerica, S. de R.L. de C.V.</v>
          </cell>
          <cell r="C1136" t="str">
            <v>-</v>
          </cell>
          <cell r="D1136" t="str">
            <v xml:space="preserve">Av. Del Parque </v>
          </cell>
          <cell r="E1136" t="str">
            <v>-</v>
          </cell>
          <cell r="F1136">
            <v>1145</v>
          </cell>
          <cell r="G1136" t="str">
            <v>Monterrey Technology Park</v>
          </cell>
          <cell r="H1136">
            <v>65550</v>
          </cell>
          <cell r="I1136" t="str">
            <v>Cienega de Flores</v>
          </cell>
          <cell r="J1136" t="str">
            <v>Nuevo Leon</v>
          </cell>
          <cell r="K1136" t="str">
            <v>México</v>
          </cell>
        </row>
        <row r="1137">
          <cell r="A1137">
            <v>1140</v>
          </cell>
          <cell r="B1137" t="str">
            <v>Jovita Rivera Bravo</v>
          </cell>
          <cell r="C1137" t="str">
            <v>-</v>
          </cell>
          <cell r="D1137" t="str">
            <v>Fusion</v>
          </cell>
          <cell r="E1137" t="str">
            <v>-</v>
          </cell>
          <cell r="F1137">
            <v>1313</v>
          </cell>
          <cell r="G1137" t="str">
            <v>Parque de los Fundidores</v>
          </cell>
          <cell r="H1137">
            <v>78421</v>
          </cell>
          <cell r="I1137" t="str">
            <v>San Luis Potosí</v>
          </cell>
          <cell r="J1137" t="str">
            <v>San Luis Potosí</v>
          </cell>
          <cell r="K1137" t="str">
            <v>México</v>
          </cell>
        </row>
        <row r="1138">
          <cell r="A1138">
            <v>1141</v>
          </cell>
          <cell r="B1138" t="str">
            <v>Cemex, S.A.B. de C.V.</v>
          </cell>
          <cell r="C1138" t="str">
            <v>-</v>
          </cell>
          <cell r="D1138" t="str">
            <v>Carretera Zapotiltic-Tamazula Km 4.5</v>
          </cell>
          <cell r="E1138" t="str">
            <v>-</v>
          </cell>
          <cell r="F1138" t="str">
            <v>-</v>
          </cell>
          <cell r="G1138" t="str">
            <v>-</v>
          </cell>
          <cell r="H1138">
            <v>49600</v>
          </cell>
          <cell r="I1138" t="str">
            <v>Zapotiltic</v>
          </cell>
          <cell r="J1138" t="str">
            <v>Jalisco</v>
          </cell>
          <cell r="K1138" t="str">
            <v>México</v>
          </cell>
        </row>
        <row r="1139">
          <cell r="A1139">
            <v>1142</v>
          </cell>
          <cell r="B1139" t="str">
            <v>Yorozu Automotive Guanajuato de México, S.A. de C.V.</v>
          </cell>
          <cell r="C1139" t="str">
            <v>-</v>
          </cell>
          <cell r="D1139" t="str">
            <v>Av. Amistad</v>
          </cell>
          <cell r="E1139" t="str">
            <v>-</v>
          </cell>
          <cell r="F1139">
            <v>102</v>
          </cell>
          <cell r="G1139" t="str">
            <v>Parques Industriales Amistad Bajío</v>
          </cell>
          <cell r="H1139">
            <v>38160</v>
          </cell>
          <cell r="I1139" t="str">
            <v>Apaseo el Grande</v>
          </cell>
          <cell r="J1139" t="str">
            <v>Guanajuato</v>
          </cell>
          <cell r="K1139" t="str">
            <v>México</v>
          </cell>
        </row>
        <row r="1140">
          <cell r="A1140">
            <v>1143</v>
          </cell>
          <cell r="B1140" t="str">
            <v>Mikra Productions</v>
          </cell>
          <cell r="C1140" t="str">
            <v>-</v>
          </cell>
          <cell r="D1140" t="str">
            <v>Colinas del Cimatario</v>
          </cell>
          <cell r="E1140" t="str">
            <v>-</v>
          </cell>
          <cell r="F1140">
            <v>381</v>
          </cell>
          <cell r="G1140" t="str">
            <v>Colinas del Cimatario</v>
          </cell>
          <cell r="H1140">
            <v>76090</v>
          </cell>
          <cell r="I1140" t="str">
            <v>Queretaro</v>
          </cell>
          <cell r="J1140" t="str">
            <v>Queretaro</v>
          </cell>
          <cell r="K1140" t="str">
            <v>México</v>
          </cell>
        </row>
        <row r="1141">
          <cell r="A1141">
            <v>1144</v>
          </cell>
          <cell r="B1141" t="str">
            <v>CLARTON HORN MEXICO S. de R.L. de C.V.</v>
          </cell>
          <cell r="C1141" t="str">
            <v>-</v>
          </cell>
          <cell r="D1141" t="str">
            <v>Av. De la Cruz</v>
          </cell>
          <cell r="E1141" t="str">
            <v>-</v>
          </cell>
          <cell r="F1141">
            <v>103</v>
          </cell>
          <cell r="G1141" t="str">
            <v>Buenavista</v>
          </cell>
          <cell r="H1141">
            <v>76225</v>
          </cell>
          <cell r="I1141" t="str">
            <v>Parque Industrial Queretaro 2</v>
          </cell>
          <cell r="J1141" t="str">
            <v>Queretaro</v>
          </cell>
          <cell r="K1141" t="str">
            <v>México</v>
          </cell>
        </row>
        <row r="1142">
          <cell r="A1142">
            <v>1145</v>
          </cell>
          <cell r="B1142" t="str">
            <v>México Jinyoung Techno S.A. de C.V</v>
          </cell>
          <cell r="C1142" t="str">
            <v>-</v>
          </cell>
          <cell r="D1142" t="str">
            <v>Avenida Aztecas</v>
          </cell>
          <cell r="E1142" t="str">
            <v>-</v>
          </cell>
          <cell r="F1142">
            <v>23</v>
          </cell>
          <cell r="G1142" t="str">
            <v>Parque Industrial Nuevo San Juan</v>
          </cell>
          <cell r="H1142">
            <v>76806</v>
          </cell>
          <cell r="I1142" t="str">
            <v>San Juan del Río</v>
          </cell>
          <cell r="J1142" t="str">
            <v>Queretaro</v>
          </cell>
          <cell r="K1142" t="str">
            <v>México</v>
          </cell>
        </row>
        <row r="1143">
          <cell r="A1143">
            <v>1146</v>
          </cell>
          <cell r="B1143" t="str">
            <v>Kepler Constructora, S.A. de C.V.</v>
          </cell>
          <cell r="C1143" t="str">
            <v>-</v>
          </cell>
          <cell r="D1143" t="str">
            <v>Bosque de Alisos</v>
          </cell>
          <cell r="E1143" t="str">
            <v>Piso 3A-2</v>
          </cell>
          <cell r="F1143" t="str">
            <v>47-A</v>
          </cell>
          <cell r="G1143" t="str">
            <v>Bosques de las Lomas</v>
          </cell>
          <cell r="H1143">
            <v>5120</v>
          </cell>
          <cell r="I1143" t="str">
            <v>Cuajimalpa de Morelos</v>
          </cell>
          <cell r="J1143" t="str">
            <v>Distrito Federal</v>
          </cell>
          <cell r="K1143" t="str">
            <v>México</v>
          </cell>
        </row>
        <row r="1144">
          <cell r="A1144">
            <v>1147</v>
          </cell>
          <cell r="B1144" t="str">
            <v>Electroconstrucciones Alconkars S.A. de C.V.</v>
          </cell>
          <cell r="C1144" t="str">
            <v>-</v>
          </cell>
          <cell r="D1144" t="str">
            <v>Narciso Mendoza</v>
          </cell>
          <cell r="E1144" t="str">
            <v>-</v>
          </cell>
          <cell r="F1144">
            <v>503</v>
          </cell>
          <cell r="G1144" t="str">
            <v>Centro</v>
          </cell>
          <cell r="H1144">
            <v>38160</v>
          </cell>
          <cell r="I1144" t="str">
            <v>Apaseo el Grande</v>
          </cell>
          <cell r="J1144" t="str">
            <v>Guanajuato</v>
          </cell>
          <cell r="K1144" t="str">
            <v>México</v>
          </cell>
        </row>
        <row r="1145">
          <cell r="A1145">
            <v>1148</v>
          </cell>
          <cell r="B1145" t="str">
            <v>Now Capital</v>
          </cell>
          <cell r="C1145" t="str">
            <v>-</v>
          </cell>
          <cell r="D1145" t="str">
            <v>Acceso III</v>
          </cell>
          <cell r="E1145" t="str">
            <v>Bodega 9</v>
          </cell>
          <cell r="F1145">
            <v>42</v>
          </cell>
          <cell r="G1145" t="str">
            <v>Parque Industrial Benito Juarez</v>
          </cell>
          <cell r="H1145" t="str">
            <v>-</v>
          </cell>
          <cell r="I1145" t="str">
            <v>Queretaro</v>
          </cell>
          <cell r="J1145" t="str">
            <v>Queretaro</v>
          </cell>
          <cell r="K1145" t="str">
            <v>México</v>
          </cell>
        </row>
        <row r="1146">
          <cell r="A1146">
            <v>1149</v>
          </cell>
          <cell r="B1146" t="str">
            <v>Safran Landing Systems México S.A. de C.V.</v>
          </cell>
          <cell r="C1146" t="str">
            <v>-</v>
          </cell>
          <cell r="D1146" t="str">
            <v xml:space="preserve">Carretera Estatal 200 </v>
          </cell>
          <cell r="E1146" t="str">
            <v>B</v>
          </cell>
          <cell r="F1146">
            <v>547</v>
          </cell>
          <cell r="G1146" t="str">
            <v>Parque Aeroespacial de Querétaro</v>
          </cell>
          <cell r="H1146">
            <v>76278</v>
          </cell>
          <cell r="I1146" t="str">
            <v>Colón</v>
          </cell>
          <cell r="J1146" t="str">
            <v>Querétaro</v>
          </cell>
          <cell r="K1146" t="str">
            <v>Mexico</v>
          </cell>
          <cell r="O1146" t="str">
            <v>SNECMA LANDING</v>
          </cell>
        </row>
        <row r="1147">
          <cell r="A1147">
            <v>1150</v>
          </cell>
          <cell r="B1147" t="str">
            <v>Advics Manufacturing México S. de R.L. de C.V.</v>
          </cell>
          <cell r="C1147" t="str">
            <v>-</v>
          </cell>
          <cell r="D1147" t="str">
            <v>Avenida Cazcanes</v>
          </cell>
          <cell r="E1147" t="str">
            <v>-</v>
          </cell>
          <cell r="F1147">
            <v>2210</v>
          </cell>
          <cell r="G1147" t="str">
            <v>Parque Industrial Colinas de Lagos</v>
          </cell>
          <cell r="H1147">
            <v>47515</v>
          </cell>
          <cell r="I1147" t="str">
            <v>Lagos de Moreno</v>
          </cell>
          <cell r="J1147" t="str">
            <v>Jalisco</v>
          </cell>
          <cell r="K1147" t="str">
            <v>Mexico</v>
          </cell>
        </row>
        <row r="1148">
          <cell r="A1148">
            <v>1151</v>
          </cell>
          <cell r="B1148" t="str">
            <v>Constructora Electromecanica Tasal S.a. de C.V.</v>
          </cell>
          <cell r="C1148" t="str">
            <v>-</v>
          </cell>
          <cell r="D1148" t="str">
            <v>Avenida 2 de Abril</v>
          </cell>
          <cell r="E1148" t="str">
            <v>-</v>
          </cell>
          <cell r="F1148" t="str">
            <v>109-A</v>
          </cell>
          <cell r="G1148" t="str">
            <v>El Vergel</v>
          </cell>
          <cell r="H1148" t="str">
            <v>-</v>
          </cell>
          <cell r="I1148" t="str">
            <v>Celaya</v>
          </cell>
          <cell r="J1148" t="str">
            <v>Guanajuato</v>
          </cell>
          <cell r="K1148" t="str">
            <v>Mexico</v>
          </cell>
        </row>
        <row r="1149">
          <cell r="A1149">
            <v>1152</v>
          </cell>
          <cell r="B1149" t="str">
            <v>Quadrant EPP Méixco S.A. de C.V. - Q Engineering Plastic Product</v>
          </cell>
          <cell r="C1149" t="str">
            <v>-</v>
          </cell>
          <cell r="D1149" t="str">
            <v>Av. Dolores Hidalgo</v>
          </cell>
          <cell r="E1149" t="str">
            <v>-</v>
          </cell>
          <cell r="F1149" t="str">
            <v>697-B</v>
          </cell>
          <cell r="G1149" t="str">
            <v>Ciudad Industrial Irapuato</v>
          </cell>
          <cell r="H1149">
            <v>36541</v>
          </cell>
          <cell r="I1149" t="str">
            <v>Irapuato</v>
          </cell>
          <cell r="J1149" t="str">
            <v>Guanajuato</v>
          </cell>
          <cell r="K1149" t="str">
            <v>Mexico</v>
          </cell>
        </row>
        <row r="1150">
          <cell r="A1150">
            <v>1153</v>
          </cell>
          <cell r="B1150" t="str">
            <v>Bonanza 2001 S.A. de C.V</v>
          </cell>
          <cell r="D1150" t="str">
            <v>Calle 6 Sur</v>
          </cell>
          <cell r="E1150">
            <v>651</v>
          </cell>
          <cell r="G1150" t="str">
            <v>Mercado de Abastos</v>
          </cell>
          <cell r="H1150">
            <v>44530</v>
          </cell>
          <cell r="I1150" t="str">
            <v>Guadalajara</v>
          </cell>
          <cell r="J1150" t="str">
            <v>Jalisco</v>
          </cell>
          <cell r="K1150" t="str">
            <v>Mexico</v>
          </cell>
        </row>
        <row r="1151">
          <cell r="A1151">
            <v>1154</v>
          </cell>
          <cell r="B1151" t="str">
            <v>Jose Javier Romero Romero</v>
          </cell>
          <cell r="C1151" t="str">
            <v>RORJ640906RB9</v>
          </cell>
          <cell r="D1151" t="str">
            <v>Escobedo</v>
          </cell>
          <cell r="E1151" t="str">
            <v>B</v>
          </cell>
          <cell r="F1151">
            <v>226</v>
          </cell>
          <cell r="G1151" t="str">
            <v>Centro</v>
          </cell>
          <cell r="H1151">
            <v>76000</v>
          </cell>
          <cell r="I1151" t="str">
            <v>Queretaro</v>
          </cell>
          <cell r="J1151" t="str">
            <v>Queretaro</v>
          </cell>
          <cell r="K1151" t="str">
            <v>Mexico</v>
          </cell>
          <cell r="N1151" t="str">
            <v>-</v>
          </cell>
          <cell r="O1151" t="str">
            <v>servicio herramentales</v>
          </cell>
        </row>
        <row r="1152">
          <cell r="A1152">
            <v>1155</v>
          </cell>
          <cell r="B1152" t="str">
            <v>ITP I&amp;F Planta Queretaro</v>
          </cell>
          <cell r="C1152" t="str">
            <v>-</v>
          </cell>
          <cell r="D1152" t="str">
            <v>Acceso IV</v>
          </cell>
          <cell r="F1152" t="str">
            <v>6 D</v>
          </cell>
          <cell r="G1152" t="str">
            <v>Zona Industrial Benito Juárez</v>
          </cell>
          <cell r="H1152">
            <v>76120</v>
          </cell>
          <cell r="I1152" t="str">
            <v>Querétaro</v>
          </cell>
          <cell r="J1152" t="str">
            <v>Querétaro</v>
          </cell>
          <cell r="K1152" t="str">
            <v>México</v>
          </cell>
        </row>
        <row r="1153">
          <cell r="A1153">
            <v>1156</v>
          </cell>
          <cell r="B1153" t="str">
            <v>METALSA, S.A. de C.V.</v>
          </cell>
          <cell r="C1153" t="str">
            <v>-</v>
          </cell>
          <cell r="D1153" t="str">
            <v xml:space="preserve">Av. Industrias   </v>
          </cell>
          <cell r="E1153" t="str">
            <v>-</v>
          </cell>
          <cell r="F1153">
            <v>4410</v>
          </cell>
          <cell r="G1153" t="str">
            <v>Zona Industrial del Potosí</v>
          </cell>
          <cell r="H1153">
            <v>78395</v>
          </cell>
          <cell r="I1153" t="str">
            <v>San Luis Potosí</v>
          </cell>
          <cell r="J1153" t="str">
            <v>San Luis Potosí</v>
          </cell>
          <cell r="K1153" t="str">
            <v>México</v>
          </cell>
        </row>
        <row r="1154">
          <cell r="A1154">
            <v>1157</v>
          </cell>
          <cell r="B1154" t="str">
            <v>Alma Delia Rodriguez Palacios</v>
          </cell>
          <cell r="C1154" t="str">
            <v>-</v>
          </cell>
          <cell r="D1154" t="str">
            <v>Centauro</v>
          </cell>
          <cell r="E1154" t="str">
            <v>-</v>
          </cell>
          <cell r="F1154">
            <v>189</v>
          </cell>
          <cell r="G1154" t="str">
            <v>Real del Sol</v>
          </cell>
          <cell r="H1154">
            <v>25016</v>
          </cell>
          <cell r="I1154" t="str">
            <v xml:space="preserve">Saltillo </v>
          </cell>
          <cell r="J1154" t="str">
            <v>Coahuila</v>
          </cell>
          <cell r="K1154" t="str">
            <v>México</v>
          </cell>
        </row>
        <row r="1155">
          <cell r="A1155">
            <v>1158</v>
          </cell>
          <cell r="B1155" t="str">
            <v>DEGASA, S.A. de C.V.</v>
          </cell>
          <cell r="C1155" t="str">
            <v>-</v>
          </cell>
          <cell r="D1155" t="str">
            <v>Calle 40 Sur</v>
          </cell>
          <cell r="E1155" t="str">
            <v>Lote 2</v>
          </cell>
          <cell r="F1155" t="str">
            <v>Mz 2</v>
          </cell>
          <cell r="G1155" t="str">
            <v>Civac</v>
          </cell>
          <cell r="H1155">
            <v>62578</v>
          </cell>
          <cell r="I1155" t="str">
            <v>Jiutepec</v>
          </cell>
          <cell r="J1155" t="str">
            <v>Morelos</v>
          </cell>
          <cell r="K1155" t="str">
            <v>México</v>
          </cell>
        </row>
        <row r="1156">
          <cell r="A1156">
            <v>1159</v>
          </cell>
          <cell r="B1156" t="str">
            <v>ONNERA MÉXICO, S.A. de C.V.</v>
          </cell>
          <cell r="C1156" t="str">
            <v>-</v>
          </cell>
          <cell r="D1156" t="str">
            <v xml:space="preserve">Circuito exportacion </v>
          </cell>
          <cell r="E1156" t="str">
            <v>-</v>
          </cell>
          <cell r="F1156">
            <v>201</v>
          </cell>
          <cell r="G1156" t="str">
            <v>Parque Industrial Tres Naciones</v>
          </cell>
          <cell r="H1156">
            <v>78395</v>
          </cell>
          <cell r="I1156" t="str">
            <v>San Luis Potosí</v>
          </cell>
          <cell r="J1156" t="str">
            <v>San Luis Potosí</v>
          </cell>
          <cell r="K1156" t="str">
            <v>México</v>
          </cell>
        </row>
        <row r="1157">
          <cell r="A1157">
            <v>1160</v>
          </cell>
          <cell r="B1157" t="str">
            <v>Colossal Cement Mixer de México S.C.</v>
          </cell>
          <cell r="C1157" t="str">
            <v>-</v>
          </cell>
          <cell r="D1157" t="str">
            <v>Laurel</v>
          </cell>
          <cell r="E1157" t="str">
            <v>-</v>
          </cell>
          <cell r="F1157">
            <v>200</v>
          </cell>
          <cell r="G1157" t="str">
            <v>Parque Industrial El Vergel</v>
          </cell>
          <cell r="H1157">
            <v>38060</v>
          </cell>
          <cell r="I1157" t="str">
            <v>Celaya</v>
          </cell>
          <cell r="J1157" t="str">
            <v>Guanajuato</v>
          </cell>
          <cell r="K1157" t="str">
            <v>México</v>
          </cell>
        </row>
        <row r="1158">
          <cell r="A1158">
            <v>1161</v>
          </cell>
          <cell r="B1158" t="str">
            <v>Ingenieria y Estudios Ambientales S.A. de C.V.</v>
          </cell>
          <cell r="C1158" t="str">
            <v>-</v>
          </cell>
          <cell r="D1158" t="str">
            <v>Camino a ex Hacienda Menchaca</v>
          </cell>
          <cell r="E1158" t="str">
            <v>-</v>
          </cell>
          <cell r="F1158">
            <v>285</v>
          </cell>
          <cell r="H1158">
            <v>76146</v>
          </cell>
          <cell r="I1158" t="str">
            <v>Queretaro</v>
          </cell>
          <cell r="J1158" t="str">
            <v>Queretaro</v>
          </cell>
          <cell r="K1158" t="str">
            <v>México</v>
          </cell>
        </row>
        <row r="1159">
          <cell r="A1159">
            <v>1162</v>
          </cell>
          <cell r="B1159" t="str">
            <v>Mecánica Tek, S.A. de C.V.</v>
          </cell>
          <cell r="C1159" t="str">
            <v>-</v>
          </cell>
          <cell r="D1159" t="str">
            <v>Paso Carretas</v>
          </cell>
          <cell r="E1159" t="str">
            <v>-</v>
          </cell>
          <cell r="F1159">
            <v>7</v>
          </cell>
          <cell r="G1159" t="str">
            <v>Modelo Cong. Vicente Guerrero</v>
          </cell>
          <cell r="H1159">
            <v>94735</v>
          </cell>
          <cell r="I1159" t="str">
            <v>Rio Blanco</v>
          </cell>
          <cell r="J1159" t="str">
            <v>Veracruz</v>
          </cell>
          <cell r="K1159" t="str">
            <v>México</v>
          </cell>
        </row>
        <row r="1160">
          <cell r="A1160">
            <v>1163</v>
          </cell>
          <cell r="B1160" t="str">
            <v>The Coca-Cola Export Corporation Sucursal México (Laboratorio de Empacotecnia y Microiologia)</v>
          </cell>
          <cell r="C1160" t="str">
            <v>-</v>
          </cell>
          <cell r="D1160" t="str">
            <v xml:space="preserve">Calzada San Isidro </v>
          </cell>
          <cell r="E1160" t="str">
            <v>-</v>
          </cell>
          <cell r="F1160">
            <v>190</v>
          </cell>
          <cell r="G1160" t="str">
            <v>Fraccionamiento Industrial San Antonio</v>
          </cell>
          <cell r="H1160">
            <v>2760</v>
          </cell>
          <cell r="I1160" t="str">
            <v>Azcapotzalco</v>
          </cell>
          <cell r="J1160" t="str">
            <v>Ciudad de México</v>
          </cell>
          <cell r="K1160" t="str">
            <v>México</v>
          </cell>
        </row>
        <row r="1161">
          <cell r="A1161">
            <v>1164</v>
          </cell>
          <cell r="B1161" t="str">
            <v>Bio-Zoo, S.A. de C.V.</v>
          </cell>
          <cell r="C1161" t="str">
            <v>-</v>
          </cell>
          <cell r="D1161" t="str">
            <v>Carretera a Santa Ana Tepetitlán</v>
          </cell>
          <cell r="E1161" t="str">
            <v>-</v>
          </cell>
          <cell r="F1161">
            <v>2200</v>
          </cell>
          <cell r="G1161" t="str">
            <v>-</v>
          </cell>
          <cell r="H1161">
            <v>45230</v>
          </cell>
          <cell r="I1161" t="str">
            <v>Zapopan</v>
          </cell>
          <cell r="J1161" t="str">
            <v>JALISCO</v>
          </cell>
          <cell r="K1161" t="str">
            <v>México</v>
          </cell>
        </row>
        <row r="1162">
          <cell r="A1162">
            <v>1165</v>
          </cell>
          <cell r="B1162" t="str">
            <v>Motrek S.A de C.V.</v>
          </cell>
          <cell r="C1162" t="str">
            <v>-</v>
          </cell>
          <cell r="D1162" t="str">
            <v xml:space="preserve">Manuel  Maria  del Llano </v>
          </cell>
          <cell r="E1162" t="str">
            <v>-</v>
          </cell>
          <cell r="F1162">
            <v>322</v>
          </cell>
          <cell r="G1162" t="str">
            <v>Zona Centro</v>
          </cell>
          <cell r="H1162">
            <v>64000</v>
          </cell>
          <cell r="I1162" t="str">
            <v>Monterrey</v>
          </cell>
          <cell r="J1162" t="str">
            <v>Nuevo Leon</v>
          </cell>
          <cell r="K1162" t="str">
            <v>México</v>
          </cell>
        </row>
        <row r="1163">
          <cell r="A1163">
            <v>1166</v>
          </cell>
          <cell r="B1163" t="str">
            <v>Resortes de Hidalgo, S.A. de C.V.</v>
          </cell>
          <cell r="C1163" t="str">
            <v>-</v>
          </cell>
          <cell r="D1163" t="str">
            <v>Av. Vicente Guerrero</v>
          </cell>
          <cell r="E1163" t="str">
            <v>-</v>
          </cell>
          <cell r="F1163">
            <v>26</v>
          </cell>
          <cell r="G1163" t="str">
            <v>Miravalle</v>
          </cell>
          <cell r="H1163">
            <v>42780</v>
          </cell>
          <cell r="I1163" t="str">
            <v>Tlahuelilpan</v>
          </cell>
          <cell r="J1163" t="str">
            <v>Hidalgo</v>
          </cell>
          <cell r="K1163" t="str">
            <v>México</v>
          </cell>
        </row>
        <row r="1164">
          <cell r="A1164">
            <v>1167</v>
          </cell>
          <cell r="B1164" t="str">
            <v>Mecánica Tek, S.A. de C.V.</v>
          </cell>
          <cell r="C1164" t="str">
            <v>-</v>
          </cell>
          <cell r="D1164" t="str">
            <v>Paseo Carretas, Entre Vias del Ferrocarril</v>
          </cell>
          <cell r="E1164" t="str">
            <v>-</v>
          </cell>
          <cell r="F1164" t="str">
            <v>7-A</v>
          </cell>
          <cell r="G1164" t="str">
            <v xml:space="preserve">Modelo    </v>
          </cell>
          <cell r="H1164">
            <v>94730</v>
          </cell>
          <cell r="I1164" t="str">
            <v>Rio Blanco</v>
          </cell>
          <cell r="J1164" t="str">
            <v>Veracruz</v>
          </cell>
          <cell r="K1164" t="str">
            <v>México</v>
          </cell>
        </row>
        <row r="1165">
          <cell r="A1165">
            <v>1168</v>
          </cell>
          <cell r="B1165" t="str">
            <v>Mecánica Tek, S.A. de C.V.</v>
          </cell>
          <cell r="C1165" t="str">
            <v>-</v>
          </cell>
          <cell r="D1165" t="str">
            <v>Oriente 4</v>
          </cell>
          <cell r="E1165" t="str">
            <v>-</v>
          </cell>
          <cell r="F1165" t="str">
            <v>360-B</v>
          </cell>
          <cell r="G1165" t="str">
            <v>Ciudad Industrial</v>
          </cell>
          <cell r="H1165">
            <v>58200</v>
          </cell>
          <cell r="I1165" t="str">
            <v>Morelia</v>
          </cell>
          <cell r="J1165" t="str">
            <v>Michoacan</v>
          </cell>
          <cell r="K1165" t="str">
            <v>México</v>
          </cell>
        </row>
        <row r="1166">
          <cell r="A1166">
            <v>1169</v>
          </cell>
          <cell r="B1166" t="str">
            <v>Proyectos y Construcciones  Metal-Mecanica Industrial y de  Servicios S.A. de C.V.</v>
          </cell>
          <cell r="C1166" t="str">
            <v>-</v>
          </cell>
          <cell r="D1166" t="str">
            <v>Carretera a Tlaxco, Km3</v>
          </cell>
          <cell r="E1166" t="str">
            <v>-</v>
          </cell>
          <cell r="F1166" t="str">
            <v>-</v>
          </cell>
          <cell r="G1166" t="str">
            <v xml:space="preserve">Antorcha Revolucionaria </v>
          </cell>
          <cell r="H1166">
            <v>90430</v>
          </cell>
          <cell r="I1166" t="str">
            <v>Infonavit Tetla de la Solidaridad</v>
          </cell>
          <cell r="J1166" t="str">
            <v>Tlaxcala</v>
          </cell>
          <cell r="K1166" t="str">
            <v>México</v>
          </cell>
        </row>
        <row r="1167">
          <cell r="A1167">
            <v>1170</v>
          </cell>
          <cell r="B1167" t="str">
            <v>MCS Metrology</v>
          </cell>
          <cell r="C1167" t="str">
            <v>-</v>
          </cell>
          <cell r="D1167" t="str">
            <v>Centauro</v>
          </cell>
          <cell r="E1167" t="str">
            <v>-</v>
          </cell>
          <cell r="F1167">
            <v>189</v>
          </cell>
          <cell r="G1167" t="str">
            <v>Real del Sol</v>
          </cell>
          <cell r="H1167">
            <v>25016</v>
          </cell>
          <cell r="I1167" t="str">
            <v xml:space="preserve">Saltillo </v>
          </cell>
          <cell r="J1167" t="str">
            <v>Coahuila</v>
          </cell>
          <cell r="K1167" t="str">
            <v>México</v>
          </cell>
        </row>
        <row r="1168">
          <cell r="A1168">
            <v>1171</v>
          </cell>
          <cell r="B1168" t="str">
            <v>SERVICIO INDUSTRIAL DE CALIBRACIÓN</v>
          </cell>
          <cell r="C1168" t="str">
            <v>-</v>
          </cell>
          <cell r="D1168" t="str">
            <v xml:space="preserve">Fernando Montes de Oca </v>
          </cell>
          <cell r="E1168" t="str">
            <v>-</v>
          </cell>
          <cell r="F1168">
            <v>848</v>
          </cell>
          <cell r="G1168" t="str">
            <v>Latinoamericana</v>
          </cell>
          <cell r="H1168">
            <v>25270</v>
          </cell>
          <cell r="I1168" t="str">
            <v xml:space="preserve">Saltillo </v>
          </cell>
          <cell r="J1168" t="str">
            <v>Coahuila</v>
          </cell>
          <cell r="K1168" t="str">
            <v>México</v>
          </cell>
        </row>
        <row r="1169">
          <cell r="A1169">
            <v>1172</v>
          </cell>
          <cell r="B1169" t="str">
            <v>Aspel Molding de México S.A de C.V.</v>
          </cell>
          <cell r="C1169" t="str">
            <v>-</v>
          </cell>
          <cell r="D1169" t="str">
            <v xml:space="preserve">Circuito El Marqués Norte </v>
          </cell>
          <cell r="E1169" t="str">
            <v>-</v>
          </cell>
          <cell r="F1169" t="str">
            <v>No.5</v>
          </cell>
          <cell r="G1169" t="str">
            <v>Parque Industrial El Marqués</v>
          </cell>
          <cell r="H1169">
            <v>76248</v>
          </cell>
          <cell r="I1169" t="str">
            <v>Queretaro</v>
          </cell>
          <cell r="J1169" t="str">
            <v>Queretaro</v>
          </cell>
          <cell r="K1169" t="str">
            <v>México</v>
          </cell>
        </row>
        <row r="1170">
          <cell r="A1170">
            <v>1173</v>
          </cell>
          <cell r="B1170" t="str">
            <v>Transmisiones y Equipos Mecánicos S.A. de C.V.</v>
          </cell>
          <cell r="C1170" t="str">
            <v>-</v>
          </cell>
          <cell r="D1170" t="str">
            <v>Kilómetro 181.5 Autopista México-Querétaro,</v>
          </cell>
          <cell r="E1170" t="str">
            <v>-</v>
          </cell>
          <cell r="F1170" t="str">
            <v>-</v>
          </cell>
          <cell r="G1170" t="str">
            <v>-</v>
          </cell>
          <cell r="I1170" t="str">
            <v>Pedro Escobedo</v>
          </cell>
          <cell r="J1170" t="str">
            <v>Queretaro</v>
          </cell>
          <cell r="K1170" t="str">
            <v>México</v>
          </cell>
        </row>
        <row r="1171">
          <cell r="A1171">
            <v>1174</v>
          </cell>
          <cell r="B1171" t="str">
            <v>Tubos de Acero de México S.A.</v>
          </cell>
          <cell r="C1171" t="str">
            <v>-</v>
          </cell>
          <cell r="D1171" t="str">
            <v>Carretera México-Veracruz Km 433.7</v>
          </cell>
          <cell r="E1171" t="str">
            <v>-</v>
          </cell>
          <cell r="F1171" t="str">
            <v>-</v>
          </cell>
          <cell r="G1171" t="str">
            <v>Tejeria</v>
          </cell>
          <cell r="H1171" t="str">
            <v>-</v>
          </cell>
          <cell r="I1171" t="str">
            <v>Veracruz</v>
          </cell>
          <cell r="J1171" t="str">
            <v>Veracruz</v>
          </cell>
          <cell r="K1171" t="str">
            <v>México</v>
          </cell>
        </row>
        <row r="1172">
          <cell r="A1172">
            <v>1175</v>
          </cell>
          <cell r="B1172" t="str">
            <v>Conservas La Costeña, S.A. de C.V.</v>
          </cell>
          <cell r="C1172" t="str">
            <v>-</v>
          </cell>
          <cell r="D1172" t="str">
            <v xml:space="preserve">Via Morelos </v>
          </cell>
          <cell r="E1172" t="str">
            <v>-</v>
          </cell>
          <cell r="F1172">
            <v>268</v>
          </cell>
          <cell r="G1172" t="str">
            <v>Santa María Tultetlac</v>
          </cell>
          <cell r="H1172" t="str">
            <v>-</v>
          </cell>
          <cell r="I1172" t="str">
            <v>Ecatepec de Morelos</v>
          </cell>
          <cell r="J1172" t="str">
            <v>Estado de México</v>
          </cell>
          <cell r="K1172" t="str">
            <v>México</v>
          </cell>
        </row>
        <row r="1173">
          <cell r="A1173">
            <v>1176</v>
          </cell>
          <cell r="B1173" t="str">
            <v>Continental Automotive Mexicana, S.A de C.V.</v>
          </cell>
          <cell r="C1173" t="str">
            <v>-</v>
          </cell>
          <cell r="D1173" t="str">
            <v>Circuito San Miguelito Poniente</v>
          </cell>
          <cell r="F1173">
            <v>132</v>
          </cell>
          <cell r="G1173" t="str">
            <v>Cd. Satelite Zona Industrial</v>
          </cell>
          <cell r="H1173">
            <v>78423</v>
          </cell>
          <cell r="I1173" t="str">
            <v>Delegacion Villa de Pozos</v>
          </cell>
          <cell r="J1173" t="str">
            <v>San Luis Potosi</v>
          </cell>
          <cell r="K1173" t="str">
            <v>México</v>
          </cell>
        </row>
        <row r="1174">
          <cell r="A1174">
            <v>1177</v>
          </cell>
          <cell r="B1174" t="str">
            <v>Bio Pappel, S.A.B. de C.V.</v>
          </cell>
          <cell r="C1174" t="str">
            <v>-</v>
          </cell>
          <cell r="D1174" t="str">
            <v xml:space="preserve">Avenida San Bartolo </v>
          </cell>
          <cell r="E1174" t="str">
            <v>-</v>
          </cell>
          <cell r="F1174">
            <v>435</v>
          </cell>
          <cell r="G1174" t="str">
            <v>El Campanario</v>
          </cell>
          <cell r="H1174">
            <v>49090</v>
          </cell>
          <cell r="I1174" t="str">
            <v>Ciudad Guzman</v>
          </cell>
          <cell r="J1174" t="str">
            <v>Jalisco</v>
          </cell>
          <cell r="K1174" t="str">
            <v>México</v>
          </cell>
        </row>
        <row r="1175">
          <cell r="A1175">
            <v>1178</v>
          </cell>
          <cell r="B1175" t="str">
            <v>V-TEK S. de R.L. de C.V.</v>
          </cell>
          <cell r="C1175" t="str">
            <v>-</v>
          </cell>
          <cell r="D1175" t="str">
            <v>Carr. Estatal a los Cues Galindo, Km 1.2</v>
          </cell>
          <cell r="E1175" t="str">
            <v>Bodega 9</v>
          </cell>
          <cell r="F1175">
            <v>431</v>
          </cell>
          <cell r="G1175" t="str">
            <v>Microparque El Colorado</v>
          </cell>
          <cell r="H1175">
            <v>76246</v>
          </cell>
          <cell r="I1175" t="str">
            <v>El Marques</v>
          </cell>
          <cell r="J1175" t="str">
            <v>Queretaro</v>
          </cell>
          <cell r="K1175" t="str">
            <v>México</v>
          </cell>
        </row>
        <row r="1176">
          <cell r="A1176">
            <v>1179</v>
          </cell>
          <cell r="B1176" t="str">
            <v>Kromberg and Schubert Mexico</v>
          </cell>
          <cell r="C1176" t="str">
            <v>-</v>
          </cell>
          <cell r="D1176" t="str">
            <v>Libramiento Sur Km. 3.5</v>
          </cell>
          <cell r="E1176" t="str">
            <v>-</v>
          </cell>
          <cell r="F1176">
            <v>2000</v>
          </cell>
          <cell r="G1176" t="str">
            <v>Parque Industrial Colinas del Rincón,</v>
          </cell>
          <cell r="H1176" t="str">
            <v>-</v>
          </cell>
          <cell r="I1176" t="str">
            <v>San Francisco del Rincón,</v>
          </cell>
          <cell r="J1176" t="str">
            <v>Guanajuato</v>
          </cell>
          <cell r="K1176" t="str">
            <v>México</v>
          </cell>
          <cell r="O1176" t="str">
            <v>Daniel Sarmiento</v>
          </cell>
        </row>
        <row r="1177">
          <cell r="A1177">
            <v>1180</v>
          </cell>
          <cell r="B1177" t="str">
            <v>ODW-ELEKTRIK México S. de R.L. de C.V.</v>
          </cell>
          <cell r="C1177" t="str">
            <v>-</v>
          </cell>
          <cell r="D1177" t="str">
            <v>Carretera a Mena km 7 100-7</v>
          </cell>
          <cell r="E1177" t="str">
            <v>-</v>
          </cell>
          <cell r="F1177" t="str">
            <v>2B</v>
          </cell>
          <cell r="G1177" t="str">
            <v>Ciudad Industrial Xicohtencatl</v>
          </cell>
          <cell r="H1177">
            <v>90434</v>
          </cell>
          <cell r="I1177" t="str">
            <v>Tela de la Solidaridad</v>
          </cell>
          <cell r="J1177" t="str">
            <v>Tlaxcala</v>
          </cell>
          <cell r="K1177" t="str">
            <v>México</v>
          </cell>
        </row>
        <row r="1178">
          <cell r="A1178">
            <v>1181</v>
          </cell>
          <cell r="B1178" t="str">
            <v>Pinta del Bajío, S.A. de C.V.</v>
          </cell>
          <cell r="C1178" t="str">
            <v>-</v>
          </cell>
          <cell r="D1178" t="str">
            <v>Jaral</v>
          </cell>
          <cell r="E1178" t="str">
            <v>-</v>
          </cell>
          <cell r="F1178">
            <v>182</v>
          </cell>
          <cell r="G1178" t="str">
            <v>El Puente</v>
          </cell>
          <cell r="H1178">
            <v>38150</v>
          </cell>
          <cell r="I1178" t="str">
            <v>Celaya</v>
          </cell>
          <cell r="J1178" t="str">
            <v>Guanajuato</v>
          </cell>
          <cell r="K1178" t="str">
            <v>México</v>
          </cell>
        </row>
        <row r="1179">
          <cell r="A1179">
            <v>1182</v>
          </cell>
          <cell r="B1179" t="str">
            <v>Soilsolution, S.A. de C.V.</v>
          </cell>
          <cell r="C1179" t="str">
            <v>-</v>
          </cell>
          <cell r="D1179" t="str">
            <v>Carretera Municipal Villahermosa a la Isla  Km 3.5</v>
          </cell>
          <cell r="E1179" t="str">
            <v>-</v>
          </cell>
          <cell r="F1179" t="str">
            <v>-</v>
          </cell>
          <cell r="G1179" t="str">
            <v>Miguel Hidalgo 1 era. Etapa</v>
          </cell>
          <cell r="H1179">
            <v>86126</v>
          </cell>
          <cell r="I1179" t="str">
            <v>Villahermosa</v>
          </cell>
          <cell r="J1179" t="str">
            <v xml:space="preserve">Tabasco, </v>
          </cell>
          <cell r="K1179" t="str">
            <v>México</v>
          </cell>
        </row>
        <row r="1180">
          <cell r="A1180">
            <v>1183</v>
          </cell>
          <cell r="B1180" t="str">
            <v>Partes Forjadas S.A. de C.V.</v>
          </cell>
          <cell r="C1180" t="str">
            <v>-</v>
          </cell>
          <cell r="D1180" t="str">
            <v>Constitucion</v>
          </cell>
          <cell r="E1180" t="str">
            <v>-</v>
          </cell>
          <cell r="F1180">
            <v>7</v>
          </cell>
          <cell r="G1180" t="str">
            <v>Parque Industrial Bernardo Quintana</v>
          </cell>
          <cell r="H1180">
            <v>76246</v>
          </cell>
          <cell r="I1180" t="str">
            <v>El Marques</v>
          </cell>
          <cell r="J1180" t="str">
            <v>Queretaro</v>
          </cell>
          <cell r="K1180" t="str">
            <v>México</v>
          </cell>
        </row>
        <row r="1181">
          <cell r="A1181">
            <v>1184</v>
          </cell>
          <cell r="B1181" t="str">
            <v>Mecánica Tek, S.A. de C.V.</v>
          </cell>
          <cell r="C1181" t="str">
            <v>-</v>
          </cell>
          <cell r="D1181" t="str">
            <v>Carretera Los Mochis - Navojoa, Km 149</v>
          </cell>
          <cell r="E1181" t="str">
            <v>-</v>
          </cell>
          <cell r="F1181" t="str">
            <v>-</v>
          </cell>
          <cell r="G1181" t="str">
            <v>-</v>
          </cell>
          <cell r="H1181">
            <v>85800</v>
          </cell>
          <cell r="I1181" t="str">
            <v>Navojoa</v>
          </cell>
          <cell r="J1181" t="str">
            <v>Sonora</v>
          </cell>
          <cell r="K1181" t="str">
            <v>México</v>
          </cell>
        </row>
        <row r="1182">
          <cell r="A1182">
            <v>1185</v>
          </cell>
          <cell r="B1182" t="str">
            <v>Magna Powertrain de México S.A. de C.V</v>
          </cell>
          <cell r="C1182" t="str">
            <v>-</v>
          </cell>
          <cell r="D1182" t="str">
            <v>Boulevard Interamerican</v>
          </cell>
          <cell r="E1182" t="str">
            <v>-</v>
          </cell>
          <cell r="F1182">
            <v>220</v>
          </cell>
          <cell r="G1182" t="str">
            <v>Parque Industrial Finsa</v>
          </cell>
          <cell r="H1182">
            <v>66600</v>
          </cell>
          <cell r="I1182" t="str">
            <v>Apocada</v>
          </cell>
          <cell r="J1182" t="str">
            <v>Nuevo Leon</v>
          </cell>
          <cell r="K1182" t="str">
            <v>México</v>
          </cell>
        </row>
        <row r="1183">
          <cell r="A1183">
            <v>1186</v>
          </cell>
          <cell r="B1183" t="str">
            <v>MSR QROMEX S.A. de C.V.</v>
          </cell>
          <cell r="C1183" t="str">
            <v>-</v>
          </cell>
          <cell r="D1183" t="str">
            <v>Calle 12 de Diciembre</v>
          </cell>
          <cell r="E1183" t="str">
            <v>-</v>
          </cell>
          <cell r="F1183">
            <v>113</v>
          </cell>
          <cell r="G1183" t="str">
            <v>El castillo</v>
          </cell>
          <cell r="H1183" t="str">
            <v>-</v>
          </cell>
          <cell r="I1183" t="str">
            <v>Apaseo el Grande</v>
          </cell>
          <cell r="J1183" t="str">
            <v>Guanajuato</v>
          </cell>
          <cell r="K1183" t="str">
            <v>México</v>
          </cell>
        </row>
        <row r="1184">
          <cell r="A1184">
            <v>1187</v>
          </cell>
          <cell r="B1184" t="str">
            <v>Corgrate Fiberglass Systems S.A. de C.V.</v>
          </cell>
          <cell r="C1184" t="str">
            <v>-</v>
          </cell>
          <cell r="D1184" t="str">
            <v xml:space="preserve">Av. Las misiones </v>
          </cell>
          <cell r="E1184" t="str">
            <v>-</v>
          </cell>
          <cell r="F1184">
            <v>21</v>
          </cell>
          <cell r="G1184" t="str">
            <v xml:space="preserve">Parque industrial Bernardo Quintana </v>
          </cell>
          <cell r="H1184">
            <v>76246</v>
          </cell>
          <cell r="I1184" t="str">
            <v>Queretaro</v>
          </cell>
          <cell r="J1184" t="str">
            <v>Queretaro</v>
          </cell>
          <cell r="K1184" t="str">
            <v>México</v>
          </cell>
        </row>
        <row r="1185">
          <cell r="A1185">
            <v>1188</v>
          </cell>
          <cell r="B1185" t="str">
            <v>Enfil de México, S.A. de C.V.</v>
          </cell>
          <cell r="C1185" t="str">
            <v>-</v>
          </cell>
          <cell r="D1185" t="str">
            <v xml:space="preserve">Av. Paseo Monte Miranda </v>
          </cell>
          <cell r="E1185">
            <v>1</v>
          </cell>
          <cell r="F1185">
            <v>15</v>
          </cell>
          <cell r="G1185" t="str">
            <v xml:space="preserve">Piamonte </v>
          </cell>
          <cell r="H1185">
            <v>76240</v>
          </cell>
          <cell r="I1185" t="str">
            <v>El Marques</v>
          </cell>
          <cell r="J1185" t="str">
            <v>Queretaro</v>
          </cell>
          <cell r="K1185" t="str">
            <v>México</v>
          </cell>
        </row>
        <row r="1186">
          <cell r="A1186">
            <v>1189</v>
          </cell>
          <cell r="B1186" t="str">
            <v>Oscar Enrique Herrera Sandoval</v>
          </cell>
          <cell r="C1186" t="str">
            <v>-</v>
          </cell>
          <cell r="D1186" t="str">
            <v xml:space="preserve">Prolongación Pino Suarez </v>
          </cell>
          <cell r="E1186" t="str">
            <v>Bodega A6</v>
          </cell>
          <cell r="F1186">
            <v>467</v>
          </cell>
          <cell r="G1186" t="str">
            <v>Ejido Modelo</v>
          </cell>
          <cell r="H1186" t="str">
            <v>-</v>
          </cell>
          <cell r="I1186" t="str">
            <v>Queretaro</v>
          </cell>
          <cell r="J1186" t="str">
            <v>Queretaro</v>
          </cell>
          <cell r="K1186" t="str">
            <v>México</v>
          </cell>
          <cell r="N1186" t="str">
            <v>DIMAC</v>
          </cell>
        </row>
        <row r="1187">
          <cell r="A1187">
            <v>1190</v>
          </cell>
          <cell r="B1187" t="str">
            <v>DELPHI DIESEL SYSTEMS, S. de R.L. de C.V.</v>
          </cell>
          <cell r="C1187" t="str">
            <v>-</v>
          </cell>
          <cell r="D1187" t="str">
            <v xml:space="preserve">Blvd. Isidro Lopez Z. </v>
          </cell>
          <cell r="E1187" t="str">
            <v>-</v>
          </cell>
          <cell r="F1187">
            <v>4248</v>
          </cell>
          <cell r="G1187" t="str">
            <v>Virreyes</v>
          </cell>
          <cell r="H1187">
            <v>25220</v>
          </cell>
          <cell r="I1187" t="str">
            <v xml:space="preserve">Saltillo </v>
          </cell>
          <cell r="J1187" t="str">
            <v>Coahuila</v>
          </cell>
          <cell r="K1187" t="str">
            <v>México</v>
          </cell>
        </row>
        <row r="1188">
          <cell r="A1188">
            <v>1191</v>
          </cell>
          <cell r="B1188" t="str">
            <v>ALYEX ALUMINUM, S.A de C.V</v>
          </cell>
          <cell r="C1188" t="str">
            <v>-</v>
          </cell>
          <cell r="D1188" t="str">
            <v>Av. De los Andes</v>
          </cell>
          <cell r="E1188" t="str">
            <v>-</v>
          </cell>
          <cell r="F1188">
            <v>325</v>
          </cell>
          <cell r="G1188" t="str">
            <v>Lomas de Chapultepec, 1era. Seccion</v>
          </cell>
          <cell r="H1188">
            <v>11000</v>
          </cell>
          <cell r="I1188" t="str">
            <v>Miguel Hidalgo</v>
          </cell>
          <cell r="J1188" t="str">
            <v>Ciudad de México</v>
          </cell>
          <cell r="K1188" t="str">
            <v>México</v>
          </cell>
        </row>
        <row r="1189">
          <cell r="A1189">
            <v>1192</v>
          </cell>
          <cell r="B1189" t="str">
            <v>TAMBORMEX  S.A de C.V</v>
          </cell>
          <cell r="C1189" t="str">
            <v>-</v>
          </cell>
          <cell r="D1189" t="str">
            <v>Albañiles</v>
          </cell>
          <cell r="E1189" t="str">
            <v>-</v>
          </cell>
          <cell r="F1189">
            <v>79</v>
          </cell>
          <cell r="G1189" t="str">
            <v>San Pedrito Peñuelas</v>
          </cell>
          <cell r="H1189">
            <v>76148</v>
          </cell>
          <cell r="I1189" t="str">
            <v>Queretaro</v>
          </cell>
          <cell r="J1189" t="str">
            <v>Queretaro</v>
          </cell>
          <cell r="K1189" t="str">
            <v>México</v>
          </cell>
        </row>
        <row r="1190">
          <cell r="A1190">
            <v>1193</v>
          </cell>
          <cell r="B1190" t="str">
            <v>Steel Technologies de México S.A de C.V.</v>
          </cell>
          <cell r="C1190" t="str">
            <v>-</v>
          </cell>
          <cell r="D1190" t="str">
            <v>Carretera Federal 51 Celaya-Salvatierra km 17.5</v>
          </cell>
          <cell r="E1190" t="str">
            <v>-</v>
          </cell>
          <cell r="F1190" t="str">
            <v>-</v>
          </cell>
          <cell r="G1190" t="str">
            <v>Predio Rustico Las Palomas</v>
          </cell>
          <cell r="H1190">
            <v>38150</v>
          </cell>
          <cell r="I1190" t="str">
            <v>Celaya</v>
          </cell>
          <cell r="J1190" t="str">
            <v>Guanajuato</v>
          </cell>
          <cell r="K1190" t="str">
            <v>México</v>
          </cell>
        </row>
        <row r="1191">
          <cell r="A1191">
            <v>1194</v>
          </cell>
          <cell r="B1191" t="str">
            <v>EQUSA S.A de C.V</v>
          </cell>
          <cell r="C1191" t="str">
            <v>-</v>
          </cell>
          <cell r="D1191" t="str">
            <v xml:space="preserve">Av. Acueducto </v>
          </cell>
          <cell r="E1191" t="str">
            <v>-</v>
          </cell>
          <cell r="F1191">
            <v>13</v>
          </cell>
          <cell r="G1191" t="str">
            <v>Parque Ind. Bernardo Quintana</v>
          </cell>
          <cell r="H1191">
            <v>76246</v>
          </cell>
          <cell r="I1191" t="str">
            <v>El Marques</v>
          </cell>
          <cell r="J1191" t="str">
            <v>Queretaro</v>
          </cell>
          <cell r="K1191" t="str">
            <v>México</v>
          </cell>
        </row>
        <row r="1192">
          <cell r="A1192">
            <v>1195</v>
          </cell>
          <cell r="B1192" t="str">
            <v>PRECISIÓN EN ELECTROEROSIÓN, S.A. de C.V.</v>
          </cell>
          <cell r="C1192" t="str">
            <v>-</v>
          </cell>
          <cell r="D1192" t="str">
            <v>Av. Constitucion</v>
          </cell>
          <cell r="E1192" t="str">
            <v>-</v>
          </cell>
          <cell r="F1192">
            <v>11</v>
          </cell>
          <cell r="G1192" t="str">
            <v>Parque Industrial Bernardo Quintana</v>
          </cell>
          <cell r="H1192">
            <v>76246</v>
          </cell>
          <cell r="I1192" t="str">
            <v>El Marques</v>
          </cell>
          <cell r="J1192" t="str">
            <v>Queretaro</v>
          </cell>
          <cell r="K1192" t="str">
            <v>México</v>
          </cell>
        </row>
        <row r="1193">
          <cell r="A1193">
            <v>1196</v>
          </cell>
          <cell r="B1193" t="str">
            <v xml:space="preserve">EATON Bussmann S de RL CV MX </v>
          </cell>
          <cell r="C1193" t="str">
            <v>-</v>
          </cell>
          <cell r="D1193" t="str">
            <v>La Estacada</v>
          </cell>
          <cell r="E1193" t="str">
            <v>-</v>
          </cell>
          <cell r="F1193">
            <v>451</v>
          </cell>
          <cell r="G1193" t="str">
            <v>Parque Industrial Queretaro</v>
          </cell>
          <cell r="H1193">
            <v>76220</v>
          </cell>
          <cell r="I1193" t="str">
            <v>Queretaro</v>
          </cell>
          <cell r="J1193" t="str">
            <v>Queretaro</v>
          </cell>
          <cell r="K1193" t="str">
            <v>Mexico</v>
          </cell>
          <cell r="Q1193" t="str">
            <v>FIDEL AGUILAR / YARELI DIAZ</v>
          </cell>
        </row>
        <row r="1194">
          <cell r="A1194">
            <v>1197</v>
          </cell>
          <cell r="B1194" t="str">
            <v>YKK Mexicana, S. A. de C. V.</v>
          </cell>
          <cell r="C1194" t="str">
            <v>-</v>
          </cell>
          <cell r="D1194" t="str">
            <v>Carretera Federal Libre Querètaro-Leòn Km. 3.6</v>
          </cell>
          <cell r="E1194" t="str">
            <v>-</v>
          </cell>
          <cell r="F1194" t="str">
            <v>-</v>
          </cell>
          <cell r="G1194" t="str">
            <v>Las Malvas Revoluciòn</v>
          </cell>
          <cell r="H1194">
            <v>36547</v>
          </cell>
          <cell r="I1194" t="str">
            <v>Irapuato</v>
          </cell>
          <cell r="J1194" t="str">
            <v>Guanajuato</v>
          </cell>
          <cell r="K1194" t="str">
            <v>Mexico</v>
          </cell>
        </row>
        <row r="1195">
          <cell r="A1195">
            <v>1198</v>
          </cell>
          <cell r="B1195" t="str">
            <v>Neapco México, S. de R.L. de C.V.</v>
          </cell>
          <cell r="C1195" t="str">
            <v>-</v>
          </cell>
          <cell r="D1195" t="str">
            <v xml:space="preserve">Boulevard Fundadores, </v>
          </cell>
          <cell r="E1195" t="str">
            <v>-</v>
          </cell>
          <cell r="F1195">
            <v>8885</v>
          </cell>
          <cell r="G1195" t="str">
            <v>San José de los Cerritos</v>
          </cell>
          <cell r="H1195">
            <v>25293</v>
          </cell>
          <cell r="I1195" t="str">
            <v xml:space="preserve">Saltillo </v>
          </cell>
          <cell r="J1195" t="str">
            <v>Coahuila</v>
          </cell>
          <cell r="K1195" t="str">
            <v>Mexico</v>
          </cell>
        </row>
        <row r="1196">
          <cell r="A1196">
            <v>1199</v>
          </cell>
          <cell r="B1196" t="str">
            <v>Servicios Industriales y de Apoyo de la Laguna S.A. de C.V.</v>
          </cell>
          <cell r="C1196" t="str">
            <v>-</v>
          </cell>
          <cell r="D1196" t="str">
            <v xml:space="preserve">Calzada hacienda del Rosario </v>
          </cell>
          <cell r="E1196" t="str">
            <v>Loca 8</v>
          </cell>
          <cell r="F1196">
            <v>4</v>
          </cell>
          <cell r="G1196" t="str">
            <v>Hacienda El Rosario</v>
          </cell>
          <cell r="H1196">
            <v>27106</v>
          </cell>
          <cell r="I1196" t="str">
            <v>Torreon</v>
          </cell>
          <cell r="J1196" t="str">
            <v>Coahuila</v>
          </cell>
          <cell r="K1196" t="str">
            <v>Mexico</v>
          </cell>
        </row>
        <row r="1197">
          <cell r="A1197">
            <v>1200</v>
          </cell>
          <cell r="B1197" t="str">
            <v>Fumaq, S.A. de C.V.</v>
          </cell>
          <cell r="C1197" t="str">
            <v>-</v>
          </cell>
          <cell r="D1197" t="str">
            <v>Carretera México-Querétaro</v>
          </cell>
          <cell r="E1197" t="str">
            <v>Bodega 23</v>
          </cell>
          <cell r="F1197" t="str">
            <v>201-100</v>
          </cell>
          <cell r="G1197" t="str">
            <v>Cumbres de Conin</v>
          </cell>
          <cell r="H1197">
            <v>76246</v>
          </cell>
          <cell r="I1197" t="str">
            <v>El Marques</v>
          </cell>
          <cell r="J1197" t="str">
            <v>Queretaro</v>
          </cell>
          <cell r="K1197" t="str">
            <v>México</v>
          </cell>
        </row>
        <row r="1198">
          <cell r="A1198">
            <v>1201</v>
          </cell>
          <cell r="B1198" t="str">
            <v>Colossal Cement Mixter de México, S.C.</v>
          </cell>
          <cell r="C1198" t="str">
            <v>-</v>
          </cell>
          <cell r="D1198" t="str">
            <v>Cristina Camarena</v>
          </cell>
          <cell r="E1198" t="str">
            <v>-</v>
          </cell>
          <cell r="F1198">
            <v>1002</v>
          </cell>
          <cell r="G1198" t="str">
            <v>Rancho Seco</v>
          </cell>
          <cell r="H1198">
            <v>38090</v>
          </cell>
          <cell r="I1198" t="str">
            <v>Celaya</v>
          </cell>
          <cell r="J1198" t="str">
            <v>Guanajuato</v>
          </cell>
          <cell r="K1198" t="str">
            <v>México</v>
          </cell>
        </row>
        <row r="1199">
          <cell r="A1199">
            <v>1202</v>
          </cell>
          <cell r="B1199" t="str">
            <v>Triturados Santa Clara, S.A. de C.V.</v>
          </cell>
          <cell r="C1199" t="str">
            <v>-</v>
          </cell>
          <cell r="D1199" t="str">
            <v>Carretera a Cobos Km 6</v>
          </cell>
          <cell r="E1199" t="str">
            <v>-</v>
          </cell>
          <cell r="F1199" t="str">
            <v>S/N</v>
          </cell>
          <cell r="G1199" t="str">
            <v>La Victoria</v>
          </cell>
          <cell r="H1199">
            <v>92770</v>
          </cell>
          <cell r="I1199" t="str">
            <v>Tuxpan</v>
          </cell>
          <cell r="J1199" t="str">
            <v>Veracruz</v>
          </cell>
          <cell r="K1199" t="str">
            <v>México</v>
          </cell>
        </row>
        <row r="1200">
          <cell r="A1200">
            <v>1203</v>
          </cell>
          <cell r="B1200" t="str">
            <v>Control y Verificación de Calidad, S.A. de C.V.</v>
          </cell>
          <cell r="C1200" t="str">
            <v>-</v>
          </cell>
          <cell r="D1200" t="str">
            <v>Calle 14</v>
          </cell>
          <cell r="E1200" t="str">
            <v>Lote 23</v>
          </cell>
          <cell r="F1200" t="str">
            <v>Mtz.117</v>
          </cell>
          <cell r="G1200" t="str">
            <v>Valle de Los Reyes</v>
          </cell>
          <cell r="H1200">
            <v>56430</v>
          </cell>
          <cell r="I1200" t="str">
            <v>La paz</v>
          </cell>
          <cell r="J1200" t="str">
            <v>Estado de México</v>
          </cell>
          <cell r="K1200" t="str">
            <v>México</v>
          </cell>
          <cell r="O1200" t="str">
            <v>CONVECSA</v>
          </cell>
        </row>
        <row r="1201">
          <cell r="A1201">
            <v>1204</v>
          </cell>
          <cell r="B1201" t="str">
            <v>IARI INGENIEROS ASESORES, S.A. de C.V.</v>
          </cell>
          <cell r="C1201" t="str">
            <v>-</v>
          </cell>
          <cell r="D1201" t="str">
            <v>Ursulo Galvan</v>
          </cell>
          <cell r="E1201" t="str">
            <v>-</v>
          </cell>
          <cell r="F1201">
            <v>53</v>
          </cell>
          <cell r="G1201" t="str">
            <v>Presidentes Ejidales</v>
          </cell>
          <cell r="H1201" t="str">
            <v>04470</v>
          </cell>
          <cell r="I1201" t="str">
            <v>Coyoacan</v>
          </cell>
          <cell r="J1201" t="str">
            <v>CDMX</v>
          </cell>
          <cell r="K1201" t="str">
            <v>México</v>
          </cell>
        </row>
        <row r="1202">
          <cell r="A1202">
            <v>1205</v>
          </cell>
          <cell r="B1202" t="str">
            <v>INDUSTRIA DE TUBERIAS AERONAUTICAS MEXICO S.A. de C.V.</v>
          </cell>
          <cell r="C1202" t="str">
            <v>-</v>
          </cell>
          <cell r="D1202" t="str">
            <v>ACCESO IV</v>
          </cell>
          <cell r="F1202" t="str">
            <v>6-B</v>
          </cell>
          <cell r="G1202" t="str">
            <v>Zona Industrial Benito Juarez</v>
          </cell>
          <cell r="H1202">
            <v>76120</v>
          </cell>
          <cell r="I1202" t="str">
            <v>Queretaro</v>
          </cell>
          <cell r="J1202" t="str">
            <v>Queretaro</v>
          </cell>
          <cell r="K1202" t="str">
            <v>México</v>
          </cell>
          <cell r="Q1202" t="str">
            <v>ITAM</v>
          </cell>
        </row>
        <row r="1203">
          <cell r="A1203">
            <v>1206</v>
          </cell>
          <cell r="B1203" t="str">
            <v>INDUSTRIAS FC S.A. de C.V.</v>
          </cell>
          <cell r="C1203" t="str">
            <v>-</v>
          </cell>
          <cell r="D1203" t="str">
            <v xml:space="preserve">Oriente, Esquina Eje Norte-Sur </v>
          </cell>
          <cell r="E1203" t="str">
            <v>-</v>
          </cell>
          <cell r="F1203">
            <v>3</v>
          </cell>
          <cell r="G1203" t="str">
            <v>Ciudad Industrial Celaya</v>
          </cell>
          <cell r="H1203">
            <v>38010</v>
          </cell>
          <cell r="I1203" t="str">
            <v>Celaya</v>
          </cell>
          <cell r="J1203" t="str">
            <v>Guanajuato</v>
          </cell>
          <cell r="K1203" t="str">
            <v>México</v>
          </cell>
        </row>
        <row r="1204">
          <cell r="A1204">
            <v>1207</v>
          </cell>
          <cell r="B1204" t="str">
            <v>INTERWIRE MEXICO S de R.L. de C.V.</v>
          </cell>
          <cell r="C1204" t="str">
            <v>-</v>
          </cell>
          <cell r="D1204" t="str">
            <v xml:space="preserve">Av. Tepeyac </v>
          </cell>
          <cell r="F1204" t="str">
            <v>1420-D</v>
          </cell>
          <cell r="G1204" t="str">
            <v>Parque Ind. O’donnell Aeropuerto</v>
          </cell>
          <cell r="H1204">
            <v>76250</v>
          </cell>
          <cell r="I1204" t="str">
            <v>El Marques</v>
          </cell>
          <cell r="J1204" t="str">
            <v>Queretaro</v>
          </cell>
          <cell r="K1204" t="str">
            <v>México</v>
          </cell>
        </row>
        <row r="1205">
          <cell r="A1205">
            <v>1208</v>
          </cell>
          <cell r="B1205" t="str">
            <v>Industrial Automation MX</v>
          </cell>
          <cell r="C1205" t="str">
            <v>-</v>
          </cell>
          <cell r="D1205" t="str">
            <v>Terra Business Park , primer retorno Universitario, Circuito Universidades</v>
          </cell>
          <cell r="E1205" t="str">
            <v>-</v>
          </cell>
          <cell r="F1205" t="str">
            <v>97-A</v>
          </cell>
          <cell r="G1205" t="str">
            <v>La Pradera</v>
          </cell>
          <cell r="H1205">
            <v>76269</v>
          </cell>
          <cell r="I1205" t="str">
            <v>El Marques</v>
          </cell>
          <cell r="J1205" t="str">
            <v>Queretaro</v>
          </cell>
          <cell r="K1205" t="str">
            <v>México</v>
          </cell>
        </row>
        <row r="1206">
          <cell r="A1206">
            <v>1209</v>
          </cell>
          <cell r="B1206" t="str">
            <v>Luis Velasco García</v>
          </cell>
          <cell r="C1206" t="str">
            <v>-</v>
          </cell>
          <cell r="D1206" t="str">
            <v xml:space="preserve">Cerro Mesontepec </v>
          </cell>
          <cell r="E1206" t="str">
            <v>-</v>
          </cell>
          <cell r="F1206">
            <v>67</v>
          </cell>
          <cell r="G1206" t="str">
            <v>Colinas del Cimatario</v>
          </cell>
          <cell r="H1206">
            <v>76090</v>
          </cell>
          <cell r="I1206" t="str">
            <v>Queretaro</v>
          </cell>
          <cell r="J1206" t="str">
            <v>Queretaro</v>
          </cell>
          <cell r="K1206" t="str">
            <v>México</v>
          </cell>
        </row>
        <row r="1207">
          <cell r="A1207">
            <v>1210</v>
          </cell>
          <cell r="B1207" t="str">
            <v>Cotromma, S.A. de C.V.</v>
          </cell>
          <cell r="C1207" t="str">
            <v>-</v>
          </cell>
          <cell r="D1207" t="str">
            <v>Jose Vasconcelos</v>
          </cell>
          <cell r="E1207" t="str">
            <v>-</v>
          </cell>
          <cell r="F1207">
            <v>136</v>
          </cell>
          <cell r="G1207" t="str">
            <v>Localidad de El Sauz de Villaseñor</v>
          </cell>
          <cell r="H1207">
            <v>38150</v>
          </cell>
          <cell r="I1207" t="str">
            <v>Celaya</v>
          </cell>
          <cell r="J1207" t="str">
            <v>Guanajuato</v>
          </cell>
          <cell r="K1207" t="str">
            <v>México</v>
          </cell>
        </row>
        <row r="1208">
          <cell r="A1208">
            <v>1211</v>
          </cell>
          <cell r="B1208" t="str">
            <v>Lion Supply, S.A. de C.V.</v>
          </cell>
          <cell r="C1208" t="str">
            <v>-</v>
          </cell>
          <cell r="D1208" t="str">
            <v xml:space="preserve">Macedonio Capistran   </v>
          </cell>
          <cell r="E1208" t="str">
            <v>-</v>
          </cell>
          <cell r="F1208">
            <v>134</v>
          </cell>
          <cell r="G1208" t="str">
            <v>México Agrario</v>
          </cell>
          <cell r="H1208">
            <v>87440</v>
          </cell>
          <cell r="I1208" t="str">
            <v xml:space="preserve">Matamoros </v>
          </cell>
          <cell r="J1208" t="str">
            <v>Tamaulipas,</v>
          </cell>
          <cell r="K1208" t="str">
            <v>México</v>
          </cell>
        </row>
        <row r="1209">
          <cell r="A1209">
            <v>1212</v>
          </cell>
          <cell r="B1209" t="str">
            <v>Auma Saltillo, S.A. de C.V.</v>
          </cell>
          <cell r="C1209" t="str">
            <v>-</v>
          </cell>
          <cell r="D1209" t="str">
            <v>Calzada Antonio Narro, Carretera Saltillo-Zac. Km4</v>
          </cell>
          <cell r="E1209" t="str">
            <v>-</v>
          </cell>
          <cell r="F1209" t="str">
            <v>8140-1</v>
          </cell>
          <cell r="G1209" t="str">
            <v>Saltillo</v>
          </cell>
          <cell r="H1209">
            <v>25070</v>
          </cell>
          <cell r="I1209" t="str">
            <v xml:space="preserve">Saltillo </v>
          </cell>
          <cell r="J1209" t="str">
            <v>Coahuila</v>
          </cell>
          <cell r="K1209" t="str">
            <v>México</v>
          </cell>
        </row>
        <row r="1210">
          <cell r="A1210">
            <v>1213</v>
          </cell>
          <cell r="B1210" t="str">
            <v>HOPE INDUSTRIES DE MÉXICO S. de R.L. de C.V.</v>
          </cell>
          <cell r="C1210" t="str">
            <v>-</v>
          </cell>
          <cell r="D1210" t="str">
            <v>Boulevard a Alfaro</v>
          </cell>
          <cell r="E1210" t="str">
            <v>-</v>
          </cell>
          <cell r="F1210">
            <v>1550</v>
          </cell>
          <cell r="G1210" t="str">
            <v>-</v>
          </cell>
          <cell r="H1210">
            <v>37233</v>
          </cell>
          <cell r="I1210" t="str">
            <v>Leon</v>
          </cell>
          <cell r="J1210" t="str">
            <v>Guanajuato</v>
          </cell>
          <cell r="K1210" t="str">
            <v>México</v>
          </cell>
        </row>
        <row r="1211">
          <cell r="A1211">
            <v>1214</v>
          </cell>
          <cell r="B1211" t="str">
            <v>3D Soluciones</v>
          </cell>
          <cell r="C1211" t="str">
            <v>-</v>
          </cell>
          <cell r="D1211" t="str">
            <v>Nogales</v>
          </cell>
          <cell r="E1211" t="str">
            <v>-</v>
          </cell>
          <cell r="F1211">
            <v>13</v>
          </cell>
          <cell r="G1211" t="str">
            <v>Santa Cruz Nieto</v>
          </cell>
          <cell r="H1211">
            <v>76834</v>
          </cell>
          <cell r="I1211" t="str">
            <v>San Juan del Rio</v>
          </cell>
          <cell r="J1211" t="str">
            <v>Queretaro</v>
          </cell>
          <cell r="K1211" t="str">
            <v>México</v>
          </cell>
        </row>
        <row r="1212">
          <cell r="A1212">
            <v>1215</v>
          </cell>
          <cell r="B1212" t="str">
            <v>GM Motriz, S.A. de C.V.</v>
          </cell>
          <cell r="C1212" t="str">
            <v>-</v>
          </cell>
          <cell r="D1212" t="str">
            <v>Avenida Real de Lomas</v>
          </cell>
          <cell r="E1212" t="str">
            <v>-</v>
          </cell>
          <cell r="F1212">
            <v>1001</v>
          </cell>
          <cell r="G1212" t="str">
            <v>Lomas 4ta. Seccion</v>
          </cell>
          <cell r="H1212">
            <v>78216</v>
          </cell>
          <cell r="I1212" t="str">
            <v>San Luis Potosi.</v>
          </cell>
          <cell r="J1212" t="str">
            <v>San Luis Potosi.</v>
          </cell>
          <cell r="K1212" t="str">
            <v>México</v>
          </cell>
        </row>
        <row r="1213">
          <cell r="A1213">
            <v>1216</v>
          </cell>
          <cell r="B1213" t="str">
            <v>Ruben Ramirez Sanchez</v>
          </cell>
          <cell r="C1213" t="str">
            <v>-</v>
          </cell>
          <cell r="D1213" t="str">
            <v>Morelos Norte</v>
          </cell>
          <cell r="E1213" t="str">
            <v>-</v>
          </cell>
          <cell r="F1213">
            <v>49</v>
          </cell>
          <cell r="G1213" t="str">
            <v>San Pedro Ahuacatlan</v>
          </cell>
          <cell r="H1213">
            <v>76810</v>
          </cell>
          <cell r="I1213" t="str">
            <v>San Juan del Rio</v>
          </cell>
          <cell r="J1213" t="str">
            <v>Queretaro</v>
          </cell>
          <cell r="K1213" t="str">
            <v>México</v>
          </cell>
        </row>
        <row r="1214">
          <cell r="A1214">
            <v>1217</v>
          </cell>
          <cell r="B1214" t="str">
            <v>Mecánica Tek, S.A. de C.V.</v>
          </cell>
          <cell r="C1214" t="str">
            <v>-</v>
          </cell>
          <cell r="D1214" t="str">
            <v>Calle Cantera</v>
          </cell>
          <cell r="E1214" t="str">
            <v>-</v>
          </cell>
          <cell r="F1214">
            <v>15</v>
          </cell>
          <cell r="G1214" t="str">
            <v>Conjunto Industrial de la Plata</v>
          </cell>
          <cell r="H1214">
            <v>98600</v>
          </cell>
          <cell r="I1214" t="str">
            <v>Guadalupe</v>
          </cell>
          <cell r="J1214" t="str">
            <v>Zacatecas</v>
          </cell>
          <cell r="K1214" t="str">
            <v>México</v>
          </cell>
        </row>
        <row r="1215">
          <cell r="A1215">
            <v>1218</v>
          </cell>
          <cell r="B1215" t="str">
            <v>Mecánica Tek, S.A. de C.V.</v>
          </cell>
          <cell r="C1215" t="str">
            <v>-</v>
          </cell>
          <cell r="D1215" t="str">
            <v>Jesus Consuelo</v>
          </cell>
          <cell r="E1215" t="str">
            <v>-</v>
          </cell>
          <cell r="F1215">
            <v>1103</v>
          </cell>
          <cell r="G1215" t="str">
            <v>Gremial</v>
          </cell>
          <cell r="H1215">
            <v>20030</v>
          </cell>
          <cell r="I1215" t="str">
            <v>Aguascalientes</v>
          </cell>
          <cell r="J1215" t="str">
            <v>Aguascalientes</v>
          </cell>
          <cell r="K1215" t="str">
            <v>México</v>
          </cell>
        </row>
        <row r="1216">
          <cell r="A1216">
            <v>1219</v>
          </cell>
          <cell r="B1216" t="str">
            <v>SEMIC S.A de C.V.</v>
          </cell>
          <cell r="C1216" t="str">
            <v>-</v>
          </cell>
          <cell r="D1216" t="str">
            <v>Carretera Celaya-Salvatierra Km  10.5</v>
          </cell>
          <cell r="E1216" t="str">
            <v>-</v>
          </cell>
          <cell r="F1216" t="str">
            <v>-</v>
          </cell>
          <cell r="G1216" t="str">
            <v>Plan del Sauz</v>
          </cell>
          <cell r="H1216">
            <v>38090</v>
          </cell>
          <cell r="I1216" t="str">
            <v>Celaya</v>
          </cell>
          <cell r="J1216" t="str">
            <v>Guanajuato</v>
          </cell>
          <cell r="K1216" t="str">
            <v>México</v>
          </cell>
        </row>
        <row r="1217">
          <cell r="A1217">
            <v>1220</v>
          </cell>
          <cell r="B1217" t="str">
            <v>Condumex S.A. de C.V. (Planta Condutel)</v>
          </cell>
          <cell r="C1217" t="str">
            <v>-</v>
          </cell>
          <cell r="D1217" t="str">
            <v>Carretera San Juan del Río-Tequisquiapan Km.5</v>
          </cell>
          <cell r="E1217" t="str">
            <v>-</v>
          </cell>
          <cell r="F1217" t="str">
            <v>-</v>
          </cell>
          <cell r="G1217" t="str">
            <v>-</v>
          </cell>
          <cell r="H1217">
            <v>76800</v>
          </cell>
          <cell r="I1217" t="str">
            <v>San Juan del Río</v>
          </cell>
          <cell r="J1217" t="str">
            <v>Queretaro</v>
          </cell>
          <cell r="K1217" t="str">
            <v>México</v>
          </cell>
        </row>
        <row r="1218">
          <cell r="A1218">
            <v>1221</v>
          </cell>
          <cell r="B1218" t="str">
            <v>DATILE DE MÉXICO, S. de R.L. de C.V.</v>
          </cell>
          <cell r="C1218" t="str">
            <v>-</v>
          </cell>
          <cell r="D1218" t="str">
            <v>Boulevard Díaz Ordaz Km 335</v>
          </cell>
          <cell r="E1218" t="str">
            <v>-</v>
          </cell>
          <cell r="F1218" t="str">
            <v>-</v>
          </cell>
          <cell r="G1218" t="str">
            <v>San Pedro</v>
          </cell>
          <cell r="H1218">
            <v>66230</v>
          </cell>
          <cell r="I1218" t="str">
            <v>Garza Garcia</v>
          </cell>
          <cell r="J1218" t="str">
            <v>Nuevo Leon</v>
          </cell>
          <cell r="K1218" t="str">
            <v>México</v>
          </cell>
        </row>
        <row r="1219">
          <cell r="A1219">
            <v>1222</v>
          </cell>
          <cell r="B1219" t="str">
            <v>CCL Secure</v>
          </cell>
          <cell r="C1219" t="str">
            <v>-</v>
          </cell>
          <cell r="D1219" t="str">
            <v>Avenida Industria de la Tansformación</v>
          </cell>
          <cell r="E1219" t="str">
            <v>-</v>
          </cell>
          <cell r="F1219">
            <v>622</v>
          </cell>
          <cell r="G1219" t="str">
            <v>Parque Industrial Queretaro</v>
          </cell>
          <cell r="H1219">
            <v>76220</v>
          </cell>
          <cell r="I1219" t="str">
            <v>Santa Rosa Jáuregui</v>
          </cell>
          <cell r="J1219" t="str">
            <v>Queretaro</v>
          </cell>
          <cell r="K1219" t="str">
            <v>México</v>
          </cell>
        </row>
        <row r="1220">
          <cell r="A1220">
            <v>1223</v>
          </cell>
          <cell r="B1220" t="str">
            <v xml:space="preserve">United Pipeline de México S.A. de C.V. </v>
          </cell>
          <cell r="C1220" t="str">
            <v>-</v>
          </cell>
          <cell r="D1220" t="str">
            <v>Circuito el Marques Norte</v>
          </cell>
          <cell r="E1220" t="str">
            <v>-</v>
          </cell>
          <cell r="F1220">
            <v>84</v>
          </cell>
          <cell r="G1220" t="str">
            <v>Parque Industrial El Marqués</v>
          </cell>
          <cell r="H1220">
            <v>76138</v>
          </cell>
          <cell r="I1220" t="str">
            <v>Queretaro</v>
          </cell>
          <cell r="J1220" t="str">
            <v>Queretaro</v>
          </cell>
          <cell r="K1220" t="str">
            <v>México</v>
          </cell>
        </row>
        <row r="1221">
          <cell r="A1221">
            <v>1224</v>
          </cell>
          <cell r="B1221" t="str">
            <v>Contour Hardening Operaciones, S. de R. L. de C.V.</v>
          </cell>
          <cell r="C1221" t="str">
            <v>-</v>
          </cell>
          <cell r="D1221" t="str">
            <v>Paseo de las Colinas</v>
          </cell>
          <cell r="E1221" t="str">
            <v>-</v>
          </cell>
          <cell r="F1221">
            <v>230</v>
          </cell>
          <cell r="G1221" t="str">
            <v>Parque Industrial  y de negocios las colinas</v>
          </cell>
          <cell r="H1221">
            <v>36720</v>
          </cell>
          <cell r="I1221" t="str">
            <v>Silao</v>
          </cell>
          <cell r="J1221" t="str">
            <v>Guanajuato</v>
          </cell>
          <cell r="K1221" t="str">
            <v>México</v>
          </cell>
        </row>
        <row r="1222">
          <cell r="A1222">
            <v>1225</v>
          </cell>
          <cell r="B1222" t="str">
            <v>SEMIC S.A de C.V.</v>
          </cell>
          <cell r="C1222" t="str">
            <v>-</v>
          </cell>
          <cell r="D1222" t="str">
            <v>Carretera Celaya - Salvatierra Km 10.5</v>
          </cell>
          <cell r="E1222" t="str">
            <v>-</v>
          </cell>
          <cell r="F1222" t="str">
            <v>-</v>
          </cell>
          <cell r="G1222" t="str">
            <v>Plan del Sauz</v>
          </cell>
          <cell r="H1222">
            <v>38090</v>
          </cell>
          <cell r="I1222" t="str">
            <v>Celaya</v>
          </cell>
          <cell r="J1222" t="str">
            <v>Guanajuato</v>
          </cell>
          <cell r="K1222" t="str">
            <v>México</v>
          </cell>
        </row>
        <row r="1223">
          <cell r="A1223">
            <v>1226</v>
          </cell>
          <cell r="B1223" t="str">
            <v>Paper Design &amp; Manufacturing México S.A de C.V</v>
          </cell>
          <cell r="C1223" t="str">
            <v>-</v>
          </cell>
          <cell r="D1223" t="str">
            <v>Constituyentes</v>
          </cell>
          <cell r="E1223" t="str">
            <v>Nave 3</v>
          </cell>
          <cell r="F1223">
            <v>161</v>
          </cell>
          <cell r="G1223" t="str">
            <v>San Isidro</v>
          </cell>
          <cell r="H1223">
            <v>73803</v>
          </cell>
          <cell r="I1223" t="str">
            <v>San Juan del Río</v>
          </cell>
          <cell r="J1223" t="str">
            <v>Queretaro</v>
          </cell>
          <cell r="K1223" t="str">
            <v>México</v>
          </cell>
        </row>
        <row r="1224">
          <cell r="A1224">
            <v>1227</v>
          </cell>
          <cell r="B1224" t="str">
            <v>Servicios Refresqueros del Golfo y Bajío S. de R.L. de C.V.</v>
          </cell>
          <cell r="C1224" t="str">
            <v>-</v>
          </cell>
          <cell r="D1224" t="str">
            <v xml:space="preserve">Camino a Las Haciendas </v>
          </cell>
          <cell r="F1224">
            <v>1986</v>
          </cell>
          <cell r="G1224" t="str">
            <v>Libertad</v>
          </cell>
          <cell r="H1224">
            <v>91530</v>
          </cell>
          <cell r="I1224" t="str">
            <v>Coatepec</v>
          </cell>
          <cell r="J1224" t="str">
            <v>Veracruz</v>
          </cell>
          <cell r="K1224" t="str">
            <v>México</v>
          </cell>
        </row>
        <row r="1225">
          <cell r="A1225">
            <v>1228</v>
          </cell>
          <cell r="B1225" t="str">
            <v>ThyssenKrupp Presta de México, S.A. de C.V.</v>
          </cell>
          <cell r="C1225" t="str">
            <v>-</v>
          </cell>
          <cell r="D1225" t="str">
            <v>Boulevard Thyssenkrupp 2 Los Conos, Primer Barrio</v>
          </cell>
          <cell r="E1225" t="str">
            <v>-</v>
          </cell>
          <cell r="F1225" t="str">
            <v>-</v>
          </cell>
          <cell r="G1225" t="str">
            <v>Parque Industrial Mercatus</v>
          </cell>
          <cell r="H1225">
            <v>74160</v>
          </cell>
          <cell r="I1225" t="str">
            <v>Huejotzingo</v>
          </cell>
          <cell r="J1225" t="str">
            <v xml:space="preserve">Puebla, </v>
          </cell>
          <cell r="K1225" t="str">
            <v>México</v>
          </cell>
        </row>
        <row r="1226">
          <cell r="A1226">
            <v>1229</v>
          </cell>
          <cell r="B1226" t="str">
            <v>KROMBERG &amp; SCHUBERT MÉXICO LE S. DE R.L. de C.V.</v>
          </cell>
          <cell r="C1226" t="str">
            <v>-</v>
          </cell>
          <cell r="D1226" t="str">
            <v>LIBRAMIENTO SUR KM. 3.5</v>
          </cell>
          <cell r="E1226" t="str">
            <v>-</v>
          </cell>
          <cell r="F1226">
            <v>2000</v>
          </cell>
          <cell r="G1226" t="str">
            <v>PARQUE INDUSTRIAL COLINAS DEL RINCON</v>
          </cell>
          <cell r="H1226" t="str">
            <v>-</v>
          </cell>
          <cell r="I1226" t="str">
            <v>SAN FRANCISCO DEL RINCON</v>
          </cell>
          <cell r="J1226" t="str">
            <v>GUANAJUATO</v>
          </cell>
          <cell r="K1226" t="str">
            <v>MEXICO</v>
          </cell>
        </row>
        <row r="1227">
          <cell r="A1227">
            <v>1230</v>
          </cell>
          <cell r="B1227" t="str">
            <v>IKD FAEZA S.A. de .C.V</v>
          </cell>
          <cell r="C1227" t="str">
            <v>-</v>
          </cell>
          <cell r="D1227" t="str">
            <v>Av. Rio San Lorenzo 2294</v>
          </cell>
          <cell r="E1227" t="str">
            <v>Fraccionamiento A</v>
          </cell>
          <cell r="F1227" t="str">
            <v>Lote 2</v>
          </cell>
          <cell r="G1227" t="str">
            <v>Parque Tecno Industrial Castro del Río</v>
          </cell>
          <cell r="H1227">
            <v>36810</v>
          </cell>
          <cell r="I1227" t="str">
            <v>Irapuato</v>
          </cell>
          <cell r="J1227" t="str">
            <v>GUANAJUATO</v>
          </cell>
          <cell r="K1227" t="str">
            <v>MEXICO</v>
          </cell>
        </row>
        <row r="1228">
          <cell r="A1228">
            <v>1231</v>
          </cell>
          <cell r="B1228" t="str">
            <v>Forschner México, S. de R.L. de C.V.</v>
          </cell>
          <cell r="C1228" t="str">
            <v>-</v>
          </cell>
          <cell r="D1228" t="str">
            <v>Ecuador</v>
          </cell>
          <cell r="E1228" t="str">
            <v>-</v>
          </cell>
          <cell r="F1228">
            <v>4</v>
          </cell>
          <cell r="G1228" t="str">
            <v xml:space="preserve">Parque Industrial Innovacion </v>
          </cell>
          <cell r="H1228">
            <v>76190</v>
          </cell>
          <cell r="I1228" t="str">
            <v>Querétaro</v>
          </cell>
          <cell r="J1228" t="str">
            <v>Querétaro</v>
          </cell>
          <cell r="K1228" t="str">
            <v>México</v>
          </cell>
        </row>
        <row r="1229">
          <cell r="A1229">
            <v>1232</v>
          </cell>
          <cell r="B1229" t="str">
            <v>PQS Sistemas Eléctricos</v>
          </cell>
          <cell r="C1229" t="str">
            <v>-</v>
          </cell>
          <cell r="D1229" t="str">
            <v xml:space="preserve">Av. 5 de febrero </v>
          </cell>
          <cell r="E1229" t="str">
            <v>Local 215, Torre BII</v>
          </cell>
          <cell r="F1229">
            <v>305</v>
          </cell>
          <cell r="G1229" t="str">
            <v>La capilla</v>
          </cell>
          <cell r="H1229">
            <v>76170</v>
          </cell>
          <cell r="I1229" t="str">
            <v>Querétaro</v>
          </cell>
          <cell r="J1229" t="str">
            <v>Querétaro</v>
          </cell>
          <cell r="K1229" t="str">
            <v>México</v>
          </cell>
        </row>
        <row r="1230">
          <cell r="A1230">
            <v>1233</v>
          </cell>
          <cell r="B1230" t="str">
            <v>Thyssenkrupp Bilstein Sasa S.A. de C.V.</v>
          </cell>
          <cell r="C1230" t="str">
            <v>-</v>
          </cell>
          <cell r="D1230" t="str">
            <v xml:space="preserve">Blvd. de los Picachos </v>
          </cell>
          <cell r="E1230" t="str">
            <v>-</v>
          </cell>
          <cell r="F1230">
            <v>9</v>
          </cell>
          <cell r="G1230" t="str">
            <v>Polígono Empresarial San Miguel de Allende</v>
          </cell>
          <cell r="H1230">
            <v>37888</v>
          </cell>
          <cell r="I1230" t="str">
            <v>San Miguel de Allende</v>
          </cell>
          <cell r="J1230" t="str">
            <v>Guanajuato</v>
          </cell>
          <cell r="K1230" t="str">
            <v>México</v>
          </cell>
        </row>
        <row r="1231">
          <cell r="A1231">
            <v>1234</v>
          </cell>
          <cell r="B1231" t="str">
            <v>IMS GEAR S.A. DE C.V. (BU QT02)</v>
          </cell>
          <cell r="C1231" t="str">
            <v>-</v>
          </cell>
          <cell r="D1231" t="str">
            <v xml:space="preserve">Avenida de la Condesa </v>
          </cell>
          <cell r="E1231" t="str">
            <v>-</v>
          </cell>
          <cell r="F1231">
            <v>5</v>
          </cell>
          <cell r="G1231" t="str">
            <v>-</v>
          </cell>
          <cell r="H1231">
            <v>76246</v>
          </cell>
          <cell r="I1231" t="str">
            <v>El Marques</v>
          </cell>
          <cell r="J1231" t="str">
            <v>Querétaro</v>
          </cell>
          <cell r="K1231" t="str">
            <v>México</v>
          </cell>
        </row>
        <row r="1232">
          <cell r="A1232">
            <v>1235</v>
          </cell>
          <cell r="B1232" t="str">
            <v>GP Electromecánica S.A. de C.V.</v>
          </cell>
          <cell r="C1232" t="str">
            <v>-</v>
          </cell>
          <cell r="D1232" t="str">
            <v>Boulevard a Zacatecas</v>
          </cell>
          <cell r="E1232" t="str">
            <v>-</v>
          </cell>
          <cell r="F1232">
            <v>201</v>
          </cell>
          <cell r="G1232" t="str">
            <v>Industrial</v>
          </cell>
          <cell r="H1232">
            <v>20030</v>
          </cell>
          <cell r="I1232" t="str">
            <v>Aguascalientes</v>
          </cell>
          <cell r="J1232" t="str">
            <v>Aguascalientes</v>
          </cell>
          <cell r="K1232" t="str">
            <v>México</v>
          </cell>
        </row>
        <row r="1233">
          <cell r="A1233">
            <v>1236</v>
          </cell>
          <cell r="B1233" t="str">
            <v>Silos y Camiones S.A. de C.V.</v>
          </cell>
          <cell r="C1233" t="str">
            <v>-</v>
          </cell>
          <cell r="D1233" t="str">
            <v>Boulevard Felipe Angeles</v>
          </cell>
          <cell r="E1233" t="str">
            <v>-</v>
          </cell>
          <cell r="F1233">
            <v>1606</v>
          </cell>
          <cell r="G1233" t="str">
            <v>Santa Julia</v>
          </cell>
          <cell r="H1233">
            <v>42080</v>
          </cell>
          <cell r="I1233" t="str">
            <v>Pachuca</v>
          </cell>
          <cell r="J1233" t="str">
            <v>Hidalgo</v>
          </cell>
          <cell r="K1233" t="str">
            <v>México</v>
          </cell>
        </row>
        <row r="1234">
          <cell r="A1234">
            <v>1237</v>
          </cell>
          <cell r="B1234" t="str">
            <v xml:space="preserve">KASAI MEXICANA S. A. de C. V. </v>
          </cell>
          <cell r="C1234" t="str">
            <v>-</v>
          </cell>
          <cell r="D1234" t="str">
            <v xml:space="preserve">Blvd Miguel de Cervantes Saavedra, Esquina Calle Poliducto </v>
          </cell>
          <cell r="E1234" t="str">
            <v>-</v>
          </cell>
          <cell r="F1234">
            <v>7502</v>
          </cell>
          <cell r="G1234" t="str">
            <v>Fideicomiso Ciudad Industrial</v>
          </cell>
          <cell r="H1234">
            <v>37564</v>
          </cell>
          <cell r="I1234" t="str">
            <v>Leon</v>
          </cell>
          <cell r="J1234" t="str">
            <v>Guanajuato</v>
          </cell>
          <cell r="K1234" t="str">
            <v>México</v>
          </cell>
        </row>
        <row r="1235">
          <cell r="A1235">
            <v>1238</v>
          </cell>
          <cell r="B1235" t="str">
            <v>PECOM, S. DE R.L. de C.V.</v>
          </cell>
          <cell r="C1235" t="str">
            <v>-</v>
          </cell>
          <cell r="D1235" t="str">
            <v xml:space="preserve">Nueva Amsterdam </v>
          </cell>
          <cell r="E1235" t="str">
            <v>-</v>
          </cell>
          <cell r="F1235">
            <v>4014</v>
          </cell>
          <cell r="G1235" t="str">
            <v xml:space="preserve">Fracc. Industrial Linconl </v>
          </cell>
          <cell r="H1235">
            <v>64310</v>
          </cell>
          <cell r="I1235" t="str">
            <v>Monterrey</v>
          </cell>
          <cell r="J1235" t="str">
            <v>Nuevo Leon</v>
          </cell>
          <cell r="K1235" t="str">
            <v>México</v>
          </cell>
        </row>
        <row r="1236">
          <cell r="A1236">
            <v>1239</v>
          </cell>
          <cell r="B1236" t="str">
            <v>Mecánica Tek, S.A. de C.V.</v>
          </cell>
          <cell r="C1236" t="str">
            <v>-</v>
          </cell>
          <cell r="D1236" t="str">
            <v>Avenida Santa Lucia</v>
          </cell>
          <cell r="E1236" t="str">
            <v>-</v>
          </cell>
          <cell r="F1236">
            <v>120</v>
          </cell>
          <cell r="G1236" t="str">
            <v>San Miguel Amantla</v>
          </cell>
          <cell r="H1236" t="str">
            <v>02700</v>
          </cell>
          <cell r="I1236" t="str">
            <v>Azcapotzalco</v>
          </cell>
          <cell r="J1236" t="str">
            <v>Ciudad de México</v>
          </cell>
          <cell r="K1236" t="str">
            <v>México</v>
          </cell>
        </row>
        <row r="1237">
          <cell r="A1237">
            <v>1240</v>
          </cell>
          <cell r="B1237" t="str">
            <v>US. FARATHANE S.A. de C.V.</v>
          </cell>
          <cell r="C1237" t="str">
            <v>-</v>
          </cell>
          <cell r="D1237" t="str">
            <v>Carretera Romita - Tejamanil km 2</v>
          </cell>
          <cell r="E1237" t="str">
            <v>-</v>
          </cell>
          <cell r="F1237" t="str">
            <v>-</v>
          </cell>
          <cell r="G1237" t="str">
            <v>Fraccionamiento Chapingo</v>
          </cell>
          <cell r="H1237">
            <v>36213</v>
          </cell>
          <cell r="I1237" t="str">
            <v>Romita</v>
          </cell>
          <cell r="J1237" t="str">
            <v>Guanajuato</v>
          </cell>
          <cell r="K1237" t="str">
            <v>México</v>
          </cell>
        </row>
        <row r="1238">
          <cell r="A1238">
            <v>1241</v>
          </cell>
          <cell r="B1238" t="str">
            <v>DEACERO S.A.P.I. de CV</v>
          </cell>
          <cell r="C1238" t="str">
            <v>-</v>
          </cell>
          <cell r="D1238" t="str">
            <v>Circuito Oleoducto</v>
          </cell>
          <cell r="E1238" t="str">
            <v>-</v>
          </cell>
          <cell r="F1238">
            <v>315</v>
          </cell>
          <cell r="G1238" t="str">
            <v>Ciudad Industrial</v>
          </cell>
          <cell r="H1238" t="str">
            <v>-</v>
          </cell>
          <cell r="I1238" t="str">
            <v>Leon</v>
          </cell>
          <cell r="J1238" t="str">
            <v>Guanajuato</v>
          </cell>
          <cell r="K1238" t="str">
            <v>México</v>
          </cell>
        </row>
        <row r="1239">
          <cell r="A1239">
            <v>1242</v>
          </cell>
          <cell r="B1239" t="str">
            <v xml:space="preserve">Cementos Apasco S.A. de C.V. </v>
          </cell>
          <cell r="C1239" t="str">
            <v>-</v>
          </cell>
          <cell r="D1239" t="str">
            <v>Avenida Cofre Fraccion II</v>
          </cell>
          <cell r="E1239" t="str">
            <v>Lote 5</v>
          </cell>
          <cell r="F1239" t="str">
            <v>Mz 7</v>
          </cell>
          <cell r="G1239" t="str">
            <v>Fideicomiso Ciudad Industrial</v>
          </cell>
          <cell r="H1239">
            <v>86010</v>
          </cell>
          <cell r="I1239" t="str">
            <v>Villahermosa</v>
          </cell>
          <cell r="J1239" t="str">
            <v>Tabasco</v>
          </cell>
          <cell r="K1239" t="str">
            <v>México</v>
          </cell>
        </row>
        <row r="1240">
          <cell r="A1240">
            <v>1243</v>
          </cell>
          <cell r="B1240" t="str">
            <v>SCHERING PLOUGH, S.A. de C.V. (MSD)</v>
          </cell>
          <cell r="C1240" t="str">
            <v>-</v>
          </cell>
          <cell r="D1240" t="str">
            <v xml:space="preserve">Avenida 16 de Noviembre </v>
          </cell>
          <cell r="E1240" t="str">
            <v>-</v>
          </cell>
          <cell r="F1240">
            <v>301</v>
          </cell>
          <cell r="G1240" t="str">
            <v>Xaltocan</v>
          </cell>
          <cell r="H1240">
            <v>16090</v>
          </cell>
          <cell r="I1240" t="str">
            <v>Ciudad de México</v>
          </cell>
          <cell r="J1240" t="str">
            <v>Ciudad de México</v>
          </cell>
          <cell r="K1240" t="str">
            <v>México</v>
          </cell>
        </row>
        <row r="1241">
          <cell r="A1241">
            <v>1244</v>
          </cell>
          <cell r="B1241" t="str">
            <v>Schneider R&amp;D S.A. de C.V.</v>
          </cell>
          <cell r="C1241" t="str">
            <v>-</v>
          </cell>
          <cell r="D1241" t="str">
            <v xml:space="preserve">Via de la Innovacion </v>
          </cell>
          <cell r="E1241" t="str">
            <v>-</v>
          </cell>
          <cell r="F1241">
            <v>408</v>
          </cell>
          <cell r="G1241" t="str">
            <v>Parque de Investigacion e Inovacion Tecnológica (PIIT)</v>
          </cell>
          <cell r="H1241">
            <v>66628</v>
          </cell>
          <cell r="I1241" t="str">
            <v>Apocada,</v>
          </cell>
          <cell r="J1241" t="str">
            <v>Nuevo Leon</v>
          </cell>
          <cell r="K1241" t="str">
            <v>Mexico</v>
          </cell>
        </row>
        <row r="1242">
          <cell r="A1242">
            <v>1245</v>
          </cell>
          <cell r="B1242" t="str">
            <v>Concretos Apasco S.A. de C.V.</v>
          </cell>
          <cell r="C1242" t="str">
            <v>-</v>
          </cell>
          <cell r="D1242" t="str">
            <v>Periferico Sur</v>
          </cell>
          <cell r="E1242" t="str">
            <v>-</v>
          </cell>
          <cell r="F1242">
            <v>6230</v>
          </cell>
          <cell r="G1242" t="str">
            <v>Manuel Lopez Cotilla</v>
          </cell>
          <cell r="H1242">
            <v>45615</v>
          </cell>
          <cell r="I1242" t="str">
            <v>Tlaquepaque</v>
          </cell>
          <cell r="J1242" t="str">
            <v>Jalisco</v>
          </cell>
          <cell r="K1242" t="str">
            <v>Mexico</v>
          </cell>
        </row>
        <row r="1243">
          <cell r="A1243">
            <v>1246</v>
          </cell>
          <cell r="B1243" t="str">
            <v>Mecánica Tek, S.A. de C.V.</v>
          </cell>
          <cell r="C1243" t="str">
            <v>-</v>
          </cell>
          <cell r="D1243" t="str">
            <v>Constitución</v>
          </cell>
          <cell r="E1243" t="str">
            <v>-</v>
          </cell>
          <cell r="F1243">
            <v>600</v>
          </cell>
          <cell r="G1243" t="str">
            <v>Centro</v>
          </cell>
          <cell r="H1243">
            <v>59800</v>
          </cell>
          <cell r="I1243" t="str">
            <v>Jacoma</v>
          </cell>
          <cell r="J1243" t="str">
            <v>Michoacan</v>
          </cell>
          <cell r="K1243" t="str">
            <v>Mexico</v>
          </cell>
        </row>
        <row r="1244">
          <cell r="A1244">
            <v>1247</v>
          </cell>
          <cell r="B1244" t="str">
            <v>LG INNOTEK MÉXICO S.A. de C.V.</v>
          </cell>
          <cell r="C1244" t="str">
            <v>-</v>
          </cell>
          <cell r="D1244" t="str">
            <v xml:space="preserve">Avenida 2 </v>
          </cell>
          <cell r="E1244" t="str">
            <v>-</v>
          </cell>
          <cell r="F1244" t="str">
            <v>Oriente 4</v>
          </cell>
          <cell r="G1244" t="str">
            <v xml:space="preserve">Nuevo Parque Industrial </v>
          </cell>
          <cell r="H1244">
            <v>76806</v>
          </cell>
          <cell r="I1244" t="str">
            <v>San Juan del Río</v>
          </cell>
          <cell r="J1244" t="str">
            <v>Queretaro</v>
          </cell>
          <cell r="K1244" t="str">
            <v>Mexico</v>
          </cell>
        </row>
        <row r="1245">
          <cell r="A1245">
            <v>1248</v>
          </cell>
          <cell r="B1245" t="str">
            <v>Forschner México S. de R.L. de C.V.</v>
          </cell>
          <cell r="C1245" t="str">
            <v>-</v>
          </cell>
          <cell r="D1245" t="str">
            <v>Carreterra Estatal 431, Km 2.2</v>
          </cell>
          <cell r="E1245" t="str">
            <v>-</v>
          </cell>
          <cell r="F1245">
            <v>61</v>
          </cell>
          <cell r="G1245" t="str">
            <v>Parque Tecnológico Innovación Querétaro</v>
          </cell>
          <cell r="H1245">
            <v>76246</v>
          </cell>
          <cell r="I1245" t="str">
            <v>El Marques</v>
          </cell>
          <cell r="J1245" t="str">
            <v>Queretaro</v>
          </cell>
          <cell r="K1245" t="str">
            <v>Mexico</v>
          </cell>
        </row>
        <row r="1246">
          <cell r="A1246">
            <v>1249</v>
          </cell>
          <cell r="B1246" t="str">
            <v>Laboratorio Jaba, S.A. de C.V.</v>
          </cell>
          <cell r="C1246" t="str">
            <v>-</v>
          </cell>
          <cell r="D1246" t="str">
            <v>Francisco Javier Mujica</v>
          </cell>
          <cell r="E1246" t="str">
            <v>-</v>
          </cell>
          <cell r="F1246" t="str">
            <v>S/N</v>
          </cell>
          <cell r="G1246" t="str">
            <v>Motobatha</v>
          </cell>
          <cell r="H1246">
            <v>42727</v>
          </cell>
          <cell r="I1246" t="str">
            <v>Mixquiahuala de Juarez</v>
          </cell>
          <cell r="J1246" t="str">
            <v>Hidalgo</v>
          </cell>
          <cell r="K1246" t="str">
            <v>Mexico</v>
          </cell>
        </row>
        <row r="1247">
          <cell r="A1247">
            <v>1250</v>
          </cell>
          <cell r="B1247" t="str">
            <v>COLOR PLUS INDUSTRIAS S.A. de C.V.</v>
          </cell>
          <cell r="C1247" t="str">
            <v>-</v>
          </cell>
          <cell r="D1247" t="str">
            <v xml:space="preserve">Camino Nuevo Amanecer </v>
          </cell>
          <cell r="E1247" t="str">
            <v>-</v>
          </cell>
          <cell r="F1247">
            <v>28</v>
          </cell>
          <cell r="G1247" t="str">
            <v>Fraccionamiento Industrial Balvanera</v>
          </cell>
          <cell r="H1247">
            <v>76908</v>
          </cell>
          <cell r="I1247" t="str">
            <v>Corregidora</v>
          </cell>
          <cell r="J1247" t="str">
            <v>Queretaro</v>
          </cell>
          <cell r="K1247" t="str">
            <v>Mexico</v>
          </cell>
        </row>
        <row r="1248">
          <cell r="A1248">
            <v>1251</v>
          </cell>
          <cell r="B1248" t="str">
            <v>Sapco Energia S.A. de C.V.</v>
          </cell>
          <cell r="C1248" t="str">
            <v>-</v>
          </cell>
          <cell r="D1248" t="str">
            <v xml:space="preserve">Industrial del Vidrio </v>
          </cell>
          <cell r="E1248" t="str">
            <v>-</v>
          </cell>
          <cell r="F1248">
            <v>248</v>
          </cell>
          <cell r="G1248" t="str">
            <v>Parque Industrial Martel II</v>
          </cell>
          <cell r="H1248">
            <v>66350</v>
          </cell>
          <cell r="I1248" t="str">
            <v>Santa Catarina</v>
          </cell>
          <cell r="J1248" t="str">
            <v>Nuevo Leon</v>
          </cell>
          <cell r="K1248" t="str">
            <v>México</v>
          </cell>
        </row>
        <row r="1249">
          <cell r="A1249">
            <v>1252</v>
          </cell>
          <cell r="B1249" t="str">
            <v>BOCAR, S.A. de C.V.</v>
          </cell>
          <cell r="C1249" t="str">
            <v>-</v>
          </cell>
          <cell r="D1249" t="str">
            <v>Circuito de la Industria Norte</v>
          </cell>
          <cell r="E1249" t="str">
            <v>-</v>
          </cell>
          <cell r="F1249">
            <v>6</v>
          </cell>
          <cell r="G1249" t="str">
            <v>Parque Industrial Lerma</v>
          </cell>
          <cell r="H1249">
            <v>52000</v>
          </cell>
          <cell r="I1249" t="str">
            <v>Lerma</v>
          </cell>
          <cell r="J1249" t="str">
            <v>Estado de México</v>
          </cell>
          <cell r="K1249" t="str">
            <v>México</v>
          </cell>
        </row>
        <row r="1250">
          <cell r="A1250">
            <v>1253</v>
          </cell>
          <cell r="B1250" t="str">
            <v>Faurecia Clean Mobility</v>
          </cell>
          <cell r="C1250" t="str">
            <v>-</v>
          </cell>
          <cell r="D1250" t="str">
            <v xml:space="preserve">Boulevard Juan José Torres Landa Poniente </v>
          </cell>
          <cell r="E1250" t="str">
            <v>-</v>
          </cell>
          <cell r="F1250" t="str">
            <v>Lote 41</v>
          </cell>
          <cell r="G1250" t="str">
            <v>Parque Opción, Los Nogales</v>
          </cell>
          <cell r="H1250" t="str">
            <v>-</v>
          </cell>
          <cell r="I1250" t="str">
            <v>San Jose Iturbide</v>
          </cell>
          <cell r="J1250" t="str">
            <v>Guanajuato</v>
          </cell>
          <cell r="K1250" t="str">
            <v>México</v>
          </cell>
        </row>
        <row r="1251">
          <cell r="A1251">
            <v>1254</v>
          </cell>
          <cell r="B1251" t="str">
            <v>Metrología e Ingeniería Avanzada, S. A. de C. V.</v>
          </cell>
          <cell r="C1251" t="str">
            <v>-</v>
          </cell>
          <cell r="D1251" t="str">
            <v>Azucena</v>
          </cell>
          <cell r="E1251" t="str">
            <v>-</v>
          </cell>
          <cell r="F1251">
            <v>200</v>
          </cell>
          <cell r="G1251" t="str">
            <v>Miraflores Sector 2</v>
          </cell>
          <cell r="H1251">
            <v>66410</v>
          </cell>
          <cell r="I1251" t="str">
            <v>San Nicolás de los Garza,</v>
          </cell>
          <cell r="J1251" t="str">
            <v>Nuevo Leon</v>
          </cell>
          <cell r="K1251" t="str">
            <v>México</v>
          </cell>
        </row>
        <row r="1252">
          <cell r="A1252">
            <v>1255</v>
          </cell>
          <cell r="B1252" t="str">
            <v>GS de México S. de R.L. de C.V.</v>
          </cell>
          <cell r="C1252" t="str">
            <v>-</v>
          </cell>
          <cell r="D1252" t="str">
            <v xml:space="preserve">Acueducto </v>
          </cell>
          <cell r="E1252" t="str">
            <v>-</v>
          </cell>
          <cell r="F1252">
            <v>7</v>
          </cell>
          <cell r="G1252" t="str">
            <v>Parque Industrial Bernardo Quintana</v>
          </cell>
          <cell r="H1252">
            <v>76240</v>
          </cell>
          <cell r="I1252" t="str">
            <v>El Marques</v>
          </cell>
          <cell r="J1252" t="str">
            <v>Queretaro</v>
          </cell>
          <cell r="K1252" t="str">
            <v>México</v>
          </cell>
        </row>
        <row r="1253">
          <cell r="A1253">
            <v>1256</v>
          </cell>
          <cell r="B1253" t="str">
            <v>María Adriana Macías Carbajal</v>
          </cell>
          <cell r="C1253" t="str">
            <v>-</v>
          </cell>
          <cell r="D1253" t="str">
            <v>Privada Degollado</v>
          </cell>
          <cell r="E1253" t="str">
            <v>-</v>
          </cell>
          <cell r="F1253">
            <v>20</v>
          </cell>
          <cell r="G1253" t="str">
            <v>Agua Blanca Industrial</v>
          </cell>
          <cell r="H1253">
            <v>45235</v>
          </cell>
          <cell r="I1253" t="str">
            <v>Zapopan</v>
          </cell>
          <cell r="J1253" t="str">
            <v>JALISCO</v>
          </cell>
          <cell r="K1253" t="str">
            <v>México</v>
          </cell>
        </row>
        <row r="1254">
          <cell r="A1254">
            <v>1257</v>
          </cell>
          <cell r="B1254" t="str">
            <v>Colep, S.A. de C.V.</v>
          </cell>
          <cell r="C1254" t="str">
            <v>-</v>
          </cell>
          <cell r="D1254" t="str">
            <v xml:space="preserve">Av. Industria de la Transformación </v>
          </cell>
          <cell r="E1254" t="str">
            <v>-</v>
          </cell>
          <cell r="F1254">
            <v>421</v>
          </cell>
          <cell r="G1254" t="str">
            <v>Parque Industrial Querétaro</v>
          </cell>
          <cell r="H1254">
            <v>76220</v>
          </cell>
          <cell r="I1254" t="str">
            <v>Queretaro</v>
          </cell>
          <cell r="J1254" t="str">
            <v>Queretaro</v>
          </cell>
          <cell r="K1254" t="str">
            <v>México</v>
          </cell>
        </row>
        <row r="1255">
          <cell r="A1255">
            <v>1258</v>
          </cell>
          <cell r="B1255" t="str">
            <v>Gobierno del Estado de San Luis Potosi</v>
          </cell>
          <cell r="C1255" t="str">
            <v>-</v>
          </cell>
          <cell r="D1255" t="str">
            <v>Avenida Venustiano Carranza</v>
          </cell>
          <cell r="E1255" t="str">
            <v>-</v>
          </cell>
          <cell r="F1255">
            <v>980</v>
          </cell>
          <cell r="G1255" t="str">
            <v>Arboledas de Tequisquiapan</v>
          </cell>
          <cell r="H1255">
            <v>78235</v>
          </cell>
          <cell r="I1255" t="str">
            <v>San Luis Potosi.</v>
          </cell>
          <cell r="J1255" t="str">
            <v>San Luis Potosi</v>
          </cell>
          <cell r="K1255" t="str">
            <v>México</v>
          </cell>
        </row>
        <row r="1256">
          <cell r="A1256">
            <v>1259</v>
          </cell>
          <cell r="B1256" t="str">
            <v>Continental Automotive Mexicana, S.A de C.V.</v>
          </cell>
          <cell r="C1256" t="str">
            <v>-</v>
          </cell>
          <cell r="D1256" t="str">
            <v>Paseo de las Colinas</v>
          </cell>
          <cell r="E1256" t="str">
            <v>-</v>
          </cell>
          <cell r="F1256">
            <v>219</v>
          </cell>
          <cell r="G1256" t="str">
            <v>Parque Industrial y de Negocios Las Colinas</v>
          </cell>
          <cell r="H1256">
            <v>36270</v>
          </cell>
          <cell r="I1256" t="str">
            <v>Silao</v>
          </cell>
          <cell r="J1256" t="str">
            <v>Guanajuato</v>
          </cell>
          <cell r="K1256" t="str">
            <v>México</v>
          </cell>
        </row>
        <row r="1257">
          <cell r="A1257">
            <v>1260</v>
          </cell>
          <cell r="B1257" t="str">
            <v>CALSONICKANSEI MEXICANA, S.A. de C.V. (AGS.)</v>
          </cell>
          <cell r="C1257" t="str">
            <v>-</v>
          </cell>
          <cell r="D1257" t="str">
            <v>Av. San Fco. De Los Romo</v>
          </cell>
          <cell r="E1257" t="str">
            <v>-</v>
          </cell>
          <cell r="F1257">
            <v>401</v>
          </cell>
          <cell r="G1257" t="str">
            <v xml:space="preserve">Parque Industrial Sn Fco., 2da. seccion </v>
          </cell>
          <cell r="H1257">
            <v>20303</v>
          </cell>
          <cell r="I1257" t="str">
            <v>San Fco. De Los Romo</v>
          </cell>
          <cell r="J1257" t="str">
            <v>Aguascalientes</v>
          </cell>
          <cell r="K1257" t="str">
            <v>México</v>
          </cell>
        </row>
        <row r="1258">
          <cell r="A1258">
            <v>1261</v>
          </cell>
          <cell r="B1258" t="str">
            <v>Servicios Integrales de Ingenieria CNC</v>
          </cell>
          <cell r="C1258" t="str">
            <v>-</v>
          </cell>
          <cell r="D1258" t="str">
            <v>Valladolid</v>
          </cell>
          <cell r="E1258" t="str">
            <v>Lote 2</v>
          </cell>
          <cell r="F1258">
            <v>101</v>
          </cell>
          <cell r="G1258" t="str">
            <v xml:space="preserve">Independencia </v>
          </cell>
          <cell r="H1258">
            <v>50070</v>
          </cell>
          <cell r="I1258" t="str">
            <v>Toluca</v>
          </cell>
          <cell r="J1258" t="str">
            <v>Estado de México</v>
          </cell>
          <cell r="K1258" t="str">
            <v>México</v>
          </cell>
        </row>
        <row r="1259">
          <cell r="A1259">
            <v>1262</v>
          </cell>
          <cell r="B1259" t="str">
            <v>Hitachi Automotive Systems México, S.A. de C.V.</v>
          </cell>
          <cell r="C1259" t="str">
            <v>-</v>
          </cell>
          <cell r="D1259" t="str">
            <v>Avenida de las Partidas</v>
          </cell>
          <cell r="E1259" t="str">
            <v>-</v>
          </cell>
          <cell r="F1259">
            <v>161</v>
          </cell>
          <cell r="G1259" t="str">
            <v>Emiliano Zapata</v>
          </cell>
          <cell r="H1259">
            <v>52004</v>
          </cell>
          <cell r="I1259" t="str">
            <v>Lerma</v>
          </cell>
          <cell r="J1259" t="str">
            <v>Estado de México</v>
          </cell>
          <cell r="K1259" t="str">
            <v>México</v>
          </cell>
        </row>
        <row r="1260">
          <cell r="A1260">
            <v>1263</v>
          </cell>
          <cell r="B1260" t="str">
            <v>Duqueine Group Mexico</v>
          </cell>
          <cell r="C1260" t="str">
            <v>-</v>
          </cell>
          <cell r="D1260" t="str">
            <v>Carretera Estatal 200, Queretaro-Tequisquiapan Km22</v>
          </cell>
          <cell r="E1260">
            <v>1</v>
          </cell>
          <cell r="F1260">
            <v>547</v>
          </cell>
          <cell r="G1260" t="str">
            <v>Parque Aeroespacial de Querétaro</v>
          </cell>
          <cell r="H1260">
            <v>76278</v>
          </cell>
          <cell r="I1260" t="str">
            <v>Colon</v>
          </cell>
          <cell r="J1260" t="str">
            <v>Queretaro</v>
          </cell>
          <cell r="K1260" t="str">
            <v>México</v>
          </cell>
        </row>
        <row r="1261">
          <cell r="A1261">
            <v>1264</v>
          </cell>
          <cell r="B1261" t="str">
            <v>Federal Mogul SP México</v>
          </cell>
          <cell r="C1261" t="str">
            <v>-</v>
          </cell>
          <cell r="D1261" t="str">
            <v>Cerrada la Estacada</v>
          </cell>
          <cell r="E1261" t="str">
            <v>Lote 2 y 3</v>
          </cell>
          <cell r="F1261" t="str">
            <v>Mz 2</v>
          </cell>
          <cell r="G1261" t="str">
            <v>Parque Industrial Queretaro</v>
          </cell>
          <cell r="H1261">
            <v>76220</v>
          </cell>
          <cell r="I1261" t="str">
            <v>Queretaro</v>
          </cell>
          <cell r="J1261" t="str">
            <v>Queretaro</v>
          </cell>
          <cell r="K1261" t="str">
            <v>México</v>
          </cell>
        </row>
        <row r="1262">
          <cell r="A1262">
            <v>1265</v>
          </cell>
          <cell r="B1262" t="str">
            <v>QET TECH AEROSPACE, S.A. de C.V.</v>
          </cell>
          <cell r="C1262" t="str">
            <v>-</v>
          </cell>
          <cell r="D1262" t="str">
            <v>Carretera Internacional Obregón-Navojoa, Km 1840</v>
          </cell>
          <cell r="E1262" t="str">
            <v>-</v>
          </cell>
          <cell r="F1262" t="str">
            <v>-</v>
          </cell>
          <cell r="G1262" t="str">
            <v>Aeropuerto Federal Cajeme</v>
          </cell>
          <cell r="H1262">
            <v>85205</v>
          </cell>
          <cell r="I1262" t="str">
            <v>Cajeme</v>
          </cell>
          <cell r="J1262" t="str">
            <v>Sonora</v>
          </cell>
          <cell r="K1262" t="str">
            <v>México</v>
          </cell>
        </row>
        <row r="1263">
          <cell r="A1263">
            <v>1266</v>
          </cell>
          <cell r="B1263" t="str">
            <v>Tecnologia Modificada</v>
          </cell>
          <cell r="C1263" t="str">
            <v>-</v>
          </cell>
          <cell r="D1263" t="str">
            <v>Avenida Transformación</v>
          </cell>
          <cell r="E1263" t="str">
            <v>-</v>
          </cell>
          <cell r="F1263">
            <v>545</v>
          </cell>
          <cell r="G1263" t="str">
            <v>Parque Industrial FINSA</v>
          </cell>
          <cell r="H1263">
            <v>88275</v>
          </cell>
          <cell r="I1263" t="str">
            <v>Nuevo Laredo</v>
          </cell>
          <cell r="J1263" t="str">
            <v>Tamaulipas,</v>
          </cell>
          <cell r="K1263" t="str">
            <v>México</v>
          </cell>
        </row>
        <row r="1264">
          <cell r="A1264">
            <v>1267</v>
          </cell>
          <cell r="B1264" t="str">
            <v>Alstom Mexicana, S.A. de C.V. (Planta Morelia Service Center GRS)</v>
          </cell>
          <cell r="C1264" t="str">
            <v>-</v>
          </cell>
          <cell r="D1264" t="str">
            <v>Antonio Dovali Jaime</v>
          </cell>
          <cell r="E1264" t="str">
            <v>-</v>
          </cell>
          <cell r="F1264" t="str">
            <v>Piso 4</v>
          </cell>
          <cell r="G1264" t="str">
            <v>Santa Fe</v>
          </cell>
          <cell r="H1264">
            <v>1201</v>
          </cell>
          <cell r="I1264" t="str">
            <v>-</v>
          </cell>
          <cell r="J1264" t="str">
            <v>Ciudad de México</v>
          </cell>
          <cell r="K1264" t="str">
            <v>México</v>
          </cell>
        </row>
        <row r="1265">
          <cell r="A1265">
            <v>1268</v>
          </cell>
          <cell r="B1265" t="str">
            <v>GONZALEZ PRODUCTION SERVICES de MEXICO S. de R.L. de C.V.</v>
          </cell>
          <cell r="C1265" t="str">
            <v>-</v>
          </cell>
          <cell r="D1265" t="str">
            <v xml:space="preserve">Av. El Marques </v>
          </cell>
          <cell r="E1265" t="str">
            <v>-</v>
          </cell>
          <cell r="F1265">
            <v>10</v>
          </cell>
          <cell r="G1265" t="str">
            <v>Parque Industrial Bernardo Quintana</v>
          </cell>
          <cell r="H1265">
            <v>76246</v>
          </cell>
          <cell r="I1265" t="str">
            <v>El Marques</v>
          </cell>
          <cell r="J1265" t="str">
            <v>Querétaro</v>
          </cell>
          <cell r="K1265" t="str">
            <v>México</v>
          </cell>
        </row>
        <row r="1266">
          <cell r="A1266">
            <v>1269</v>
          </cell>
          <cell r="B1266" t="str">
            <v>Plásticos y Materias Primas, S.A. de C.V.</v>
          </cell>
          <cell r="C1266" t="str">
            <v>-</v>
          </cell>
          <cell r="D1266" t="str">
            <v>Juan de la Barrera</v>
          </cell>
          <cell r="E1266" t="str">
            <v>-</v>
          </cell>
          <cell r="F1266" t="str">
            <v>3609-2</v>
          </cell>
          <cell r="G1266" t="str">
            <v>Parque Industrial El Álamo</v>
          </cell>
          <cell r="H1266">
            <v>44490</v>
          </cell>
          <cell r="I1266" t="str">
            <v>Guadalajara</v>
          </cell>
          <cell r="J1266" t="str">
            <v>Jalisco</v>
          </cell>
          <cell r="K1266" t="str">
            <v>México</v>
          </cell>
        </row>
        <row r="1267">
          <cell r="A1267">
            <v>1270</v>
          </cell>
          <cell r="B1267" t="str">
            <v xml:space="preserve">Isrrael Rangel Gómez  </v>
          </cell>
          <cell r="C1267" t="str">
            <v>-</v>
          </cell>
          <cell r="D1267" t="str">
            <v>Embotelladora La Victoria</v>
          </cell>
          <cell r="E1267" t="str">
            <v>-</v>
          </cell>
          <cell r="F1267">
            <v>8</v>
          </cell>
          <cell r="G1267" t="str">
            <v>Fraccionamiento Industrial El Pueblito</v>
          </cell>
          <cell r="H1267" t="str">
            <v>-</v>
          </cell>
          <cell r="I1267" t="str">
            <v>Corregidora</v>
          </cell>
          <cell r="J1267" t="str">
            <v>Querétaro</v>
          </cell>
          <cell r="K1267" t="str">
            <v>México</v>
          </cell>
        </row>
        <row r="1268">
          <cell r="A1268">
            <v>1271</v>
          </cell>
          <cell r="B1268" t="str">
            <v>CENTURY MOLD MÉXICO</v>
          </cell>
          <cell r="C1268" t="str">
            <v>-</v>
          </cell>
          <cell r="D1268" t="str">
            <v>Circuito El Marqués Sur</v>
          </cell>
          <cell r="E1268" t="str">
            <v>-</v>
          </cell>
          <cell r="F1268">
            <v>3</v>
          </cell>
          <cell r="G1268" t="str">
            <v>Parque Industrial El Marqués,</v>
          </cell>
          <cell r="H1268">
            <v>76240</v>
          </cell>
          <cell r="I1268" t="str">
            <v>El Marques</v>
          </cell>
          <cell r="J1268" t="str">
            <v>Querétaro</v>
          </cell>
          <cell r="K1268" t="str">
            <v>México</v>
          </cell>
        </row>
        <row r="1269">
          <cell r="A1269">
            <v>1272</v>
          </cell>
          <cell r="B1269" t="str">
            <v>SANNOHASHI MANUFACTURING MÉXICO S.A. de C.V.</v>
          </cell>
          <cell r="C1269" t="str">
            <v>-</v>
          </cell>
          <cell r="D1269" t="str">
            <v>Circuito San Roque Sur</v>
          </cell>
          <cell r="E1269" t="str">
            <v>-</v>
          </cell>
          <cell r="F1269" t="str">
            <v>503. Int.A</v>
          </cell>
          <cell r="G1269" t="str">
            <v>Parque Industrial Santa Fe Ampliación</v>
          </cell>
          <cell r="H1269">
            <v>36275</v>
          </cell>
          <cell r="I1269" t="str">
            <v>Silao</v>
          </cell>
          <cell r="J1269" t="str">
            <v>Guanajuato</v>
          </cell>
          <cell r="K1269" t="str">
            <v>México</v>
          </cell>
        </row>
        <row r="1270">
          <cell r="A1270">
            <v>1273</v>
          </cell>
          <cell r="B1270" t="str">
            <v>KARTESIS MÉXICO</v>
          </cell>
          <cell r="C1270" t="str">
            <v>-</v>
          </cell>
          <cell r="D1270" t="str">
            <v>Avenida Hércules - Macrolote Kanban</v>
          </cell>
          <cell r="E1270" t="str">
            <v>Bodega 18-1</v>
          </cell>
          <cell r="F1270">
            <v>301</v>
          </cell>
          <cell r="G1270" t="str">
            <v>Poligono Empresarial Santa Rosa Jáuregui 2da. Etapa</v>
          </cell>
          <cell r="H1270">
            <v>76220</v>
          </cell>
          <cell r="I1270" t="str">
            <v>Querétaro</v>
          </cell>
          <cell r="J1270" t="str">
            <v>Querétaro</v>
          </cell>
          <cell r="K1270" t="str">
            <v>México</v>
          </cell>
        </row>
        <row r="1271">
          <cell r="A1271">
            <v>1274</v>
          </cell>
          <cell r="B1271" t="str">
            <v>Termoformatec S.A. de C.V.</v>
          </cell>
          <cell r="C1271" t="str">
            <v>-</v>
          </cell>
          <cell r="D1271" t="str">
            <v>Independencia Norte</v>
          </cell>
          <cell r="E1271" t="str">
            <v>Int. 1</v>
          </cell>
          <cell r="F1271" t="str">
            <v>72-A</v>
          </cell>
          <cell r="G1271" t="str">
            <v>Santa Rosa Jáuregui</v>
          </cell>
          <cell r="H1271">
            <v>76220</v>
          </cell>
          <cell r="I1271" t="str">
            <v>Querétaro</v>
          </cell>
          <cell r="J1271" t="str">
            <v>Querétaro</v>
          </cell>
          <cell r="K1271" t="str">
            <v>México</v>
          </cell>
        </row>
        <row r="1272">
          <cell r="A1272">
            <v>1275</v>
          </cell>
          <cell r="B1272" t="str">
            <v>SILPA GROUP de MÉXICO, S.A. de C.V.</v>
          </cell>
          <cell r="C1272" t="str">
            <v>-</v>
          </cell>
          <cell r="D1272" t="str">
            <v xml:space="preserve">Tau, Esquina Gamma  </v>
          </cell>
          <cell r="E1272" t="str">
            <v>-</v>
          </cell>
          <cell r="F1272" t="str">
            <v>120-F y G</v>
          </cell>
          <cell r="G1272" t="str">
            <v>Fraccionamiento Santa Julia de Jerez</v>
          </cell>
          <cell r="H1272">
            <v>37530</v>
          </cell>
          <cell r="I1272" t="str">
            <v>Leon</v>
          </cell>
          <cell r="J1272" t="str">
            <v>Guanajuato</v>
          </cell>
          <cell r="K1272" t="str">
            <v>México</v>
          </cell>
        </row>
        <row r="1273">
          <cell r="A1273">
            <v>1276</v>
          </cell>
          <cell r="B1273" t="str">
            <v>Herramientas Útiles de México S.A. de C.V.</v>
          </cell>
          <cell r="C1273" t="str">
            <v>-</v>
          </cell>
          <cell r="D1273" t="str">
            <v>Querétaro, Nte.</v>
          </cell>
          <cell r="E1273" t="str">
            <v>-</v>
          </cell>
          <cell r="F1273" t="str">
            <v>344-B</v>
          </cell>
          <cell r="G1273" t="str">
            <v>Cuauhtémoc</v>
          </cell>
          <cell r="H1273">
            <v>85100</v>
          </cell>
          <cell r="I1273" t="str">
            <v>Ciudad Obregón</v>
          </cell>
          <cell r="J1273" t="str">
            <v>Sonora</v>
          </cell>
          <cell r="K1273" t="str">
            <v>México</v>
          </cell>
        </row>
        <row r="1274">
          <cell r="A1274">
            <v>1277</v>
          </cell>
          <cell r="B1274" t="str">
            <v xml:space="preserve">Brose México, S.A. de C.V. </v>
          </cell>
          <cell r="C1274" t="str">
            <v>-</v>
          </cell>
          <cell r="D1274" t="str">
            <v xml:space="preserve">Av. De la corte </v>
          </cell>
          <cell r="E1274" t="str">
            <v>-</v>
          </cell>
          <cell r="F1274">
            <v>4</v>
          </cell>
          <cell r="G1274" t="str">
            <v>Parque Industrial El Marques</v>
          </cell>
          <cell r="H1274">
            <v>76246</v>
          </cell>
          <cell r="I1274" t="str">
            <v>El Marques</v>
          </cell>
          <cell r="J1274" t="str">
            <v>Queretaro</v>
          </cell>
          <cell r="K1274" t="str">
            <v>México</v>
          </cell>
        </row>
        <row r="1275">
          <cell r="A1275">
            <v>1278</v>
          </cell>
          <cell r="B1275" t="str">
            <v>CUMMINS GRUPO INDUSTRIAL S de R.L. de C.V.</v>
          </cell>
          <cell r="C1275" t="str">
            <v>-</v>
          </cell>
          <cell r="D1275" t="str">
            <v>Circuito Exportacion</v>
          </cell>
          <cell r="E1275" t="str">
            <v>-</v>
          </cell>
          <cell r="F1275">
            <v>222</v>
          </cell>
          <cell r="G1275" t="str">
            <v>Parque Industrial Tres Naciones</v>
          </cell>
          <cell r="H1275">
            <v>78395</v>
          </cell>
          <cell r="I1275" t="str">
            <v>San Luis Potosi.</v>
          </cell>
          <cell r="J1275" t="str">
            <v>San Luis Potosi.</v>
          </cell>
          <cell r="K1275" t="str">
            <v>México</v>
          </cell>
        </row>
        <row r="1276">
          <cell r="A1276">
            <v>1279</v>
          </cell>
          <cell r="B1276" t="str">
            <v>Beyonz Mexicana, S.A. de C.V.</v>
          </cell>
          <cell r="C1276" t="str">
            <v>-</v>
          </cell>
          <cell r="D1276" t="str">
            <v xml:space="preserve">Circuito Cerezos Sur </v>
          </cell>
          <cell r="E1276" t="str">
            <v>-</v>
          </cell>
          <cell r="F1276">
            <v>104</v>
          </cell>
          <cell r="G1276" t="str">
            <v>Parque Industrial San Francisco de los Romo</v>
          </cell>
          <cell r="H1276">
            <v>20355</v>
          </cell>
          <cell r="I1276" t="str">
            <v>San Francisco de Los Romo</v>
          </cell>
          <cell r="J1276" t="str">
            <v>Aguascalientes</v>
          </cell>
          <cell r="K1276" t="str">
            <v>México</v>
          </cell>
        </row>
        <row r="1277">
          <cell r="A1277">
            <v>1280</v>
          </cell>
          <cell r="B1277" t="str">
            <v>DELASTEK</v>
          </cell>
          <cell r="C1277" t="str">
            <v>-</v>
          </cell>
          <cell r="D1277" t="str">
            <v>Carreteral Estatal 200, Queretaro-Aeropuerto, km 19+500</v>
          </cell>
          <cell r="E1277" t="str">
            <v>-</v>
          </cell>
          <cell r="F1277" t="str">
            <v>Nave 7-10</v>
          </cell>
          <cell r="G1277" t="str">
            <v>Parque Industrial Advance Querétaro</v>
          </cell>
          <cell r="H1277">
            <v>76260</v>
          </cell>
          <cell r="I1277" t="str">
            <v>El Marques</v>
          </cell>
          <cell r="J1277" t="str">
            <v>Queretaro</v>
          </cell>
          <cell r="K1277" t="str">
            <v>México</v>
          </cell>
        </row>
        <row r="1278">
          <cell r="A1278">
            <v>1281</v>
          </cell>
          <cell r="B1278" t="str">
            <v>PSMI - GM Transmisson de Silao</v>
          </cell>
          <cell r="C1278" t="str">
            <v>-</v>
          </cell>
          <cell r="D1278" t="str">
            <v>Complejo Silao-Planta Transmis Carretera de Cuota -Gto KM 3.8</v>
          </cell>
          <cell r="E1278" t="str">
            <v>-</v>
          </cell>
          <cell r="F1278" t="str">
            <v>-</v>
          </cell>
          <cell r="G1278" t="str">
            <v>-</v>
          </cell>
          <cell r="H1278">
            <v>36100</v>
          </cell>
          <cell r="I1278" t="str">
            <v>Silao</v>
          </cell>
          <cell r="J1278" t="str">
            <v>Guanajuato</v>
          </cell>
          <cell r="K1278" t="str">
            <v>México</v>
          </cell>
        </row>
        <row r="1279">
          <cell r="A1279">
            <v>1282</v>
          </cell>
          <cell r="B1279" t="str">
            <v>JY &amp; C TECH DE MEXICO S.A. de C.V.</v>
          </cell>
          <cell r="C1279" t="str">
            <v>-</v>
          </cell>
          <cell r="D1279" t="str">
            <v>Calle Tequisquiapan </v>
          </cell>
          <cell r="E1279" t="str">
            <v>-</v>
          </cell>
          <cell r="F1279">
            <v>101</v>
          </cell>
          <cell r="G1279" t="str">
            <v>Parque  Industrial Queretaro </v>
          </cell>
          <cell r="H1279">
            <v>76220</v>
          </cell>
          <cell r="I1279" t="str">
            <v>Santa Rosa Jáuregui</v>
          </cell>
          <cell r="J1279" t="str">
            <v>Queretaro</v>
          </cell>
          <cell r="K1279" t="str">
            <v>México</v>
          </cell>
        </row>
        <row r="1280">
          <cell r="A1280">
            <v>1283</v>
          </cell>
          <cell r="B1280" t="str">
            <v>F. Morat Sistemas de México, S. de R.L de C.V.</v>
          </cell>
          <cell r="C1280" t="str">
            <v>-</v>
          </cell>
          <cell r="D1280" t="str">
            <v>Av. Prol. Industria Automotriz</v>
          </cell>
          <cell r="E1280" t="str">
            <v>Bodegas L,M,N</v>
          </cell>
          <cell r="F1280">
            <v>33</v>
          </cell>
          <cell r="G1280" t="str">
            <v>Parque Industrial Lerma ,</v>
          </cell>
          <cell r="H1280" t="str">
            <v>-</v>
          </cell>
          <cell r="I1280" t="str">
            <v>Lerma</v>
          </cell>
          <cell r="J1280" t="str">
            <v>Estado de México</v>
          </cell>
          <cell r="K1280" t="str">
            <v>México</v>
          </cell>
        </row>
        <row r="1281">
          <cell r="A1281">
            <v>1284</v>
          </cell>
          <cell r="B1281" t="str">
            <v>Gestion Integral de las Mediciones S.C.</v>
          </cell>
          <cell r="C1281" t="str">
            <v>-</v>
          </cell>
          <cell r="D1281" t="str">
            <v>Kabah</v>
          </cell>
          <cell r="E1281" t="str">
            <v>-</v>
          </cell>
          <cell r="F1281" t="str">
            <v>1592-101</v>
          </cell>
          <cell r="G1281" t="str">
            <v>Jardines del Sol</v>
          </cell>
          <cell r="H1281">
            <v>45050</v>
          </cell>
          <cell r="I1281" t="str">
            <v>Zapopan</v>
          </cell>
          <cell r="J1281" t="str">
            <v>Jalisco</v>
          </cell>
          <cell r="K1281" t="str">
            <v>México</v>
          </cell>
        </row>
        <row r="1282">
          <cell r="A1282">
            <v>1285</v>
          </cell>
          <cell r="B1282" t="str">
            <v>STEEL FAB DE MEXICO S.A. de C.V.</v>
          </cell>
          <cell r="C1282" t="str">
            <v>-</v>
          </cell>
          <cell r="D1282" t="str">
            <v>Libramiento Eliseo Mendoza Berrueto</v>
          </cell>
          <cell r="E1282" t="str">
            <v>-</v>
          </cell>
          <cell r="F1282" t="str">
            <v>S/N</v>
          </cell>
          <cell r="G1282" t="str">
            <v>Estancias de Santa Ana</v>
          </cell>
          <cell r="H1282" t="str">
            <v>-</v>
          </cell>
          <cell r="I1282" t="str">
            <v>Monclova</v>
          </cell>
          <cell r="J1282" t="str">
            <v>Coahuila</v>
          </cell>
          <cell r="K1282" t="str">
            <v>México</v>
          </cell>
        </row>
        <row r="1283">
          <cell r="A1283">
            <v>1286</v>
          </cell>
          <cell r="B1283" t="str">
            <v>Asesoría y Equipos de Inspección S.A de C.V</v>
          </cell>
          <cell r="C1283" t="str">
            <v>AEI790419254</v>
          </cell>
          <cell r="D1283" t="str">
            <v xml:space="preserve">Viveros de Atizapán </v>
          </cell>
          <cell r="E1283">
            <v>47</v>
          </cell>
          <cell r="F1283" t="str">
            <v>-</v>
          </cell>
          <cell r="G1283" t="str">
            <v>Viveros del valle</v>
          </cell>
          <cell r="H1283">
            <v>54060</v>
          </cell>
          <cell r="I1283" t="str">
            <v>Tlalnepantla</v>
          </cell>
          <cell r="J1283" t="str">
            <v>México</v>
          </cell>
          <cell r="K1283" t="str">
            <v>México</v>
          </cell>
        </row>
        <row r="1284">
          <cell r="A1284">
            <v>1287</v>
          </cell>
          <cell r="B1284" t="str">
            <v>UTLX Soporte Empresarial S.A. de C.V. </v>
          </cell>
          <cell r="C1284" t="str">
            <v>-</v>
          </cell>
          <cell r="D1284" t="str">
            <v>Parque Industrial</v>
          </cell>
          <cell r="E1284" t="str">
            <v>-</v>
          </cell>
          <cell r="F1284">
            <v>206</v>
          </cell>
          <cell r="G1284" t="str">
            <v>Ferropuerto Ferrocarril</v>
          </cell>
          <cell r="H1284" t="str">
            <v>-</v>
          </cell>
          <cell r="I1284" t="str">
            <v>Celaya</v>
          </cell>
          <cell r="J1284" t="str">
            <v>Guanajuato</v>
          </cell>
          <cell r="K1284" t="str">
            <v>México</v>
          </cell>
        </row>
        <row r="1285">
          <cell r="A1285">
            <v>1288</v>
          </cell>
          <cell r="B1285" t="str">
            <v>Agropecuaria El Sagrado, SPR de R.L. de C.V.</v>
          </cell>
          <cell r="C1285" t="str">
            <v>-</v>
          </cell>
          <cell r="D1285" t="str">
            <v>San Jose de la Cruz Mezquital</v>
          </cell>
          <cell r="E1285" t="str">
            <v>-</v>
          </cell>
          <cell r="F1285" t="str">
            <v>S/N</v>
          </cell>
          <cell r="G1285" t="str">
            <v>San Cristobal</v>
          </cell>
          <cell r="H1285">
            <v>37880</v>
          </cell>
          <cell r="I1285" t="str">
            <v>San Miguel de Allende</v>
          </cell>
          <cell r="J1285" t="str">
            <v>Guanajuato</v>
          </cell>
          <cell r="K1285" t="str">
            <v>México</v>
          </cell>
        </row>
        <row r="1286">
          <cell r="A1286">
            <v>1289</v>
          </cell>
          <cell r="B1286" t="str">
            <v>BHTC MÉXICO S.A. de C.V.</v>
          </cell>
          <cell r="C1286" t="str">
            <v>-</v>
          </cell>
          <cell r="D1286" t="str">
            <v>Circuito Corral de Piedras</v>
          </cell>
          <cell r="E1286" t="str">
            <v>-</v>
          </cell>
          <cell r="F1286">
            <v>80</v>
          </cell>
          <cell r="G1286" t="str">
            <v>-</v>
          </cell>
          <cell r="H1286">
            <v>37880</v>
          </cell>
          <cell r="I1286" t="str">
            <v>San Miguel de Allende</v>
          </cell>
          <cell r="J1286" t="str">
            <v>Guanajuato</v>
          </cell>
          <cell r="K1286" t="str">
            <v>México</v>
          </cell>
        </row>
        <row r="1287">
          <cell r="A1287">
            <v>1290</v>
          </cell>
          <cell r="B1287" t="str">
            <v>Whirlpool Internacional S. de R.L. de C.V.</v>
          </cell>
          <cell r="C1287" t="str">
            <v>-</v>
          </cell>
          <cell r="D1287" t="str">
            <v xml:space="preserve">Ave. Productividad </v>
          </cell>
          <cell r="E1287" t="str">
            <v>-</v>
          </cell>
          <cell r="F1287">
            <v>100</v>
          </cell>
          <cell r="G1287" t="str">
            <v>Parque Industrial la Silla</v>
          </cell>
          <cell r="H1287">
            <v>66600</v>
          </cell>
          <cell r="I1287" t="str">
            <v>Apodaca IMMEX: 384-2007</v>
          </cell>
          <cell r="J1287" t="str">
            <v>Nuevo Leon</v>
          </cell>
          <cell r="K1287" t="str">
            <v>México</v>
          </cell>
        </row>
        <row r="1288">
          <cell r="A1288">
            <v>1291</v>
          </cell>
          <cell r="B1288" t="str">
            <v>XL TECH de México S.A. de C.V.</v>
          </cell>
          <cell r="C1288" t="str">
            <v>-</v>
          </cell>
          <cell r="D1288" t="str">
            <v>Carretera Queretaro-San Luis Potosi</v>
          </cell>
          <cell r="E1288" t="str">
            <v>L1, Bodega 18,19,20,21,22 y 23</v>
          </cell>
          <cell r="F1288">
            <v>22101</v>
          </cell>
          <cell r="G1288" t="str">
            <v>-</v>
          </cell>
          <cell r="H1288">
            <v>76220</v>
          </cell>
          <cell r="I1288" t="str">
            <v>Santa Rosa Jáuregui</v>
          </cell>
          <cell r="J1288" t="str">
            <v>Queretaro</v>
          </cell>
          <cell r="K1288" t="str">
            <v>México</v>
          </cell>
        </row>
        <row r="1289">
          <cell r="A1289">
            <v>1292</v>
          </cell>
          <cell r="B1289" t="str">
            <v>Laboratorio y Control de Calidad de Monterrey S.A. de C.V.</v>
          </cell>
          <cell r="C1289" t="str">
            <v>-</v>
          </cell>
          <cell r="D1289" t="str">
            <v>Torneros</v>
          </cell>
          <cell r="E1289" t="str">
            <v>Int. 4</v>
          </cell>
          <cell r="F1289">
            <v>57</v>
          </cell>
          <cell r="G1289" t="str">
            <v>Peñuelas</v>
          </cell>
          <cell r="H1289">
            <v>76148</v>
          </cell>
          <cell r="I1289" t="str">
            <v>Queretaro</v>
          </cell>
          <cell r="J1289" t="str">
            <v>Queretaro</v>
          </cell>
          <cell r="K1289" t="str">
            <v>México</v>
          </cell>
        </row>
        <row r="1290">
          <cell r="A1290">
            <v>1293</v>
          </cell>
          <cell r="B1290" t="str">
            <v>ANDROID DE MÉXICO S. DE R.L. de  C.V.</v>
          </cell>
          <cell r="C1290" t="str">
            <v>-</v>
          </cell>
          <cell r="D1290" t="str">
            <v>Autopista México Querétaro Km. 41.5, San Javier Ex Hacienda de San Miguel</v>
          </cell>
          <cell r="E1290" t="str">
            <v>-</v>
          </cell>
          <cell r="F1290" t="str">
            <v>Edif. TR1</v>
          </cell>
          <cell r="G1290" t="str">
            <v xml:space="preserve">Parque Logístico AMB Tres Ríos </v>
          </cell>
          <cell r="H1290">
            <v>54716</v>
          </cell>
          <cell r="I1290" t="str">
            <v>Cuautitlán Izcalli</v>
          </cell>
          <cell r="J1290" t="str">
            <v>Estado de México</v>
          </cell>
          <cell r="K1290" t="str">
            <v>México</v>
          </cell>
        </row>
        <row r="1291">
          <cell r="A1291">
            <v>1294</v>
          </cell>
          <cell r="B1291" t="str">
            <v>PIRELLI MÉXICO S.A. de C.V.</v>
          </cell>
          <cell r="C1291" t="str">
            <v>-</v>
          </cell>
          <cell r="D1291" t="str">
            <v xml:space="preserve">Boulevard Mineral de Peñafiel </v>
          </cell>
          <cell r="E1291" t="str">
            <v>-</v>
          </cell>
          <cell r="F1291">
            <v>402</v>
          </cell>
          <cell r="G1291" t="str">
            <v>Puerto interior</v>
          </cell>
          <cell r="H1291">
            <v>36275</v>
          </cell>
          <cell r="I1291" t="str">
            <v>Silao</v>
          </cell>
          <cell r="J1291" t="str">
            <v>Guanajuato</v>
          </cell>
          <cell r="K1291" t="str">
            <v>México</v>
          </cell>
        </row>
        <row r="1292">
          <cell r="A1292">
            <v>1295</v>
          </cell>
          <cell r="B1292" t="str">
            <v>TWB de México, S.A. de C.V.</v>
          </cell>
          <cell r="C1292" t="str">
            <v>-</v>
          </cell>
          <cell r="D1292" t="str">
            <v>Blvd. Paseo de los Industriales, Manzana 3</v>
          </cell>
          <cell r="E1292" t="str">
            <v>Lote IX</v>
          </cell>
          <cell r="F1292" t="str">
            <v>S/N</v>
          </cell>
          <cell r="G1292" t="str">
            <v>Parque Industrial Fipasi</v>
          </cell>
          <cell r="H1292" t="str">
            <v>-</v>
          </cell>
          <cell r="I1292" t="str">
            <v>Silao</v>
          </cell>
          <cell r="J1292" t="str">
            <v>Guanajuato</v>
          </cell>
          <cell r="K1292" t="str">
            <v>México</v>
          </cell>
        </row>
        <row r="1293">
          <cell r="A1293">
            <v>1296</v>
          </cell>
          <cell r="B1293" t="str">
            <v>Harman Internacional</v>
          </cell>
          <cell r="C1293" t="str">
            <v>-</v>
          </cell>
          <cell r="D1293" t="str">
            <v>Av. Industria Minera</v>
          </cell>
          <cell r="E1293" t="str">
            <v>-</v>
          </cell>
          <cell r="F1293">
            <v>562</v>
          </cell>
          <cell r="G1293" t="str">
            <v>-</v>
          </cell>
          <cell r="H1293">
            <v>76220</v>
          </cell>
          <cell r="I1293" t="str">
            <v>Santiago de Querétaro</v>
          </cell>
          <cell r="J1293" t="str">
            <v>Queretaro</v>
          </cell>
          <cell r="K1293" t="str">
            <v>México</v>
          </cell>
        </row>
        <row r="1294">
          <cell r="A1294">
            <v>1297</v>
          </cell>
          <cell r="B1294" t="str">
            <v>The Gund Company Mexico, S. de R.L. de C.V.</v>
          </cell>
          <cell r="C1294" t="str">
            <v>-</v>
          </cell>
          <cell r="D1294" t="str">
            <v>Carretera Estatal 431 Km 2+200</v>
          </cell>
          <cell r="E1294">
            <v>55</v>
          </cell>
          <cell r="F1294" t="str">
            <v>-</v>
          </cell>
          <cell r="G1294" t="str">
            <v>Parque Tecnologico Innovacion</v>
          </cell>
          <cell r="H1294">
            <v>76246</v>
          </cell>
          <cell r="I1294" t="str">
            <v>El Marques</v>
          </cell>
          <cell r="J1294" t="str">
            <v>Queretaro</v>
          </cell>
          <cell r="K1294" t="str">
            <v>México</v>
          </cell>
        </row>
        <row r="1295">
          <cell r="A1295">
            <v>1298</v>
          </cell>
          <cell r="B1295" t="str">
            <v>Keats de Mexico</v>
          </cell>
          <cell r="C1295" t="str">
            <v>-</v>
          </cell>
          <cell r="D1295" t="str">
            <v xml:space="preserve">Carretera Mex-Qro Lateral Nte KM 201+100 </v>
          </cell>
          <cell r="E1295" t="str">
            <v>-</v>
          </cell>
          <cell r="F1295" t="str">
            <v>Bodega 75</v>
          </cell>
          <cell r="G1295" t="str">
            <v>Santiago de Queretaro</v>
          </cell>
          <cell r="H1295">
            <v>76047</v>
          </cell>
          <cell r="I1295" t="str">
            <v>El Marques</v>
          </cell>
          <cell r="J1295" t="str">
            <v>Queretaro</v>
          </cell>
          <cell r="K1295" t="str">
            <v>México</v>
          </cell>
        </row>
        <row r="1296">
          <cell r="A1296">
            <v>1299</v>
          </cell>
          <cell r="B1296" t="str">
            <v>BONATTI SPA</v>
          </cell>
          <cell r="C1296" t="str">
            <v>-</v>
          </cell>
          <cell r="D1296" t="str">
            <v>Sierra Candela</v>
          </cell>
          <cell r="E1296" t="str">
            <v>-</v>
          </cell>
          <cell r="F1296">
            <v>111</v>
          </cell>
          <cell r="G1296" t="str">
            <v>Lomas de Chapultepec, I Sección,</v>
          </cell>
          <cell r="H1296">
            <v>11000</v>
          </cell>
          <cell r="I1296" t="str">
            <v>Delegación Miguel Hidalgo</v>
          </cell>
          <cell r="J1296" t="str">
            <v>Ciudad de México.</v>
          </cell>
          <cell r="K1296" t="str">
            <v>México</v>
          </cell>
        </row>
        <row r="1297">
          <cell r="A1297">
            <v>1300</v>
          </cell>
          <cell r="B1297" t="str">
            <v>MOELLER PRECISION TOOL DE MÉXICO S. DE R.L. de C.V.</v>
          </cell>
          <cell r="C1297" t="str">
            <v>-</v>
          </cell>
          <cell r="D1297" t="str">
            <v>Cto. El Marqués Sur</v>
          </cell>
          <cell r="F1297">
            <v>43</v>
          </cell>
          <cell r="G1297" t="str">
            <v>Parque Industrial el Marqués</v>
          </cell>
          <cell r="H1297">
            <v>76246</v>
          </cell>
          <cell r="I1297" t="str">
            <v>El Marqués</v>
          </cell>
          <cell r="J1297" t="str">
            <v xml:space="preserve">Querétaro, </v>
          </cell>
          <cell r="K1297" t="str">
            <v>México</v>
          </cell>
        </row>
        <row r="1298">
          <cell r="A1298">
            <v>1301</v>
          </cell>
          <cell r="B1298" t="str">
            <v>Abel Espitia Martinez</v>
          </cell>
          <cell r="C1298" t="str">
            <v>-</v>
          </cell>
          <cell r="D1298" t="str">
            <v xml:space="preserve">Camino antiguo a la estación </v>
          </cell>
          <cell r="E1298" t="str">
            <v>-</v>
          </cell>
          <cell r="F1298">
            <v>105</v>
          </cell>
          <cell r="G1298" t="str">
            <v xml:space="preserve">Predio San Ignacio </v>
          </cell>
          <cell r="H1298">
            <v>38495</v>
          </cell>
          <cell r="I1298" t="str">
            <v>Cortazar</v>
          </cell>
          <cell r="J1298" t="str">
            <v>Guanajuato</v>
          </cell>
          <cell r="K1298" t="str">
            <v>México</v>
          </cell>
          <cell r="O1298" t="str">
            <v>MAPRECOR</v>
          </cell>
        </row>
        <row r="1299">
          <cell r="A1299">
            <v>1302</v>
          </cell>
          <cell r="B1299" t="str">
            <v>UGN DE MÉXICO S. DE R.L. de C.V.</v>
          </cell>
          <cell r="C1299" t="str">
            <v>-</v>
          </cell>
          <cell r="D1299" t="str">
            <v>Av. Paseo de las Colinas</v>
          </cell>
          <cell r="E1299" t="str">
            <v>-</v>
          </cell>
          <cell r="F1299">
            <v>104</v>
          </cell>
          <cell r="G1299" t="str">
            <v>Parque Industrial y de Negocios Las Colinas</v>
          </cell>
          <cell r="H1299">
            <v>36270</v>
          </cell>
          <cell r="I1299" t="str">
            <v>Silao</v>
          </cell>
          <cell r="J1299" t="str">
            <v>Guanajuato</v>
          </cell>
          <cell r="K1299" t="str">
            <v>México</v>
          </cell>
        </row>
        <row r="1300">
          <cell r="A1300">
            <v>1303</v>
          </cell>
          <cell r="B1300" t="str">
            <v>Mexichem Resinas Vinilicas, S.A. de C.V.</v>
          </cell>
          <cell r="C1300" t="str">
            <v>-</v>
          </cell>
          <cell r="D1300" t="str">
            <v>Autopista Altamira km 4.5</v>
          </cell>
          <cell r="E1300" t="str">
            <v>-</v>
          </cell>
          <cell r="F1300" t="str">
            <v>-</v>
          </cell>
          <cell r="G1300" t="str">
            <v>Puerto Industrial Altamira</v>
          </cell>
          <cell r="H1300">
            <v>89603</v>
          </cell>
          <cell r="I1300" t="str">
            <v>Altamira</v>
          </cell>
          <cell r="J1300" t="str">
            <v>Tamaulipas,</v>
          </cell>
          <cell r="K1300" t="str">
            <v>México</v>
          </cell>
        </row>
        <row r="1301">
          <cell r="A1301">
            <v>1304</v>
          </cell>
          <cell r="B1301" t="str">
            <v>Prettl Electronics Queretaro S.A. de C.V.</v>
          </cell>
          <cell r="C1301" t="str">
            <v>-</v>
          </cell>
          <cell r="D1301" t="str">
            <v>Carretera Libre a Celaya Km. 8.6</v>
          </cell>
          <cell r="G1301" t="str">
            <v>Parque Industrial Balvanera</v>
          </cell>
          <cell r="H1301">
            <v>76908</v>
          </cell>
          <cell r="I1301" t="str">
            <v>Corregidora</v>
          </cell>
          <cell r="J1301" t="str">
            <v>Querétaro</v>
          </cell>
          <cell r="K1301" t="str">
            <v>México</v>
          </cell>
        </row>
        <row r="1302">
          <cell r="A1302">
            <v>1305</v>
          </cell>
          <cell r="B1302" t="str">
            <v>Porcelanite Lamosa Planta Pavillion S.A. de C.V.</v>
          </cell>
          <cell r="C1302" t="str">
            <v>-</v>
          </cell>
          <cell r="D1302" t="str">
            <v>km. 20.0  Carretera Puebla-Santa Ana</v>
          </cell>
          <cell r="E1302" t="str">
            <v>-</v>
          </cell>
          <cell r="F1302" t="str">
            <v>-</v>
          </cell>
          <cell r="G1302" t="str">
            <v>-</v>
          </cell>
          <cell r="H1302">
            <v>90850</v>
          </cell>
          <cell r="I1302" t="str">
            <v>San Luis Teolocholco</v>
          </cell>
          <cell r="J1302" t="str">
            <v>Tlaxcala</v>
          </cell>
          <cell r="K1302" t="str">
            <v>México</v>
          </cell>
        </row>
        <row r="1303">
          <cell r="A1303">
            <v>1306</v>
          </cell>
          <cell r="B1303" t="str">
            <v>KHS México S.A. de C.V.</v>
          </cell>
          <cell r="C1303" t="str">
            <v>-</v>
          </cell>
          <cell r="D1303" t="str">
            <v>Independencia</v>
          </cell>
          <cell r="E1303" t="str">
            <v>-</v>
          </cell>
          <cell r="F1303" t="str">
            <v>511 pte.</v>
          </cell>
          <cell r="G1303" t="str">
            <v>Barrio El Calvario</v>
          </cell>
          <cell r="H1303">
            <v>51350</v>
          </cell>
          <cell r="I1303" t="str">
            <v>Zinacantepec</v>
          </cell>
          <cell r="J1303" t="str">
            <v>Estado de Mexico</v>
          </cell>
          <cell r="K1303" t="str">
            <v>México</v>
          </cell>
        </row>
        <row r="1304">
          <cell r="A1304">
            <v>1307</v>
          </cell>
          <cell r="B1304" t="str">
            <v>Y-TEC KEYLEX MÉXICO S.A. de C.V.</v>
          </cell>
          <cell r="C1304" t="str">
            <v>-</v>
          </cell>
          <cell r="D1304" t="str">
            <v xml:space="preserve">Avenida Hiroshima </v>
          </cell>
          <cell r="E1304">
            <v>5</v>
          </cell>
          <cell r="F1304">
            <v>1000</v>
          </cell>
          <cell r="G1304" t="str">
            <v>Complejo Industrial Salamanca</v>
          </cell>
          <cell r="H1304">
            <v>36875</v>
          </cell>
          <cell r="I1304" t="str">
            <v>Salamanca</v>
          </cell>
          <cell r="J1304" t="str">
            <v>Guanajuato</v>
          </cell>
          <cell r="K1304" t="str">
            <v>México</v>
          </cell>
        </row>
        <row r="1305">
          <cell r="A1305">
            <v>1308</v>
          </cell>
          <cell r="B1305" t="str">
            <v>FAIST Alucast S. de R.L. de C.V.</v>
          </cell>
          <cell r="C1305" t="str">
            <v>-</v>
          </cell>
          <cell r="D1305" t="str">
            <v xml:space="preserve">Avenida Libre Comercio </v>
          </cell>
          <cell r="E1305" t="str">
            <v>-</v>
          </cell>
          <cell r="F1305">
            <v>135</v>
          </cell>
          <cell r="G1305" t="str">
            <v>Puerto Interior Santa Fe III</v>
          </cell>
          <cell r="H1305">
            <v>36275</v>
          </cell>
          <cell r="I1305" t="str">
            <v>Silao</v>
          </cell>
          <cell r="J1305" t="str">
            <v>Guanajuato</v>
          </cell>
          <cell r="K1305" t="str">
            <v>México</v>
          </cell>
        </row>
        <row r="1306">
          <cell r="A1306">
            <v>1309</v>
          </cell>
          <cell r="B1306" t="str">
            <v>PUMA MASTER TOOLS S.A. DE C.V.</v>
          </cell>
          <cell r="C1306" t="str">
            <v>-</v>
          </cell>
          <cell r="D1306" t="str">
            <v>Calle Arena</v>
          </cell>
          <cell r="E1306" t="str">
            <v>-</v>
          </cell>
          <cell r="F1306">
            <v>405</v>
          </cell>
          <cell r="G1306" t="str">
            <v>San Miguel</v>
          </cell>
          <cell r="H1306">
            <v>37390</v>
          </cell>
          <cell r="I1306" t="str">
            <v>Leon</v>
          </cell>
          <cell r="J1306" t="str">
            <v>Guanajuato</v>
          </cell>
          <cell r="K1306" t="str">
            <v>México</v>
          </cell>
          <cell r="O1306" t="str">
            <v>Performance Oil Service</v>
          </cell>
        </row>
        <row r="1307">
          <cell r="A1307">
            <v>1310</v>
          </cell>
          <cell r="B1307" t="str">
            <v>ZKW México, S.A. de C.V.</v>
          </cell>
          <cell r="C1307" t="str">
            <v>-</v>
          </cell>
          <cell r="D1307" t="str">
            <v>Av. Mineral de Peñafiel</v>
          </cell>
          <cell r="E1307" t="str">
            <v>-</v>
          </cell>
          <cell r="F1307">
            <v>1</v>
          </cell>
          <cell r="G1307" t="str">
            <v xml:space="preserve">Parque Industrial Santa Fe IV   </v>
          </cell>
          <cell r="H1307">
            <v>36275</v>
          </cell>
          <cell r="I1307" t="str">
            <v>Silao</v>
          </cell>
          <cell r="J1307" t="str">
            <v>Guanajuato</v>
          </cell>
          <cell r="K1307" t="str">
            <v>México</v>
          </cell>
        </row>
        <row r="1308">
          <cell r="A1308">
            <v>1311</v>
          </cell>
          <cell r="B1308" t="str">
            <v>PSMI - GM Trans San Luis Potosi</v>
          </cell>
          <cell r="C1308" t="str">
            <v>-</v>
          </cell>
          <cell r="D1308" t="str">
            <v>Carretera de Cuota 80, SLP-Villa de Arriaga km. 3.3</v>
          </cell>
          <cell r="E1308" t="str">
            <v>-</v>
          </cell>
          <cell r="F1308" t="str">
            <v>-</v>
          </cell>
          <cell r="G1308" t="str">
            <v>Villa de Reyes</v>
          </cell>
          <cell r="H1308">
            <v>79525</v>
          </cell>
          <cell r="I1308" t="str">
            <v>San Luis Potosi.</v>
          </cell>
          <cell r="J1308" t="str">
            <v>San Luis Potosi.</v>
          </cell>
          <cell r="K1308" t="str">
            <v>México</v>
          </cell>
        </row>
        <row r="1309">
          <cell r="A1309">
            <v>1312</v>
          </cell>
          <cell r="B1309" t="str">
            <v>Arbomex S.A. de C. V.</v>
          </cell>
          <cell r="C1309" t="str">
            <v>-</v>
          </cell>
          <cell r="D1309" t="str">
            <v xml:space="preserve">Carr. Panamericana Qro.- Irapuato Km. 36 </v>
          </cell>
          <cell r="E1309" t="str">
            <v>-</v>
          </cell>
          <cell r="F1309" t="str">
            <v>-</v>
          </cell>
          <cell r="G1309" t="str">
            <v>-</v>
          </cell>
          <cell r="H1309">
            <v>38160</v>
          </cell>
          <cell r="I1309" t="str">
            <v>Apaseo el Grande</v>
          </cell>
          <cell r="J1309" t="str">
            <v>Guanajuato</v>
          </cell>
          <cell r="K1309" t="str">
            <v>México</v>
          </cell>
        </row>
        <row r="1310">
          <cell r="A1310">
            <v>1313</v>
          </cell>
          <cell r="B1310" t="str">
            <v>MPI Products de México</v>
          </cell>
          <cell r="C1310" t="str">
            <v>-</v>
          </cell>
          <cell r="D1310" t="str">
            <v>Mesa de Leon</v>
          </cell>
          <cell r="E1310" t="str">
            <v>-</v>
          </cell>
          <cell r="F1310">
            <v>1</v>
          </cell>
          <cell r="G1310" t="str">
            <v>Parque Industrial Queretaro</v>
          </cell>
          <cell r="H1310">
            <v>76220</v>
          </cell>
          <cell r="I1310" t="str">
            <v>Queretaro</v>
          </cell>
          <cell r="J1310" t="str">
            <v>Queretaro</v>
          </cell>
          <cell r="K1310" t="str">
            <v>México</v>
          </cell>
        </row>
        <row r="1311">
          <cell r="A1311">
            <v>1314</v>
          </cell>
          <cell r="B1311" t="str">
            <v>Voestalpine Rotec Summo de México S. de R.L. de C.V.</v>
          </cell>
          <cell r="C1311" t="str">
            <v>-</v>
          </cell>
          <cell r="D1311" t="str">
            <v>Av.El Sabinal</v>
          </cell>
          <cell r="E1311" t="str">
            <v>-</v>
          </cell>
          <cell r="F1311">
            <v>200</v>
          </cell>
          <cell r="G1311" t="str">
            <v>Parque Industrial el Sabinal</v>
          </cell>
          <cell r="H1311">
            <v>66645</v>
          </cell>
          <cell r="I1311" t="str">
            <v>Apocada</v>
          </cell>
          <cell r="J1311" t="str">
            <v>Nuevo Leon</v>
          </cell>
          <cell r="K1311" t="str">
            <v>México</v>
          </cell>
        </row>
        <row r="1312">
          <cell r="A1312">
            <v>1315</v>
          </cell>
          <cell r="B1312" t="str">
            <v>Industrias Electrónicas Pacifico, S.A. de C.V.</v>
          </cell>
          <cell r="C1312" t="str">
            <v>-</v>
          </cell>
          <cell r="D1312" t="str">
            <v>Blvd. Apodaca</v>
          </cell>
          <cell r="E1312" t="str">
            <v>-</v>
          </cell>
          <cell r="F1312">
            <v>100</v>
          </cell>
          <cell r="G1312" t="str">
            <v xml:space="preserve">Technology Park </v>
          </cell>
          <cell r="H1312">
            <v>66600</v>
          </cell>
          <cell r="I1312" t="str">
            <v>Apocada</v>
          </cell>
          <cell r="J1312" t="str">
            <v>Nuevo Leon</v>
          </cell>
          <cell r="K1312" t="str">
            <v>México</v>
          </cell>
        </row>
        <row r="1313">
          <cell r="A1313">
            <v>1316</v>
          </cell>
          <cell r="B1313" t="str">
            <v>Grupo Maspe S.A. de C.V.</v>
          </cell>
          <cell r="C1313" t="str">
            <v>-</v>
          </cell>
          <cell r="D1313" t="str">
            <v>Belisario Dominguez</v>
          </cell>
          <cell r="E1313" t="str">
            <v>-</v>
          </cell>
          <cell r="F1313">
            <v>12</v>
          </cell>
          <cell r="G1313" t="str">
            <v>San Pedro Martir</v>
          </cell>
          <cell r="H1313">
            <v>76117</v>
          </cell>
          <cell r="I1313" t="str">
            <v>Queretaro</v>
          </cell>
          <cell r="J1313" t="str">
            <v>Queretaro</v>
          </cell>
          <cell r="K1313" t="str">
            <v>México</v>
          </cell>
        </row>
        <row r="1314">
          <cell r="A1314">
            <v>1317</v>
          </cell>
          <cell r="B1314" t="str">
            <v>CENTURY MOLD MEXICO S. DE R.L. de C.V.</v>
          </cell>
          <cell r="C1314" t="str">
            <v>-</v>
          </cell>
          <cell r="D1314" t="str">
            <v xml:space="preserve">Prol. Circuito El Marques </v>
          </cell>
          <cell r="E1314" t="str">
            <v>-</v>
          </cell>
          <cell r="F1314">
            <v>3</v>
          </cell>
          <cell r="G1314" t="str">
            <v>-</v>
          </cell>
          <cell r="H1314">
            <v>76240</v>
          </cell>
          <cell r="I1314" t="str">
            <v>El Marques</v>
          </cell>
          <cell r="J1314" t="str">
            <v>Queretaro</v>
          </cell>
          <cell r="K1314" t="str">
            <v>México</v>
          </cell>
        </row>
        <row r="1315">
          <cell r="A1315">
            <v>1318</v>
          </cell>
          <cell r="B1315" t="str">
            <v>Hella Electronics México, S.A. de C.V.</v>
          </cell>
          <cell r="C1315" t="str">
            <v>-</v>
          </cell>
          <cell r="D1315" t="str">
            <v>Carretera a El Castillo Km 10.5</v>
          </cell>
          <cell r="E1315" t="str">
            <v>-</v>
          </cell>
          <cell r="F1315" t="str">
            <v>-</v>
          </cell>
          <cell r="G1315" t="str">
            <v>-</v>
          </cell>
          <cell r="H1315">
            <v>45680</v>
          </cell>
          <cell r="I1315" t="str">
            <v>El Salto</v>
          </cell>
          <cell r="J1315" t="str">
            <v>Jalisco</v>
          </cell>
          <cell r="K1315" t="str">
            <v>México</v>
          </cell>
        </row>
        <row r="1316">
          <cell r="A1316">
            <v>1319</v>
          </cell>
          <cell r="B1316" t="str">
            <v>Canel´s S.A. de C.V.</v>
          </cell>
          <cell r="C1316" t="str">
            <v>-</v>
          </cell>
          <cell r="D1316" t="str">
            <v>Av. Industrias, eje 118</v>
          </cell>
          <cell r="E1316" t="str">
            <v>-</v>
          </cell>
          <cell r="F1316">
            <v>3805</v>
          </cell>
          <cell r="G1316" t="str">
            <v>Zona Industrial</v>
          </cell>
          <cell r="H1316">
            <v>78395</v>
          </cell>
          <cell r="I1316" t="str">
            <v>San Luis Potosi</v>
          </cell>
          <cell r="J1316" t="str">
            <v>San Luis Potosi.</v>
          </cell>
          <cell r="K1316">
            <v>4</v>
          </cell>
        </row>
        <row r="1317">
          <cell r="A1317">
            <v>1320</v>
          </cell>
          <cell r="B1317" t="str">
            <v>TRANSMECANICA EVEREST S.A de C.V.</v>
          </cell>
          <cell r="C1317" t="str">
            <v>-</v>
          </cell>
          <cell r="D1317" t="str">
            <v>Av. Laurel</v>
          </cell>
          <cell r="E1317" t="str">
            <v>-</v>
          </cell>
          <cell r="F1317">
            <v>204</v>
          </cell>
          <cell r="G1317" t="str">
            <v>Fraccionamiento Industrial El Vergel</v>
          </cell>
          <cell r="H1317">
            <v>38110</v>
          </cell>
          <cell r="I1317" t="str">
            <v>Celaya</v>
          </cell>
          <cell r="J1317" t="str">
            <v>Guanajuato</v>
          </cell>
          <cell r="K1317" t="str">
            <v>México</v>
          </cell>
        </row>
        <row r="1318">
          <cell r="A1318">
            <v>1321</v>
          </cell>
          <cell r="B1318" t="str">
            <v>USUI International Manufacturing México, S.A. de C.V.</v>
          </cell>
          <cell r="C1318" t="str">
            <v>-</v>
          </cell>
          <cell r="D1318" t="str">
            <v xml:space="preserve">Avenida Mineral de Peñafiel </v>
          </cell>
          <cell r="E1318" t="str">
            <v>-</v>
          </cell>
          <cell r="F1318">
            <v>111</v>
          </cell>
          <cell r="G1318" t="str">
            <v>Puerto Interior</v>
          </cell>
          <cell r="H1318">
            <v>36275</v>
          </cell>
          <cell r="I1318" t="str">
            <v>Silao</v>
          </cell>
          <cell r="J1318" t="str">
            <v>Guanajuato</v>
          </cell>
          <cell r="K1318" t="str">
            <v>México</v>
          </cell>
        </row>
        <row r="1319">
          <cell r="A1319">
            <v>1322</v>
          </cell>
          <cell r="B1319" t="str">
            <v>CALIDAD DIMENSIONAL Y GAGES S DE R.L. de C.V.</v>
          </cell>
          <cell r="C1319" t="str">
            <v>-</v>
          </cell>
          <cell r="D1319" t="str">
            <v>Marsala</v>
          </cell>
          <cell r="E1319" t="str">
            <v>-</v>
          </cell>
          <cell r="F1319">
            <v>5701</v>
          </cell>
          <cell r="G1319" t="str">
            <v>Santa Cecilia</v>
          </cell>
          <cell r="H1319">
            <v>64150</v>
          </cell>
          <cell r="I1319" t="str">
            <v>Monterrey</v>
          </cell>
          <cell r="J1319" t="str">
            <v>Nuevo Leon</v>
          </cell>
          <cell r="K1319" t="str">
            <v>México</v>
          </cell>
        </row>
        <row r="1320">
          <cell r="A1320">
            <v>1323</v>
          </cell>
          <cell r="B1320" t="str">
            <v>FLOWSERVE S.A de C.V.</v>
          </cell>
          <cell r="C1320" t="str">
            <v>-</v>
          </cell>
          <cell r="D1320" t="str">
            <v>Manzana 3</v>
          </cell>
          <cell r="E1320" t="str">
            <v>-</v>
          </cell>
          <cell r="F1320" t="str">
            <v>Lote 2,4,6 y 8</v>
          </cell>
          <cell r="G1320" t="str">
            <v>Parque Industrial Xiloxoxtla</v>
          </cell>
          <cell r="H1320">
            <v>90194</v>
          </cell>
          <cell r="I1320" t="str">
            <v>Santa Isabel Xiloxoxtla</v>
          </cell>
          <cell r="J1320" t="str">
            <v>Tlaxcala</v>
          </cell>
          <cell r="K1320" t="str">
            <v>México</v>
          </cell>
        </row>
        <row r="1321">
          <cell r="A1321">
            <v>1324</v>
          </cell>
          <cell r="B1321" t="str">
            <v>Nacional de Alimentos y Helados, S.A. de C.V.</v>
          </cell>
          <cell r="C1321" t="str">
            <v>-</v>
          </cell>
          <cell r="D1321" t="str">
            <v>Carretera Federal 57 km 194+813</v>
          </cell>
          <cell r="E1321" t="str">
            <v>-</v>
          </cell>
          <cell r="F1321" t="str">
            <v>-</v>
          </cell>
          <cell r="G1321" t="str">
            <v>El Marques</v>
          </cell>
          <cell r="H1321" t="str">
            <v>-</v>
          </cell>
          <cell r="I1321" t="str">
            <v>El Marques</v>
          </cell>
          <cell r="J1321" t="str">
            <v>Queretaro</v>
          </cell>
          <cell r="K1321" t="str">
            <v>México</v>
          </cell>
        </row>
        <row r="1322">
          <cell r="A1322">
            <v>1325</v>
          </cell>
          <cell r="B1322" t="str">
            <v>Gelpharma, S.A. de C.V.</v>
          </cell>
          <cell r="C1322" t="str">
            <v>-</v>
          </cell>
          <cell r="D1322" t="str">
            <v>Avenida Paseo del Pacífico</v>
          </cell>
          <cell r="E1322" t="str">
            <v>-</v>
          </cell>
          <cell r="F1322">
            <v>380</v>
          </cell>
          <cell r="G1322" t="str">
            <v xml:space="preserve">Technology Park </v>
          </cell>
          <cell r="H1322">
            <v>45010</v>
          </cell>
          <cell r="I1322" t="str">
            <v>Guadalajara</v>
          </cell>
          <cell r="J1322" t="str">
            <v>Jalisco</v>
          </cell>
          <cell r="K1322" t="str">
            <v>México</v>
          </cell>
        </row>
        <row r="1323">
          <cell r="A1323">
            <v>1326</v>
          </cell>
          <cell r="B1323" t="str">
            <v xml:space="preserve">KIMBERLY CLARK DE MEXICO S.A.B. de C.V. </v>
          </cell>
          <cell r="C1323" t="str">
            <v>-</v>
          </cell>
          <cell r="D1323" t="str">
            <v>Carretera a Mena Km 3.5</v>
          </cell>
          <cell r="E1323" t="str">
            <v>-</v>
          </cell>
          <cell r="F1323" t="str">
            <v>-</v>
          </cell>
          <cell r="G1323" t="str">
            <v>Ciudad industrial  Xicohtencatl</v>
          </cell>
          <cell r="H1323">
            <v>90430</v>
          </cell>
          <cell r="I1323" t="str">
            <v>Tlaxco</v>
          </cell>
          <cell r="J1323" t="str">
            <v>Tlaxcala</v>
          </cell>
          <cell r="K1323" t="str">
            <v>México</v>
          </cell>
        </row>
        <row r="1324">
          <cell r="A1324">
            <v>1327</v>
          </cell>
          <cell r="B1324" t="str">
            <v>Resortes Monticello de Mexico, S.A. de C.V.</v>
          </cell>
          <cell r="C1324" t="str">
            <v>-</v>
          </cell>
          <cell r="D1324" t="str">
            <v>Avenida México</v>
          </cell>
          <cell r="E1324" t="str">
            <v>-</v>
          </cell>
          <cell r="F1324">
            <v>201</v>
          </cell>
          <cell r="G1324" t="str">
            <v>Parque Ind. San Francisco</v>
          </cell>
          <cell r="H1324">
            <v>20300</v>
          </cell>
          <cell r="I1324" t="str">
            <v xml:space="preserve">San Francisco de los Romo, </v>
          </cell>
          <cell r="J1324" t="str">
            <v>Aguascalientes</v>
          </cell>
          <cell r="K1324" t="str">
            <v>México</v>
          </cell>
        </row>
        <row r="1325">
          <cell r="A1325">
            <v>1328</v>
          </cell>
          <cell r="B1325" t="str">
            <v>Ingenieria Electrica y Control Instrumental S.A. de C.V.</v>
          </cell>
          <cell r="C1325" t="str">
            <v>-</v>
          </cell>
          <cell r="D1325" t="str">
            <v>Calle Condesa</v>
          </cell>
          <cell r="E1325" t="str">
            <v>-</v>
          </cell>
          <cell r="F1325">
            <v>325</v>
          </cell>
          <cell r="G1325" t="str">
            <v>Real Providencia II</v>
          </cell>
          <cell r="H1325">
            <v>37234</v>
          </cell>
          <cell r="I1325" t="str">
            <v>Leon</v>
          </cell>
          <cell r="J1325" t="str">
            <v>Guanajuato</v>
          </cell>
          <cell r="K1325" t="str">
            <v>México</v>
          </cell>
        </row>
        <row r="1326">
          <cell r="A1326">
            <v>1329</v>
          </cell>
          <cell r="B1326" t="str">
            <v>BOCAR, S.A. de C.V.</v>
          </cell>
          <cell r="C1326" t="str">
            <v>-</v>
          </cell>
          <cell r="D1326" t="str">
            <v xml:space="preserve">Carretera Chihuahua Tabalaopa </v>
          </cell>
          <cell r="E1326" t="str">
            <v>-</v>
          </cell>
          <cell r="F1326">
            <v>7700</v>
          </cell>
          <cell r="G1326" t="str">
            <v>La Concordia</v>
          </cell>
          <cell r="H1326">
            <v>31380</v>
          </cell>
          <cell r="I1326" t="str">
            <v>Chihuahua</v>
          </cell>
          <cell r="J1326" t="str">
            <v>Chihuahua</v>
          </cell>
          <cell r="K1326" t="str">
            <v>México</v>
          </cell>
        </row>
        <row r="1327">
          <cell r="A1327">
            <v>1330</v>
          </cell>
          <cell r="B1327" t="str">
            <v>Geni de México, S.A. de C.V.</v>
          </cell>
          <cell r="C1327" t="str">
            <v>-</v>
          </cell>
          <cell r="D1327" t="str">
            <v>Carretera al Aeropuerto Km 2+700</v>
          </cell>
          <cell r="E1327" t="str">
            <v>-</v>
          </cell>
          <cell r="F1327" t="str">
            <v>-</v>
          </cell>
          <cell r="G1327" t="str">
            <v>Cuarto Barrio</v>
          </cell>
          <cell r="H1327">
            <v>74160</v>
          </cell>
          <cell r="I1327" t="str">
            <v>Huejotzingo</v>
          </cell>
          <cell r="J1327" t="str">
            <v xml:space="preserve">Puebla, </v>
          </cell>
          <cell r="K1327" t="str">
            <v>México</v>
          </cell>
        </row>
        <row r="1328">
          <cell r="A1328">
            <v>1331</v>
          </cell>
          <cell r="B1328" t="str">
            <v>Watlow de México, S. de R.L. de C.V.</v>
          </cell>
          <cell r="C1328" t="str">
            <v>-</v>
          </cell>
          <cell r="D1328" t="str">
            <v>Cto. El Marqués Norte</v>
          </cell>
          <cell r="E1328" t="str">
            <v>A</v>
          </cell>
          <cell r="F1328">
            <v>44</v>
          </cell>
          <cell r="G1328" t="str">
            <v>Parque Industrial, El Marques</v>
          </cell>
          <cell r="H1328">
            <v>76246</v>
          </cell>
          <cell r="I1328" t="str">
            <v>El Marqués</v>
          </cell>
          <cell r="J1328" t="str">
            <v>Querétaro.</v>
          </cell>
          <cell r="K1328" t="str">
            <v>México</v>
          </cell>
        </row>
        <row r="1329">
          <cell r="A1329">
            <v>1332</v>
          </cell>
          <cell r="B1329" t="str">
            <v>NICRO S.A. de C.V.</v>
          </cell>
          <cell r="C1329" t="str">
            <v>-</v>
          </cell>
          <cell r="D1329" t="str">
            <v>Pirul</v>
          </cell>
          <cell r="E1329" t="str">
            <v>-</v>
          </cell>
          <cell r="F1329">
            <v>33</v>
          </cell>
          <cell r="G1329" t="str">
            <v>Bellavista</v>
          </cell>
          <cell r="H1329">
            <v>54080</v>
          </cell>
          <cell r="I1329" t="str">
            <v>Tlalnepantla</v>
          </cell>
          <cell r="J1329" t="str">
            <v>Estado de México</v>
          </cell>
          <cell r="K1329" t="str">
            <v>México</v>
          </cell>
        </row>
        <row r="1330">
          <cell r="A1330">
            <v>1333</v>
          </cell>
          <cell r="B1330" t="str">
            <v>Hella Automotive México, S.A de C.V.</v>
          </cell>
          <cell r="C1330" t="str">
            <v>-</v>
          </cell>
          <cell r="D1330" t="str">
            <v>Parque Industrial Tenológico II, Anillo Periferico Sur</v>
          </cell>
          <cell r="E1330" t="str">
            <v>4E</v>
          </cell>
          <cell r="F1330">
            <v>7980</v>
          </cell>
          <cell r="G1330" t="str">
            <v>Santa María Tequepexpan</v>
          </cell>
          <cell r="H1330">
            <v>45600</v>
          </cell>
          <cell r="I1330" t="str">
            <v>Tlaquepaque</v>
          </cell>
          <cell r="J1330" t="str">
            <v>Jalisco</v>
          </cell>
          <cell r="K1330" t="str">
            <v>México</v>
          </cell>
        </row>
        <row r="1331">
          <cell r="A1331">
            <v>1334</v>
          </cell>
          <cell r="B1331" t="str">
            <v>YG-1 Tools México S.A. de C.V.</v>
          </cell>
          <cell r="C1331" t="str">
            <v>-</v>
          </cell>
          <cell r="D1331" t="str">
            <v>Carretera Estatal 200 Queretaro-Tequisquiapan km 19+530</v>
          </cell>
          <cell r="E1331" t="str">
            <v>M4</v>
          </cell>
          <cell r="F1331" t="str">
            <v>Edif. A</v>
          </cell>
          <cell r="G1331" t="str">
            <v>Navajas</v>
          </cell>
          <cell r="H1331">
            <v>76260</v>
          </cell>
          <cell r="I1331" t="str">
            <v>El Marques</v>
          </cell>
          <cell r="J1331" t="str">
            <v>Queretaro</v>
          </cell>
          <cell r="K1331" t="str">
            <v>México</v>
          </cell>
        </row>
        <row r="1332">
          <cell r="A1332">
            <v>1335</v>
          </cell>
          <cell r="B1332" t="str">
            <v>ABC Inoac de México, S.A. de C.V.</v>
          </cell>
          <cell r="C1332" t="str">
            <v>-</v>
          </cell>
          <cell r="D1332" t="str">
            <v>Av. Raramuris</v>
          </cell>
          <cell r="E1332" t="str">
            <v>-</v>
          </cell>
          <cell r="F1332">
            <v>3</v>
          </cell>
          <cell r="G1332" t="str">
            <v>Nuevo Parque Industrial</v>
          </cell>
          <cell r="H1332">
            <v>76806</v>
          </cell>
          <cell r="I1332" t="str">
            <v>San Juan del Río</v>
          </cell>
          <cell r="J1332" t="str">
            <v>Queretaro</v>
          </cell>
          <cell r="K1332" t="str">
            <v>México</v>
          </cell>
        </row>
        <row r="1333">
          <cell r="A1333">
            <v>1336</v>
          </cell>
          <cell r="B1333" t="str">
            <v>Jose David Carranza Ortiz</v>
          </cell>
          <cell r="C1333" t="str">
            <v>-</v>
          </cell>
          <cell r="D1333" t="str">
            <v>Gardenias</v>
          </cell>
          <cell r="E1333" t="str">
            <v>-</v>
          </cell>
          <cell r="F1333" t="str">
            <v>S/N</v>
          </cell>
          <cell r="G1333" t="str">
            <v>Bravo</v>
          </cell>
          <cell r="H1333">
            <v>76925</v>
          </cell>
          <cell r="I1333" t="str">
            <v>Corregidora</v>
          </cell>
          <cell r="J1333" t="str">
            <v>Queretaro</v>
          </cell>
          <cell r="K1333" t="str">
            <v>México</v>
          </cell>
        </row>
        <row r="1334">
          <cell r="A1334">
            <v>1337</v>
          </cell>
          <cell r="B1334" t="str">
            <v>HIRSCHVOGEL COMPONENTS MEXICO, S.A. de C.V.</v>
          </cell>
          <cell r="C1334" t="str">
            <v>-</v>
          </cell>
          <cell r="D1334" t="str">
            <v xml:space="preserve">Dr. Manfred Hirschvogel </v>
          </cell>
          <cell r="E1334" t="str">
            <v>-</v>
          </cell>
          <cell r="F1334">
            <v>21</v>
          </cell>
          <cell r="G1334" t="str">
            <v>Parque Industrial Nuevo San Juan</v>
          </cell>
          <cell r="H1334">
            <v>76806</v>
          </cell>
          <cell r="I1334" t="str">
            <v>San Juan del Río</v>
          </cell>
          <cell r="J1334" t="str">
            <v>Queretaro</v>
          </cell>
          <cell r="K1334" t="str">
            <v>México</v>
          </cell>
        </row>
        <row r="1335">
          <cell r="A1335">
            <v>1338</v>
          </cell>
          <cell r="B1335" t="str">
            <v>Thyssenkrupp Components Technology de México S.A. de C.V.</v>
          </cell>
          <cell r="C1335" t="str">
            <v>-</v>
          </cell>
          <cell r="D1335" t="str">
            <v xml:space="preserve">Blvd. de los Picachos </v>
          </cell>
          <cell r="E1335" t="str">
            <v>-</v>
          </cell>
          <cell r="F1335">
            <v>9</v>
          </cell>
          <cell r="G1335" t="str">
            <v>Polígono Empresarial San Miguel de Allende</v>
          </cell>
          <cell r="H1335">
            <v>37888</v>
          </cell>
          <cell r="I1335" t="str">
            <v>San Miguel de Allende</v>
          </cell>
          <cell r="J1335" t="str">
            <v>Guanajuato</v>
          </cell>
          <cell r="K1335" t="str">
            <v>México</v>
          </cell>
        </row>
        <row r="1336">
          <cell r="A1336">
            <v>1339</v>
          </cell>
          <cell r="B1336" t="str">
            <v>ESCALUMEX, S.A. de C.V.</v>
          </cell>
          <cell r="C1336" t="str">
            <v>-</v>
          </cell>
          <cell r="D1336" t="str">
            <v xml:space="preserve">José Ramón Chope Albarrán </v>
          </cell>
          <cell r="E1336" t="str">
            <v>-</v>
          </cell>
          <cell r="F1336">
            <v>23</v>
          </cell>
          <cell r="G1336" t="str">
            <v>Col. Rústica Xalostoc</v>
          </cell>
          <cell r="H1336">
            <v>55320</v>
          </cell>
          <cell r="I1336" t="str">
            <v>Ecatepec</v>
          </cell>
          <cell r="J1336" t="str">
            <v>Estado de México</v>
          </cell>
          <cell r="K1336" t="str">
            <v>México</v>
          </cell>
        </row>
        <row r="1337">
          <cell r="A1337">
            <v>1340</v>
          </cell>
          <cell r="B1337" t="str">
            <v>Ingersoll-Rand Manufactura, S. DE R.L. DE C.V.</v>
          </cell>
          <cell r="C1337" t="str">
            <v>-</v>
          </cell>
          <cell r="D1337" t="str">
            <v xml:space="preserve">Av. Nafta </v>
          </cell>
          <cell r="E1337" t="str">
            <v>-</v>
          </cell>
          <cell r="F1337">
            <v>750</v>
          </cell>
          <cell r="G1337" t="str">
            <v>Parque Industrial Stiva Aeropuerto – Apodaca</v>
          </cell>
          <cell r="H1337">
            <v>66600</v>
          </cell>
          <cell r="I1337" t="str">
            <v>Monterrey</v>
          </cell>
          <cell r="J1337" t="str">
            <v>Nuevo Leon</v>
          </cell>
          <cell r="K1337" t="str">
            <v>México</v>
          </cell>
        </row>
        <row r="1338">
          <cell r="A1338">
            <v>1341</v>
          </cell>
          <cell r="B1338" t="str">
            <v>Donghee México, S. de R.L. de C.V.</v>
          </cell>
          <cell r="C1338" t="str">
            <v>-</v>
          </cell>
          <cell r="D1338" t="str">
            <v xml:space="preserve">Carretera Pesquería - Los Ramones Km. 13 al 15 </v>
          </cell>
          <cell r="E1338" t="str">
            <v>-</v>
          </cell>
          <cell r="F1338" t="str">
            <v>-</v>
          </cell>
          <cell r="G1338" t="str">
            <v>La Arena</v>
          </cell>
          <cell r="H1338">
            <v>66679</v>
          </cell>
          <cell r="I1338" t="str">
            <v>Pesqueria</v>
          </cell>
          <cell r="J1338" t="str">
            <v>Nuevo Leon</v>
          </cell>
          <cell r="K1338" t="str">
            <v>México</v>
          </cell>
        </row>
        <row r="1339">
          <cell r="A1339">
            <v>1342</v>
          </cell>
          <cell r="B1339" t="str">
            <v>Snecma México, S.A. de C.V.</v>
          </cell>
          <cell r="C1339" t="str">
            <v>-</v>
          </cell>
          <cell r="D1339" t="str">
            <v>Carretera Estatal 200 Km. 22</v>
          </cell>
          <cell r="E1339" t="str">
            <v>B</v>
          </cell>
          <cell r="F1339">
            <v>547</v>
          </cell>
          <cell r="G1339" t="str">
            <v>Parque Aeroespacial Querétaro</v>
          </cell>
          <cell r="H1339">
            <v>76278</v>
          </cell>
          <cell r="I1339" t="str">
            <v>Colón</v>
          </cell>
          <cell r="J1339" t="str">
            <v>Querétaro</v>
          </cell>
          <cell r="K1339" t="str">
            <v>México</v>
          </cell>
        </row>
        <row r="1340">
          <cell r="A1340">
            <v>1343</v>
          </cell>
          <cell r="B1340" t="str">
            <v>AAMEC S.A de C.V.</v>
          </cell>
          <cell r="C1340" t="str">
            <v>-</v>
          </cell>
          <cell r="D1340" t="str">
            <v xml:space="preserve">Thomas Jefferson </v>
          </cell>
          <cell r="E1340" t="str">
            <v>-</v>
          </cell>
          <cell r="F1340">
            <v>107</v>
          </cell>
          <cell r="G1340" t="str">
            <v>Felipe Carrillo Puerto</v>
          </cell>
          <cell r="H1340">
            <v>76138</v>
          </cell>
          <cell r="I1340" t="str">
            <v>Queretaro</v>
          </cell>
          <cell r="J1340" t="str">
            <v>Queretaro</v>
          </cell>
          <cell r="K1340" t="str">
            <v>México</v>
          </cell>
        </row>
        <row r="1341">
          <cell r="A1341">
            <v>1344</v>
          </cell>
          <cell r="B1341" t="str">
            <v>Add Engineering S.A de C.V.</v>
          </cell>
          <cell r="C1341" t="str">
            <v>-</v>
          </cell>
          <cell r="D1341" t="str">
            <v>Tecnologico Norte</v>
          </cell>
          <cell r="E1341" t="str">
            <v>1er. Piso-Oficina 21</v>
          </cell>
          <cell r="F1341">
            <v>801</v>
          </cell>
          <cell r="G1341" t="str">
            <v>San Pablo</v>
          </cell>
          <cell r="H1341">
            <v>76130</v>
          </cell>
          <cell r="I1341" t="str">
            <v>Queretaro</v>
          </cell>
          <cell r="J1341" t="str">
            <v>Queretaro</v>
          </cell>
          <cell r="K1341" t="str">
            <v>México</v>
          </cell>
        </row>
        <row r="1342">
          <cell r="A1342">
            <v>1345</v>
          </cell>
          <cell r="B1342" t="str">
            <v>DENSO DE MÉXICO, S.A. de C.V.</v>
          </cell>
          <cell r="C1342" t="str">
            <v>-</v>
          </cell>
          <cell r="D1342" t="str">
            <v>Ave. Mineral de Peñafiel</v>
          </cell>
          <cell r="E1342" t="str">
            <v>-</v>
          </cell>
          <cell r="F1342">
            <v>330</v>
          </cell>
          <cell r="G1342" t="str">
            <v>Puerto Interior</v>
          </cell>
          <cell r="H1342">
            <v>36275</v>
          </cell>
          <cell r="I1342" t="str">
            <v>Silao de la Victoria</v>
          </cell>
          <cell r="J1342" t="str">
            <v>Guanajuato</v>
          </cell>
          <cell r="K1342" t="str">
            <v>México</v>
          </cell>
        </row>
        <row r="1343">
          <cell r="A1343">
            <v>1346</v>
          </cell>
          <cell r="B1343" t="str">
            <v>Comercializadora en Servicios Especializados en Metrologia</v>
          </cell>
          <cell r="C1343" t="str">
            <v>-</v>
          </cell>
          <cell r="D1343" t="str">
            <v>Malbec</v>
          </cell>
          <cell r="E1343">
            <v>12</v>
          </cell>
          <cell r="F1343">
            <v>1500</v>
          </cell>
          <cell r="G1343" t="str">
            <v>Los Viñedos</v>
          </cell>
          <cell r="H1343">
            <v>76235</v>
          </cell>
          <cell r="I1343" t="str">
            <v>Queretaro</v>
          </cell>
          <cell r="J1343" t="str">
            <v>Queretaro</v>
          </cell>
          <cell r="K1343" t="str">
            <v>México</v>
          </cell>
        </row>
        <row r="1344">
          <cell r="A1344">
            <v>1347</v>
          </cell>
          <cell r="B1344" t="str">
            <v>BOREAL RESEARCH S.A de C.V</v>
          </cell>
          <cell r="C1344" t="str">
            <v>-</v>
          </cell>
          <cell r="D1344" t="str">
            <v xml:space="preserve">Carretera Zona Industrial </v>
          </cell>
          <cell r="E1344" t="str">
            <v>-</v>
          </cell>
          <cell r="F1344">
            <v>126</v>
          </cell>
          <cell r="G1344" t="str">
            <v>Rancho Nuevo</v>
          </cell>
          <cell r="H1344">
            <v>38160</v>
          </cell>
          <cell r="I1344" t="str">
            <v>Apaseo El Grande</v>
          </cell>
          <cell r="J1344" t="str">
            <v>Guanajuato</v>
          </cell>
          <cell r="K1344" t="str">
            <v>México</v>
          </cell>
        </row>
        <row r="1345">
          <cell r="A1345">
            <v>1348</v>
          </cell>
          <cell r="B1345" t="str">
            <v>ADVANCED TECHNOLOGY SERVICES, MEXICO, S. de R.L. de C.V.</v>
          </cell>
          <cell r="C1345" t="str">
            <v>-</v>
          </cell>
          <cell r="D1345" t="str">
            <v>Reynosa</v>
          </cell>
          <cell r="E1345" t="str">
            <v>-</v>
          </cell>
          <cell r="F1345" t="str">
            <v>3202-1</v>
          </cell>
          <cell r="G1345" t="str">
            <v>Guerrero</v>
          </cell>
          <cell r="H1345">
            <v>88240</v>
          </cell>
          <cell r="I1345" t="str">
            <v>Nuevo Laredo</v>
          </cell>
          <cell r="J1345" t="str">
            <v>Tamaulipas,</v>
          </cell>
          <cell r="K1345" t="str">
            <v>México</v>
          </cell>
        </row>
        <row r="1346">
          <cell r="A1346">
            <v>1349</v>
          </cell>
          <cell r="B1346" t="str">
            <v>Ferre Baztan S.A. de C.V.</v>
          </cell>
          <cell r="C1346" t="str">
            <v>-</v>
          </cell>
          <cell r="D1346" t="str">
            <v>Carretera Panamericana km 284</v>
          </cell>
          <cell r="E1346" t="str">
            <v>-</v>
          </cell>
          <cell r="F1346" t="str">
            <v>-</v>
          </cell>
          <cell r="G1346" t="str">
            <v>-</v>
          </cell>
          <cell r="H1346">
            <v>38110</v>
          </cell>
          <cell r="I1346" t="str">
            <v>Celaya</v>
          </cell>
          <cell r="J1346" t="str">
            <v>Guanajuato</v>
          </cell>
          <cell r="K1346" t="str">
            <v>México</v>
          </cell>
        </row>
        <row r="1347">
          <cell r="A1347">
            <v>1350</v>
          </cell>
          <cell r="B1347" t="str">
            <v>Concretos Apasco S.A. de C.V. Planta Villahermosa</v>
          </cell>
          <cell r="C1347" t="str">
            <v>-</v>
          </cell>
          <cell r="D1347" t="str">
            <v>Avenida Cofre Fraccion</v>
          </cell>
          <cell r="E1347" t="str">
            <v>Lote 5</v>
          </cell>
          <cell r="F1347" t="str">
            <v>Mz 7</v>
          </cell>
          <cell r="G1347" t="str">
            <v>-</v>
          </cell>
          <cell r="H1347">
            <v>86010</v>
          </cell>
          <cell r="I1347" t="str">
            <v>Villahermosa</v>
          </cell>
          <cell r="J1347" t="str">
            <v>Tabasco</v>
          </cell>
          <cell r="K1347" t="str">
            <v>México</v>
          </cell>
        </row>
        <row r="1348">
          <cell r="A1348">
            <v>1351</v>
          </cell>
          <cell r="B1348" t="str">
            <v>Nueva Aeronáutica Profesional S.A. de C.V.</v>
          </cell>
          <cell r="C1348" t="str">
            <v>-</v>
          </cell>
          <cell r="D1348" t="str">
            <v xml:space="preserve">Establecimientos Fabriles </v>
          </cell>
          <cell r="E1348" t="str">
            <v>-</v>
          </cell>
          <cell r="F1348">
            <v>59</v>
          </cell>
          <cell r="G1348" t="str">
            <v>Federal</v>
          </cell>
          <cell r="H1348">
            <v>15700</v>
          </cell>
          <cell r="I1348" t="str">
            <v>Venustiano Carranza</v>
          </cell>
          <cell r="J1348" t="str">
            <v>Ciudad de México</v>
          </cell>
          <cell r="K1348" t="str">
            <v>México</v>
          </cell>
        </row>
        <row r="1349">
          <cell r="A1349">
            <v>1352</v>
          </cell>
          <cell r="B1349" t="str">
            <v>AUMA  S.A. de C,V. CHIHUAHUA</v>
          </cell>
          <cell r="C1349" t="str">
            <v>-</v>
          </cell>
          <cell r="D1349" t="str">
            <v xml:space="preserve">Carretera Chihuahua Tabalaopa </v>
          </cell>
          <cell r="E1349" t="str">
            <v>-</v>
          </cell>
          <cell r="F1349">
            <v>7700</v>
          </cell>
          <cell r="G1349" t="str">
            <v>La Concordia</v>
          </cell>
          <cell r="H1349">
            <v>31380</v>
          </cell>
          <cell r="I1349" t="str">
            <v>Chihuahua</v>
          </cell>
          <cell r="J1349" t="str">
            <v>Chihuahua</v>
          </cell>
          <cell r="K1349" t="str">
            <v>México</v>
          </cell>
        </row>
        <row r="1350">
          <cell r="A1350">
            <v>1353</v>
          </cell>
          <cell r="B1350" t="str">
            <v>KWANG JIN SLP MÉXICO S.A. de C.V.</v>
          </cell>
          <cell r="C1350" t="str">
            <v>-</v>
          </cell>
          <cell r="D1350" t="str">
            <v>Bangalore</v>
          </cell>
          <cell r="E1350" t="str">
            <v>-</v>
          </cell>
          <cell r="F1350">
            <v>409</v>
          </cell>
          <cell r="G1350" t="str">
            <v>Logistik</v>
          </cell>
          <cell r="H1350">
            <v>79526</v>
          </cell>
          <cell r="I1350" t="str">
            <v>San Luis Potosi</v>
          </cell>
          <cell r="J1350" t="str">
            <v>San Luis Potosi</v>
          </cell>
          <cell r="K1350" t="str">
            <v>México</v>
          </cell>
        </row>
        <row r="1351">
          <cell r="A1351">
            <v>1354</v>
          </cell>
          <cell r="B1351" t="str">
            <v>Calibraciones e Instrumentos</v>
          </cell>
          <cell r="C1351" t="str">
            <v>-</v>
          </cell>
          <cell r="D1351" t="str">
            <v xml:space="preserve">Brillante </v>
          </cell>
          <cell r="E1351" t="str">
            <v>-</v>
          </cell>
          <cell r="F1351">
            <v>1576</v>
          </cell>
          <cell r="G1351" t="str">
            <v>Mariano Otero</v>
          </cell>
          <cell r="H1351">
            <v>45067</v>
          </cell>
          <cell r="I1351" t="str">
            <v>Zapopan</v>
          </cell>
          <cell r="J1351" t="str">
            <v>Jalisco</v>
          </cell>
          <cell r="K1351" t="str">
            <v>México</v>
          </cell>
        </row>
        <row r="1352">
          <cell r="A1352">
            <v>1355</v>
          </cell>
          <cell r="B1352" t="str">
            <v>Soluciones Médicas Comercial S.A. de C.V.</v>
          </cell>
          <cell r="C1352" t="str">
            <v>-</v>
          </cell>
          <cell r="D1352" t="str">
            <v xml:space="preserve">Prol. Av. Mariano Otero </v>
          </cell>
          <cell r="E1352" t="str">
            <v>-</v>
          </cell>
          <cell r="F1352">
            <v>408</v>
          </cell>
          <cell r="G1352" t="str">
            <v>Jardines del Sol</v>
          </cell>
          <cell r="H1352">
            <v>45050</v>
          </cell>
          <cell r="I1352" t="str">
            <v>Zapopan</v>
          </cell>
          <cell r="J1352" t="str">
            <v>Jalisco</v>
          </cell>
          <cell r="K1352" t="str">
            <v>México</v>
          </cell>
        </row>
        <row r="1353">
          <cell r="A1353">
            <v>1356</v>
          </cell>
          <cell r="B1353" t="str">
            <v>Centro de Calibración y Capacitación Industrial, S.A. de C.V.</v>
          </cell>
          <cell r="C1353" t="str">
            <v>-</v>
          </cell>
          <cell r="D1353" t="str">
            <v>Privada Palomas</v>
          </cell>
          <cell r="E1353" t="str">
            <v>-</v>
          </cell>
          <cell r="F1353">
            <v>11</v>
          </cell>
          <cell r="G1353" t="str">
            <v>Fraccionamiento Los Pájaros</v>
          </cell>
          <cell r="H1353">
            <v>76904</v>
          </cell>
          <cell r="I1353" t="str">
            <v>Corregidora</v>
          </cell>
          <cell r="J1353" t="str">
            <v>Queretaro</v>
          </cell>
          <cell r="K1353" t="str">
            <v>México</v>
          </cell>
        </row>
        <row r="1354">
          <cell r="A1354">
            <v>1357</v>
          </cell>
          <cell r="B1354" t="str">
            <v>MAYEKAWA DE MÉXICO S.A. de C.V.</v>
          </cell>
          <cell r="C1354" t="str">
            <v>-</v>
          </cell>
          <cell r="D1354" t="str">
            <v>Avenida de los 50 metros</v>
          </cell>
          <cell r="E1354" t="str">
            <v>-</v>
          </cell>
          <cell r="F1354">
            <v>381</v>
          </cell>
          <cell r="G1354" t="str">
            <v>Civac</v>
          </cell>
          <cell r="H1354">
            <v>62578</v>
          </cell>
          <cell r="I1354" t="str">
            <v>Jiutepec</v>
          </cell>
          <cell r="J1354" t="str">
            <v>Morelos</v>
          </cell>
          <cell r="K1354" t="str">
            <v>México</v>
          </cell>
        </row>
        <row r="1355">
          <cell r="A1355">
            <v>1358</v>
          </cell>
          <cell r="B1355" t="str">
            <v>FRG Forjas y Maquinados, S.A. de C.V.</v>
          </cell>
          <cell r="C1355" t="str">
            <v>-</v>
          </cell>
          <cell r="D1355" t="str">
            <v xml:space="preserve">Carlos B Zenita </v>
          </cell>
          <cell r="E1355" t="str">
            <v>Int. C</v>
          </cell>
          <cell r="F1355">
            <v>22</v>
          </cell>
          <cell r="G1355" t="str">
            <v xml:space="preserve">Industrial Xalostoc </v>
          </cell>
          <cell r="H1355">
            <v>55348</v>
          </cell>
          <cell r="I1355" t="str">
            <v>Ecatepec</v>
          </cell>
          <cell r="J1355" t="str">
            <v>Estado de México</v>
          </cell>
          <cell r="K1355" t="str">
            <v>México</v>
          </cell>
        </row>
        <row r="1356">
          <cell r="A1356">
            <v>1359</v>
          </cell>
          <cell r="B1356" t="str">
            <v>NGSSOL. S.A. de C.V.</v>
          </cell>
          <cell r="C1356" t="str">
            <v>-</v>
          </cell>
          <cell r="D1356" t="str">
            <v xml:space="preserve">Carretera El Salto   </v>
          </cell>
          <cell r="E1356" t="str">
            <v>-</v>
          </cell>
          <cell r="F1356">
            <v>1208</v>
          </cell>
          <cell r="G1356" t="str">
            <v>La Ermita</v>
          </cell>
          <cell r="H1356">
            <v>45693</v>
          </cell>
          <cell r="I1356" t="str">
            <v>El Salto</v>
          </cell>
          <cell r="J1356" t="str">
            <v>Jalisco</v>
          </cell>
          <cell r="K1356" t="str">
            <v>México</v>
          </cell>
        </row>
        <row r="1357">
          <cell r="A1357">
            <v>1360</v>
          </cell>
          <cell r="B1357" t="str">
            <v>MAN TRUCK &amp; BUS MÉXICO S.A. de C.V.</v>
          </cell>
          <cell r="C1357" t="str">
            <v>-</v>
          </cell>
          <cell r="D1357" t="str">
            <v>Santa Rosa de Viterbo</v>
          </cell>
          <cell r="F1357" t="str">
            <v>Lt. 7 - Mz. 11</v>
          </cell>
          <cell r="G1357" t="str">
            <v>Parque Industrial Finsa</v>
          </cell>
          <cell r="H1357">
            <v>76246</v>
          </cell>
          <cell r="I1357" t="str">
            <v>El Marques</v>
          </cell>
          <cell r="J1357" t="str">
            <v>Queretaro</v>
          </cell>
          <cell r="K1357" t="str">
            <v>México</v>
          </cell>
        </row>
        <row r="1358">
          <cell r="A1358">
            <v>1361</v>
          </cell>
          <cell r="B1358" t="str">
            <v>Zwick Centro América, S.A. de C.V</v>
          </cell>
          <cell r="C1358" t="str">
            <v>-</v>
          </cell>
          <cell r="D1358" t="str">
            <v>Av. Santa Fe</v>
          </cell>
          <cell r="E1358" t="str">
            <v>-</v>
          </cell>
          <cell r="F1358">
            <v>170</v>
          </cell>
          <cell r="G1358" t="str">
            <v>Lomas de Santa Fe</v>
          </cell>
          <cell r="H1358" t="str">
            <v>01210</v>
          </cell>
          <cell r="I1358" t="str">
            <v>-</v>
          </cell>
          <cell r="J1358" t="str">
            <v>Ciudad de México</v>
          </cell>
          <cell r="K1358" t="str">
            <v>México</v>
          </cell>
        </row>
        <row r="1359">
          <cell r="A1359">
            <v>1362</v>
          </cell>
          <cell r="B1359" t="str">
            <v>EQUIPO AUTOMOTRIZ AMERICANA S.A. de C.V.</v>
          </cell>
          <cell r="C1359" t="str">
            <v>-</v>
          </cell>
          <cell r="D1359" t="str">
            <v xml:space="preserve">Libramiento Carlos Salinas de Gortari </v>
          </cell>
          <cell r="E1359" t="str">
            <v>Int. B</v>
          </cell>
          <cell r="F1359" t="str">
            <v>198 Norte</v>
          </cell>
          <cell r="G1359" t="str">
            <v xml:space="preserve">Aviacion, </v>
          </cell>
          <cell r="H1359">
            <v>25618</v>
          </cell>
          <cell r="I1359" t="str">
            <v>Frontera</v>
          </cell>
          <cell r="J1359" t="str">
            <v>Coahuila</v>
          </cell>
          <cell r="K1359" t="str">
            <v>México</v>
          </cell>
        </row>
        <row r="1360">
          <cell r="A1360">
            <v>1363</v>
          </cell>
          <cell r="B1360" t="str">
            <v>NSK BEARINGS MANUFACTURING, MEXICO S.A. de C.V.</v>
          </cell>
          <cell r="C1360" t="str">
            <v>-</v>
          </cell>
          <cell r="D1360" t="str">
            <v xml:space="preserve">Circuito Mexiamora Oriente </v>
          </cell>
          <cell r="E1360" t="str">
            <v>-</v>
          </cell>
          <cell r="F1360">
            <v>331</v>
          </cell>
          <cell r="G1360" t="str">
            <v>Parque Industrial Santa Fe V., Puerto Interior</v>
          </cell>
          <cell r="H1360">
            <v>36275</v>
          </cell>
          <cell r="I1360" t="str">
            <v>Silao</v>
          </cell>
          <cell r="J1360" t="str">
            <v>Guanajuato</v>
          </cell>
          <cell r="K1360" t="str">
            <v>México</v>
          </cell>
        </row>
        <row r="1361">
          <cell r="A1361">
            <v>1364</v>
          </cell>
          <cell r="B1361" t="str">
            <v>Silgan Dispensing Systems S.A. de C.V.</v>
          </cell>
          <cell r="C1361" t="str">
            <v>-</v>
          </cell>
          <cell r="D1361" t="str">
            <v xml:space="preserve">Circuito Exportación </v>
          </cell>
          <cell r="E1361" t="str">
            <v>-</v>
          </cell>
          <cell r="F1361">
            <v>371</v>
          </cell>
          <cell r="G1361" t="str">
            <v>Parque Industrial Tres Naciones</v>
          </cell>
          <cell r="H1361">
            <v>78395</v>
          </cell>
          <cell r="I1361" t="str">
            <v>San Luis Potosi</v>
          </cell>
          <cell r="J1361" t="str">
            <v>San Luis Potosi</v>
          </cell>
          <cell r="K1361" t="str">
            <v>México</v>
          </cell>
        </row>
        <row r="1362">
          <cell r="A1362">
            <v>1365</v>
          </cell>
          <cell r="B1362" t="str">
            <v>KEIHIN DE MÉXICO S.A. de C.V.</v>
          </cell>
          <cell r="C1362" t="str">
            <v>-</v>
          </cell>
          <cell r="D1362" t="str">
            <v xml:space="preserve">Avenida Santiago Poniente </v>
          </cell>
          <cell r="E1362" t="str">
            <v>Lote 1</v>
          </cell>
          <cell r="F1362" t="str">
            <v>200 - Mz 05</v>
          </cell>
          <cell r="G1362" t="str">
            <v>Cuidad Satelite</v>
          </cell>
          <cell r="H1362">
            <v>78423</v>
          </cell>
          <cell r="I1362" t="str">
            <v>San Luis Potosi</v>
          </cell>
          <cell r="J1362" t="str">
            <v>San Luis Potosi</v>
          </cell>
          <cell r="K1362" t="str">
            <v>México</v>
          </cell>
        </row>
        <row r="1363">
          <cell r="A1363">
            <v>1366</v>
          </cell>
          <cell r="B1363" t="str">
            <v>RODAR INJECTION S.A. de C.V.</v>
          </cell>
          <cell r="C1363" t="str">
            <v>-</v>
          </cell>
          <cell r="D1363" t="str">
            <v>Carretera Queretaro-San Luis Potosi,  km. 24</v>
          </cell>
          <cell r="E1363" t="str">
            <v>-</v>
          </cell>
          <cell r="F1363" t="str">
            <v>41-46</v>
          </cell>
          <cell r="G1363" t="str">
            <v>Parque Industrial La Presa Business Park</v>
          </cell>
          <cell r="H1363">
            <v>76220</v>
          </cell>
          <cell r="I1363" t="str">
            <v>Queretaro</v>
          </cell>
          <cell r="J1363" t="str">
            <v>Queretaro</v>
          </cell>
          <cell r="K1363" t="str">
            <v>México</v>
          </cell>
        </row>
        <row r="1364">
          <cell r="A1364">
            <v>1367</v>
          </cell>
          <cell r="B1364" t="str">
            <v>OECHSLER MÉXICO S.A. de C.V.</v>
          </cell>
          <cell r="C1364" t="str">
            <v>-</v>
          </cell>
          <cell r="D1364" t="str">
            <v>Lateral de la Carretera 431 km 2+200</v>
          </cell>
          <cell r="E1364" t="str">
            <v>-</v>
          </cell>
          <cell r="F1364" t="str">
            <v>Int. 58</v>
          </cell>
          <cell r="G1364" t="str">
            <v>PTIQ</v>
          </cell>
          <cell r="H1364">
            <v>76246</v>
          </cell>
          <cell r="I1364" t="str">
            <v>El Marques</v>
          </cell>
          <cell r="J1364" t="str">
            <v>Queretaro</v>
          </cell>
          <cell r="K1364" t="str">
            <v>México</v>
          </cell>
        </row>
        <row r="1365">
          <cell r="A1365">
            <v>1368</v>
          </cell>
          <cell r="B1365" t="str">
            <v>Tempel de México, S. de R.L. de C.V.</v>
          </cell>
          <cell r="C1365" t="str">
            <v>-</v>
          </cell>
          <cell r="D1365" t="str">
            <v>Andres Guajardo</v>
          </cell>
          <cell r="E1365" t="str">
            <v>-</v>
          </cell>
          <cell r="F1365">
            <v>315</v>
          </cell>
          <cell r="G1365" t="str">
            <v>Parque Industrial Apodaca</v>
          </cell>
          <cell r="H1365" t="str">
            <v>-</v>
          </cell>
          <cell r="I1365" t="str">
            <v xml:space="preserve">Apodaca  </v>
          </cell>
          <cell r="J1365" t="str">
            <v>Nuevo Leon</v>
          </cell>
          <cell r="K1365" t="str">
            <v>México</v>
          </cell>
        </row>
        <row r="1366">
          <cell r="A1366">
            <v>1369</v>
          </cell>
          <cell r="B1366" t="str">
            <v>Magna Assembly Systems de México</v>
          </cell>
          <cell r="C1366" t="str">
            <v>-</v>
          </cell>
          <cell r="D1366" t="str">
            <v>Avenida México Japon, Entre Vías del Tren y Gloerieta</v>
          </cell>
          <cell r="E1366" t="str">
            <v>-</v>
          </cell>
          <cell r="F1366">
            <v>400</v>
          </cell>
          <cell r="G1366" t="str">
            <v>-</v>
          </cell>
          <cell r="H1366">
            <v>38010</v>
          </cell>
          <cell r="I1366" t="str">
            <v>Celaya</v>
          </cell>
          <cell r="J1366" t="str">
            <v>Guanajuato</v>
          </cell>
          <cell r="K1366" t="str">
            <v>México</v>
          </cell>
        </row>
        <row r="1367">
          <cell r="A1367">
            <v>1370</v>
          </cell>
          <cell r="B1367" t="str">
            <v>PREMEZCLADOS CONCRECO, S.A. de C.V.</v>
          </cell>
          <cell r="C1367" t="str">
            <v>-</v>
          </cell>
          <cell r="D1367" t="str">
            <v xml:space="preserve">Boulevard Jose Maria Morelos </v>
          </cell>
          <cell r="E1367" t="str">
            <v>-</v>
          </cell>
          <cell r="F1367">
            <v>2735</v>
          </cell>
          <cell r="G1367" t="str">
            <v>Maravillas</v>
          </cell>
          <cell r="H1367">
            <v>37238</v>
          </cell>
          <cell r="I1367" t="str">
            <v>Leon</v>
          </cell>
          <cell r="J1367" t="str">
            <v>Guanajuato</v>
          </cell>
          <cell r="K1367" t="str">
            <v>México</v>
          </cell>
        </row>
        <row r="1368">
          <cell r="A1368">
            <v>1371</v>
          </cell>
          <cell r="B1368" t="str">
            <v>GS&amp;S</v>
          </cell>
          <cell r="C1368" t="str">
            <v>-</v>
          </cell>
          <cell r="D1368" t="str">
            <v>Complejo Silao-Planta Transmis Carretera de Cuota -Gto KM 3.8</v>
          </cell>
          <cell r="E1368" t="str">
            <v>-</v>
          </cell>
          <cell r="F1368" t="str">
            <v>-</v>
          </cell>
          <cell r="G1368" t="str">
            <v>-</v>
          </cell>
          <cell r="H1368">
            <v>36100</v>
          </cell>
          <cell r="I1368" t="str">
            <v>Silao</v>
          </cell>
          <cell r="J1368" t="str">
            <v>Guanajuato</v>
          </cell>
          <cell r="K1368" t="str">
            <v>México</v>
          </cell>
        </row>
        <row r="1369">
          <cell r="A1369">
            <v>1372</v>
          </cell>
          <cell r="B1369" t="str">
            <v>Mondragon Assembly, S.A. de C.V.</v>
          </cell>
          <cell r="C1369" t="str">
            <v>-</v>
          </cell>
          <cell r="D1369" t="str">
            <v>Carretera Estatal 431, Km 2+200</v>
          </cell>
          <cell r="E1369" t="str">
            <v>-</v>
          </cell>
          <cell r="F1369" t="str">
            <v>Lote 45</v>
          </cell>
          <cell r="G1369" t="str">
            <v>Parque Tecnologico Innovacion Queretaro</v>
          </cell>
          <cell r="H1369">
            <v>76246</v>
          </cell>
          <cell r="I1369" t="str">
            <v>El Marqués</v>
          </cell>
          <cell r="J1369" t="str">
            <v>Querétaro</v>
          </cell>
          <cell r="K1369" t="str">
            <v>México</v>
          </cell>
        </row>
        <row r="1370">
          <cell r="A1370">
            <v>1373</v>
          </cell>
          <cell r="B1370" t="str">
            <v>COFLEX S.A. de C.V.</v>
          </cell>
          <cell r="C1370" t="str">
            <v>-</v>
          </cell>
          <cell r="D1370" t="str">
            <v xml:space="preserve">Av. Juan Rulfo </v>
          </cell>
          <cell r="E1370" t="str">
            <v>-</v>
          </cell>
          <cell r="F1370">
            <v>1040</v>
          </cell>
          <cell r="G1370" t="str">
            <v>Lomas de Santa Catarina</v>
          </cell>
          <cell r="H1370">
            <v>66359</v>
          </cell>
          <cell r="I1370" t="str">
            <v>Santa Catarina</v>
          </cell>
          <cell r="J1370" t="str">
            <v>Nuevo Leon</v>
          </cell>
          <cell r="K1370" t="str">
            <v>México</v>
          </cell>
        </row>
        <row r="1371">
          <cell r="A1371">
            <v>1374</v>
          </cell>
          <cell r="B1371" t="str">
            <v>DEACERO S.A.P.I. de CV</v>
          </cell>
          <cell r="C1371" t="str">
            <v>-</v>
          </cell>
          <cell r="D1371" t="str">
            <v>Oriente Cuatro</v>
          </cell>
          <cell r="E1371" t="str">
            <v>-</v>
          </cell>
          <cell r="F1371">
            <v>1565</v>
          </cell>
          <cell r="G1371" t="str">
            <v xml:space="preserve">3ra Etapa, Ciudad Industrial </v>
          </cell>
          <cell r="H1371">
            <v>58200</v>
          </cell>
          <cell r="I1371" t="str">
            <v>Morelia</v>
          </cell>
          <cell r="J1371" t="str">
            <v>Michoacan</v>
          </cell>
          <cell r="K1371" t="str">
            <v>México</v>
          </cell>
        </row>
        <row r="1372">
          <cell r="A1372">
            <v>1375</v>
          </cell>
          <cell r="B1372" t="str">
            <v>GG CABLES AND WIRES MEXICO, S. de R.L. de C.V.</v>
          </cell>
          <cell r="C1372" t="str">
            <v>-</v>
          </cell>
          <cell r="D1372" t="str">
            <v>Totonacas</v>
          </cell>
          <cell r="E1372" t="str">
            <v>-</v>
          </cell>
          <cell r="F1372">
            <v>7</v>
          </cell>
          <cell r="G1372" t="str">
            <v>Parque Industrial Nuevo San Juan</v>
          </cell>
          <cell r="H1372">
            <v>76806</v>
          </cell>
          <cell r="I1372" t="str">
            <v>San Juan del Río</v>
          </cell>
          <cell r="J1372" t="str">
            <v>Querétaro</v>
          </cell>
          <cell r="K1372" t="str">
            <v>México</v>
          </cell>
        </row>
        <row r="1373">
          <cell r="A1373">
            <v>1376</v>
          </cell>
          <cell r="B1373" t="str">
            <v>K.C.U. México S.A. de C.V.</v>
          </cell>
          <cell r="C1373" t="str">
            <v>-</v>
          </cell>
          <cell r="D1373" t="str">
            <v>Avenida Hércules - Macrolote Kanban</v>
          </cell>
          <cell r="E1373" t="str">
            <v>21-24</v>
          </cell>
          <cell r="F1373">
            <v>301</v>
          </cell>
          <cell r="G1373" t="str">
            <v>Santa Rosa Jauregui</v>
          </cell>
          <cell r="H1373">
            <v>76220</v>
          </cell>
          <cell r="I1373" t="str">
            <v>Querétaro</v>
          </cell>
          <cell r="J1373" t="str">
            <v>Querétaro</v>
          </cell>
          <cell r="K1373" t="str">
            <v>México</v>
          </cell>
        </row>
        <row r="1374">
          <cell r="A1374">
            <v>1377</v>
          </cell>
          <cell r="B1374" t="str">
            <v>Logistics Services &amp; Solutions de México S.A. de C.V.</v>
          </cell>
          <cell r="C1374" t="str">
            <v>-</v>
          </cell>
          <cell r="D1374" t="str">
            <v>Av. Carranza</v>
          </cell>
          <cell r="E1374" t="str">
            <v>Piso 3 "B"</v>
          </cell>
          <cell r="F1374" t="str">
            <v>870-1</v>
          </cell>
          <cell r="G1374" t="str">
            <v>Moderna</v>
          </cell>
          <cell r="H1374" t="str">
            <v>-</v>
          </cell>
          <cell r="I1374" t="str">
            <v>San Luis Potosi</v>
          </cell>
          <cell r="J1374" t="str">
            <v>San Luis Potosi</v>
          </cell>
          <cell r="K1374" t="str">
            <v>México</v>
          </cell>
        </row>
        <row r="1375">
          <cell r="A1375">
            <v>1378</v>
          </cell>
          <cell r="B1375" t="str">
            <v>AAM MAQUILADORA MEXICO S. de R.L. de C.V.</v>
          </cell>
          <cell r="C1375" t="str">
            <v>-</v>
          </cell>
          <cell r="D1375" t="str">
            <v>Av. Comerciantes, km 5.3</v>
          </cell>
          <cell r="E1375" t="str">
            <v>-</v>
          </cell>
          <cell r="F1375">
            <v>1300</v>
          </cell>
          <cell r="G1375" t="str">
            <v>Parque Industrial Fipasi</v>
          </cell>
          <cell r="H1375">
            <v>36100</v>
          </cell>
          <cell r="I1375" t="str">
            <v>Silao</v>
          </cell>
          <cell r="J1375" t="str">
            <v>Guanajuato</v>
          </cell>
          <cell r="K1375" t="str">
            <v>México</v>
          </cell>
        </row>
        <row r="1376">
          <cell r="A1376">
            <v>1379</v>
          </cell>
          <cell r="B1376" t="str">
            <v>TY OPTICS MEXICO S.A. de C.V.</v>
          </cell>
          <cell r="C1376" t="str">
            <v>-</v>
          </cell>
          <cell r="D1376" t="str">
            <v>Av. Santiago Poniente</v>
          </cell>
          <cell r="E1376" t="str">
            <v>-</v>
          </cell>
          <cell r="F1376" t="str">
            <v>123-A</v>
          </cell>
          <cell r="G1376" t="str">
            <v>Ciudad Satélite Zona Industrial,</v>
          </cell>
          <cell r="H1376">
            <v>78421</v>
          </cell>
          <cell r="I1376" t="str">
            <v>Villa de Pozos</v>
          </cell>
          <cell r="J1376" t="str">
            <v>San Luis Potosí,</v>
          </cell>
          <cell r="K1376" t="str">
            <v>México</v>
          </cell>
        </row>
        <row r="1377">
          <cell r="A1377">
            <v>1380</v>
          </cell>
          <cell r="B1377" t="str">
            <v>MCCORD PAYEN DE MÉXICO, S. de R. L. de C. V.</v>
          </cell>
          <cell r="C1377" t="str">
            <v>-</v>
          </cell>
          <cell r="D1377" t="str">
            <v>Calle No. 2</v>
          </cell>
          <cell r="E1377" t="str">
            <v>-</v>
          </cell>
          <cell r="F1377">
            <v>47</v>
          </cell>
          <cell r="G1377" t="str">
            <v>San Esteban Poniente</v>
          </cell>
          <cell r="H1377">
            <v>53560</v>
          </cell>
          <cell r="I1377" t="str">
            <v>Naucalpan</v>
          </cell>
          <cell r="J1377" t="str">
            <v>Estado de México</v>
          </cell>
          <cell r="K1377" t="str">
            <v>México</v>
          </cell>
        </row>
        <row r="1378">
          <cell r="A1378">
            <v>1381</v>
          </cell>
          <cell r="B1378" t="str">
            <v>Brose Querétaro S.A. de C.V.</v>
          </cell>
          <cell r="C1378" t="str">
            <v>-</v>
          </cell>
          <cell r="D1378" t="str">
            <v>Max Brose</v>
          </cell>
          <cell r="E1378" t="str">
            <v>-</v>
          </cell>
          <cell r="F1378">
            <v>1</v>
          </cell>
          <cell r="G1378" t="str">
            <v>Parque Industrial Aerotech</v>
          </cell>
          <cell r="H1378">
            <v>76295</v>
          </cell>
          <cell r="I1378" t="str">
            <v>Colon</v>
          </cell>
          <cell r="J1378" t="str">
            <v>Querétaro</v>
          </cell>
          <cell r="K1378" t="str">
            <v>México</v>
          </cell>
        </row>
        <row r="1379">
          <cell r="A1379">
            <v>1382</v>
          </cell>
          <cell r="B1379" t="str">
            <v>Manroland Latina, S.A. De C.V.</v>
          </cell>
          <cell r="C1379" t="str">
            <v>-</v>
          </cell>
          <cell r="D1379" t="str">
            <v xml:space="preserve">Av. Río San Joaquín </v>
          </cell>
          <cell r="E1379" t="str">
            <v>-</v>
          </cell>
          <cell r="F1379">
            <v>6107</v>
          </cell>
          <cell r="G1379" t="str">
            <v>Popo</v>
          </cell>
          <cell r="H1379">
            <v>11480</v>
          </cell>
          <cell r="I1379" t="str">
            <v>Ciudad de México</v>
          </cell>
          <cell r="J1379" t="str">
            <v>CDMX</v>
          </cell>
          <cell r="K1379" t="str">
            <v>México</v>
          </cell>
        </row>
        <row r="1380">
          <cell r="A1380">
            <v>1383</v>
          </cell>
          <cell r="B1380" t="str">
            <v>THOMAS TONTEC DE MÉXICO, S.A. de C.V.</v>
          </cell>
          <cell r="C1380" t="str">
            <v>-</v>
          </cell>
          <cell r="D1380" t="str">
            <v>Acceso 3</v>
          </cell>
          <cell r="E1380" t="str">
            <v>-</v>
          </cell>
          <cell r="F1380">
            <v>96</v>
          </cell>
          <cell r="G1380" t="str">
            <v>Parque Industrial Benito Juarez</v>
          </cell>
          <cell r="H1380">
            <v>76120</v>
          </cell>
          <cell r="I1380" t="str">
            <v>Querétaro</v>
          </cell>
          <cell r="J1380" t="str">
            <v>Querétaro</v>
          </cell>
          <cell r="K1380" t="str">
            <v>México</v>
          </cell>
        </row>
        <row r="1381">
          <cell r="A1381">
            <v>1384</v>
          </cell>
          <cell r="B1381" t="str">
            <v>POLIURETANOS Y PLASTICOS REFORZADOS S.A. de C.V.</v>
          </cell>
          <cell r="C1381" t="str">
            <v>-</v>
          </cell>
          <cell r="D1381" t="str">
            <v>Felipe Ángeles</v>
          </cell>
          <cell r="E1381" t="str">
            <v>-</v>
          </cell>
          <cell r="F1381">
            <v>26</v>
          </cell>
          <cell r="G1381" t="str">
            <v>Peña Colorada</v>
          </cell>
          <cell r="H1381">
            <v>76246</v>
          </cell>
          <cell r="I1381" t="str">
            <v>El Marques</v>
          </cell>
          <cell r="J1381" t="str">
            <v>Querétaro</v>
          </cell>
          <cell r="K1381" t="str">
            <v>México</v>
          </cell>
        </row>
        <row r="1382">
          <cell r="A1382">
            <v>1385</v>
          </cell>
          <cell r="B1382" t="str">
            <v>Carcoustics Industrial de México</v>
          </cell>
          <cell r="C1382" t="str">
            <v>-</v>
          </cell>
          <cell r="D1382" t="str">
            <v xml:space="preserve">Circuito Corral de piedras </v>
          </cell>
          <cell r="E1382" t="str">
            <v>-</v>
          </cell>
          <cell r="F1382">
            <v>56</v>
          </cell>
          <cell r="G1382" t="str">
            <v>Poligono empresarial San Miguel</v>
          </cell>
          <cell r="H1382">
            <v>37888</v>
          </cell>
          <cell r="I1382" t="str">
            <v>San Miguel de Allende</v>
          </cell>
          <cell r="J1382" t="str">
            <v>Guanajuato</v>
          </cell>
          <cell r="K1382" t="str">
            <v>México</v>
          </cell>
        </row>
        <row r="1383">
          <cell r="A1383">
            <v>1386</v>
          </cell>
          <cell r="B1383" t="str">
            <v>MCS Metrology S. de R. L. de C. V.</v>
          </cell>
          <cell r="C1383" t="str">
            <v>-</v>
          </cell>
          <cell r="D1383" t="str">
            <v xml:space="preserve">Blvd. Venustiano Carranza </v>
          </cell>
          <cell r="E1383" t="str">
            <v>-</v>
          </cell>
          <cell r="F1383">
            <v>2394</v>
          </cell>
          <cell r="G1383" t="str">
            <v>Jardin</v>
          </cell>
          <cell r="H1383">
            <v>25240</v>
          </cell>
          <cell r="I1383" t="str">
            <v xml:space="preserve">Saltillo </v>
          </cell>
          <cell r="J1383" t="str">
            <v>Coahuila</v>
          </cell>
          <cell r="K1383" t="str">
            <v>México</v>
          </cell>
        </row>
        <row r="1384">
          <cell r="A1384">
            <v>1387</v>
          </cell>
          <cell r="B1384" t="str">
            <v>Marposs Aerospoace México S.A. de C.V.</v>
          </cell>
          <cell r="C1384" t="str">
            <v>-</v>
          </cell>
          <cell r="D1384" t="str">
            <v xml:space="preserve">Calle Lluvia </v>
          </cell>
          <cell r="E1384" t="str">
            <v>Int. 11-12</v>
          </cell>
          <cell r="F1384">
            <v>8</v>
          </cell>
          <cell r="G1384" t="str">
            <v>Fraccionamiento Industrial La Noria</v>
          </cell>
          <cell r="H1384">
            <v>76246</v>
          </cell>
          <cell r="I1384" t="str">
            <v>El Marques</v>
          </cell>
          <cell r="J1384" t="str">
            <v>Querétaro</v>
          </cell>
          <cell r="K1384" t="str">
            <v>México</v>
          </cell>
        </row>
        <row r="1385">
          <cell r="A1385">
            <v>1388</v>
          </cell>
          <cell r="B1385" t="str">
            <v>HS Power Spring México S.A. de C.V.</v>
          </cell>
          <cell r="C1385" t="str">
            <v>-</v>
          </cell>
          <cell r="D1385" t="str">
            <v>Circuito Cerezos Sur</v>
          </cell>
          <cell r="E1385" t="str">
            <v>-</v>
          </cell>
          <cell r="F1385">
            <v>106</v>
          </cell>
          <cell r="G1385" t="str">
            <v>Parque Industrial San Fco IV.</v>
          </cell>
          <cell r="H1385">
            <v>20355</v>
          </cell>
          <cell r="I1385" t="str">
            <v>San Francisco de los Romo</v>
          </cell>
          <cell r="J1385" t="str">
            <v>Aguascalientes</v>
          </cell>
          <cell r="K1385" t="str">
            <v>México</v>
          </cell>
        </row>
        <row r="1386">
          <cell r="A1386">
            <v>1389</v>
          </cell>
          <cell r="B1386" t="str">
            <v>Juliane Concepcion Espinosa Tovilla</v>
          </cell>
          <cell r="C1386" t="str">
            <v>-</v>
          </cell>
          <cell r="D1386" t="str">
            <v>Pedro Urtiaga</v>
          </cell>
          <cell r="E1386">
            <v>78</v>
          </cell>
          <cell r="F1386">
            <v>77</v>
          </cell>
          <cell r="G1386" t="str">
            <v>El Pueblito</v>
          </cell>
          <cell r="H1386">
            <v>76900</v>
          </cell>
          <cell r="I1386" t="str">
            <v>Corregidora</v>
          </cell>
          <cell r="J1386" t="str">
            <v>Querétaro</v>
          </cell>
          <cell r="K1386" t="str">
            <v>México</v>
          </cell>
        </row>
        <row r="1387">
          <cell r="A1387">
            <v>1390</v>
          </cell>
          <cell r="B1387" t="str">
            <v>Yokohama Industries Americas Inc.</v>
          </cell>
          <cell r="C1387" t="str">
            <v>-</v>
          </cell>
          <cell r="D1387" t="str">
            <v xml:space="preserve">circuito Cerezos Oriente </v>
          </cell>
          <cell r="E1387" t="str">
            <v>-</v>
          </cell>
          <cell r="F1387">
            <v>101</v>
          </cell>
          <cell r="G1387" t="str">
            <v>Parque Industrial San Francisco IV</v>
          </cell>
          <cell r="H1387">
            <v>20355</v>
          </cell>
          <cell r="I1387" t="str">
            <v>San Francisco de los Romo</v>
          </cell>
          <cell r="J1387" t="str">
            <v>Aguascalientes</v>
          </cell>
          <cell r="K1387" t="str">
            <v>México</v>
          </cell>
        </row>
        <row r="1388">
          <cell r="A1388">
            <v>1391</v>
          </cell>
          <cell r="B1388" t="str">
            <v>Industrias Rheem S.A. de C.V.</v>
          </cell>
          <cell r="C1388" t="str">
            <v>-</v>
          </cell>
          <cell r="D1388" t="str">
            <v xml:space="preserve">Avenida Los dos Laredos </v>
          </cell>
          <cell r="E1388" t="str">
            <v>-</v>
          </cell>
          <cell r="F1388">
            <v>7</v>
          </cell>
          <cell r="G1388" t="str">
            <v>-</v>
          </cell>
          <cell r="H1388">
            <v>88185</v>
          </cell>
          <cell r="I1388" t="str">
            <v>Nuevo Laredo</v>
          </cell>
          <cell r="J1388" t="str">
            <v>Tamaulipas,</v>
          </cell>
          <cell r="K1388" t="str">
            <v>México</v>
          </cell>
        </row>
        <row r="1389">
          <cell r="A1389">
            <v>1392</v>
          </cell>
          <cell r="B1389" t="str">
            <v>TREPS QUERETARO S.A. de C.V.</v>
          </cell>
          <cell r="C1389" t="str">
            <v>-</v>
          </cell>
          <cell r="D1389" t="str">
            <v>Calle 1</v>
          </cell>
          <cell r="E1389" t="str">
            <v>Nave 6</v>
          </cell>
          <cell r="F1389">
            <v>210</v>
          </cell>
          <cell r="G1389" t="str">
            <v>Zona Industrial Jurica</v>
          </cell>
          <cell r="H1389">
            <v>76120</v>
          </cell>
          <cell r="I1389" t="str">
            <v>Querétaro</v>
          </cell>
          <cell r="J1389" t="str">
            <v>Querétaro</v>
          </cell>
          <cell r="K1389" t="str">
            <v>México</v>
          </cell>
        </row>
        <row r="1390">
          <cell r="A1390">
            <v>1393</v>
          </cell>
          <cell r="B1390" t="str">
            <v>Robert Bosch México Sistemas Automotrices, S.A. DE C.V.</v>
          </cell>
          <cell r="C1390" t="str">
            <v>-</v>
          </cell>
          <cell r="D1390" t="str">
            <v xml:space="preserve">Eje Sahop </v>
          </cell>
          <cell r="E1390" t="str">
            <v>-</v>
          </cell>
          <cell r="F1390">
            <v>245</v>
          </cell>
          <cell r="G1390" t="str">
            <v>Zona Industrial San Luis Potosi</v>
          </cell>
          <cell r="H1390">
            <v>78395</v>
          </cell>
          <cell r="I1390" t="str">
            <v>San Luis Potosi</v>
          </cell>
          <cell r="J1390" t="str">
            <v>San Luis Potosi</v>
          </cell>
          <cell r="K1390" t="str">
            <v>México</v>
          </cell>
        </row>
        <row r="1391">
          <cell r="A1391">
            <v>1394</v>
          </cell>
          <cell r="B1391" t="str">
            <v>Sandhar Technologies S.A. de C.V.</v>
          </cell>
          <cell r="C1391" t="str">
            <v>-</v>
          </cell>
          <cell r="D1391" t="str">
            <v>Av. Torre Centro Insurgentes</v>
          </cell>
          <cell r="E1391" t="str">
            <v>-</v>
          </cell>
          <cell r="F1391" t="str">
            <v>-</v>
          </cell>
          <cell r="G1391" t="str">
            <v xml:space="preserve">Parque Industrial Opción </v>
          </cell>
          <cell r="H1391">
            <v>37980</v>
          </cell>
          <cell r="I1391" t="str">
            <v>San Jose Iturbide</v>
          </cell>
          <cell r="J1391" t="str">
            <v>Guanajuato</v>
          </cell>
          <cell r="K1391" t="str">
            <v>México</v>
          </cell>
        </row>
        <row r="1392">
          <cell r="A1392">
            <v>1395</v>
          </cell>
          <cell r="B1392" t="str">
            <v>AUMA TEC, S.A. de C.V. (Queretaro)</v>
          </cell>
          <cell r="C1392" t="str">
            <v>ATE961218AA3</v>
          </cell>
          <cell r="D1392" t="str">
            <v xml:space="preserve">Calle 12 </v>
          </cell>
          <cell r="E1392" t="str">
            <v>-</v>
          </cell>
          <cell r="F1392">
            <v>35</v>
          </cell>
          <cell r="G1392" t="str">
            <v>Fraccionamiento Industrial Benito Juarez</v>
          </cell>
          <cell r="H1392">
            <v>76120</v>
          </cell>
          <cell r="I1392" t="str">
            <v>Querétaro</v>
          </cell>
          <cell r="J1392" t="str">
            <v>Querétaro</v>
          </cell>
          <cell r="K1392" t="str">
            <v>México</v>
          </cell>
        </row>
        <row r="1393">
          <cell r="A1393">
            <v>1396</v>
          </cell>
          <cell r="B1393" t="str">
            <v>IMC, Ingenieria en Maquinados del Centro, S.A. de C.V.</v>
          </cell>
          <cell r="C1393" t="str">
            <v>-</v>
          </cell>
          <cell r="D1393" t="str">
            <v>Blv. Las Mercedes</v>
          </cell>
          <cell r="E1393" t="str">
            <v>-</v>
          </cell>
          <cell r="F1393">
            <v>237</v>
          </cell>
          <cell r="G1393" t="str">
            <v>Las Mercedes 1ra. Sección</v>
          </cell>
          <cell r="H1393" t="str">
            <v>-</v>
          </cell>
          <cell r="I1393" t="str">
            <v>San Luis Potosi</v>
          </cell>
          <cell r="J1393" t="str">
            <v>San Luis Potosi</v>
          </cell>
          <cell r="K1393" t="str">
            <v>México</v>
          </cell>
        </row>
        <row r="1394">
          <cell r="A1394">
            <v>1397</v>
          </cell>
          <cell r="B1394" t="str">
            <v>Enrique Leal Lizarraga</v>
          </cell>
          <cell r="C1394" t="str">
            <v>-</v>
          </cell>
          <cell r="D1394" t="str">
            <v>Salvador Moreno</v>
          </cell>
          <cell r="E1394" t="str">
            <v>-</v>
          </cell>
          <cell r="F1394">
            <v>36</v>
          </cell>
          <cell r="G1394" t="str">
            <v>Reforma Agraria</v>
          </cell>
          <cell r="H1394">
            <v>76086</v>
          </cell>
          <cell r="I1394" t="str">
            <v>Querétaro</v>
          </cell>
          <cell r="J1394" t="str">
            <v>Querétaro</v>
          </cell>
          <cell r="K1394" t="str">
            <v>México</v>
          </cell>
        </row>
        <row r="1395">
          <cell r="A1395">
            <v>1398</v>
          </cell>
          <cell r="B1395" t="str">
            <v>Maquinados y Maquilas Especiales, S.A. de C.V.</v>
          </cell>
          <cell r="C1395" t="str">
            <v>-</v>
          </cell>
          <cell r="D1395" t="str">
            <v>Av. Norte 11</v>
          </cell>
          <cell r="E1395" t="str">
            <v>-</v>
          </cell>
          <cell r="F1395">
            <v>1131</v>
          </cell>
          <cell r="G1395" t="str">
            <v>Ciudad Industrial Celaya</v>
          </cell>
          <cell r="H1395">
            <v>38010</v>
          </cell>
          <cell r="I1395" t="str">
            <v>Celaya</v>
          </cell>
          <cell r="J1395" t="str">
            <v>Guanajuato</v>
          </cell>
          <cell r="K1395" t="str">
            <v>México</v>
          </cell>
        </row>
        <row r="1396">
          <cell r="A1396">
            <v>1399</v>
          </cell>
          <cell r="B1396" t="str">
            <v>Lisi Aerospace Forged Integrated Solutions</v>
          </cell>
          <cell r="C1396" t="str">
            <v>-</v>
          </cell>
          <cell r="D1396" t="str">
            <v>Av. Oscar Wilde</v>
          </cell>
          <cell r="E1396" t="str">
            <v>-</v>
          </cell>
          <cell r="F1396">
            <v>11390</v>
          </cell>
          <cell r="G1396" t="str">
            <v>Complejo Industrial Norte</v>
          </cell>
          <cell r="H1396">
            <v>31136</v>
          </cell>
          <cell r="I1396" t="str">
            <v>Chihuahua</v>
          </cell>
          <cell r="J1396" t="str">
            <v>Chihuahua</v>
          </cell>
          <cell r="K1396" t="str">
            <v>México</v>
          </cell>
        </row>
        <row r="1397">
          <cell r="A1397">
            <v>1400</v>
          </cell>
          <cell r="B1397" t="str">
            <v>Maquinados Especializados Rusave S.A. de C.V.</v>
          </cell>
          <cell r="C1397" t="str">
            <v>-</v>
          </cell>
          <cell r="D1397" t="str">
            <v xml:space="preserve">Carlos B. Zetina </v>
          </cell>
          <cell r="E1397" t="str">
            <v>-</v>
          </cell>
          <cell r="F1397">
            <v>22</v>
          </cell>
          <cell r="G1397" t="str">
            <v xml:space="preserve">Industrial Xalostoc </v>
          </cell>
          <cell r="H1397">
            <v>55348</v>
          </cell>
          <cell r="I1397" t="str">
            <v>Ecatepec</v>
          </cell>
          <cell r="J1397" t="str">
            <v>Estado de México</v>
          </cell>
          <cell r="K1397" t="str">
            <v>México</v>
          </cell>
        </row>
        <row r="1398">
          <cell r="A1398">
            <v>1401</v>
          </cell>
          <cell r="B1398" t="str">
            <v>K Tech Industrial México, S.A. de C.V.</v>
          </cell>
          <cell r="C1398" t="str">
            <v>-</v>
          </cell>
          <cell r="D1398" t="str">
            <v xml:space="preserve">Av. Libre Comercio </v>
          </cell>
          <cell r="E1398" t="str">
            <v>-</v>
          </cell>
          <cell r="F1398">
            <v>138</v>
          </cell>
          <cell r="G1398" t="str">
            <v>Parque Industrial Santa Fe III, Puerto Interior</v>
          </cell>
          <cell r="H1398">
            <v>36275</v>
          </cell>
          <cell r="I1398" t="str">
            <v>Silao</v>
          </cell>
          <cell r="J1398" t="str">
            <v>Guanajuato</v>
          </cell>
          <cell r="K1398" t="str">
            <v>México</v>
          </cell>
        </row>
        <row r="1399">
          <cell r="A1399">
            <v>1402</v>
          </cell>
          <cell r="B1399" t="str">
            <v>Laboratorio y Control de Calidad de Monterrey S.A. de C.V.</v>
          </cell>
          <cell r="C1399" t="str">
            <v>-</v>
          </cell>
          <cell r="D1399" t="str">
            <v>Felix U. Gómez</v>
          </cell>
          <cell r="E1399" t="str">
            <v>-</v>
          </cell>
          <cell r="F1399" t="str">
            <v>-</v>
          </cell>
          <cell r="G1399" t="str">
            <v>Moderna</v>
          </cell>
          <cell r="H1399">
            <v>2770</v>
          </cell>
          <cell r="I1399" t="str">
            <v>Monterrey</v>
          </cell>
          <cell r="J1399" t="str">
            <v>Nuevo Leon</v>
          </cell>
          <cell r="K1399" t="str">
            <v>México</v>
          </cell>
        </row>
        <row r="1400">
          <cell r="A1400">
            <v>1403</v>
          </cell>
          <cell r="B1400" t="str">
            <v>Industrias Michelin S.A de C.V .</v>
          </cell>
          <cell r="C1400" t="str">
            <v>-</v>
          </cell>
          <cell r="D1400" t="str">
            <v>-</v>
          </cell>
          <cell r="E1400" t="str">
            <v>-</v>
          </cell>
          <cell r="F1400" t="str">
            <v>-</v>
          </cell>
          <cell r="G1400" t="str">
            <v>Parque Industrial Leon-Bajio (PILBA)</v>
          </cell>
          <cell r="H1400" t="str">
            <v>-</v>
          </cell>
          <cell r="I1400" t="str">
            <v>Leon</v>
          </cell>
          <cell r="J1400" t="str">
            <v>Guanajuato</v>
          </cell>
          <cell r="K1400" t="str">
            <v>México</v>
          </cell>
        </row>
        <row r="1401">
          <cell r="A1401">
            <v>1404</v>
          </cell>
          <cell r="B1401" t="str">
            <v>SATA USA INC.</v>
          </cell>
          <cell r="C1401" t="str">
            <v>-</v>
          </cell>
          <cell r="D1401" t="str">
            <v>1910 Anei Circle, Suite B</v>
          </cell>
          <cell r="E1401" t="str">
            <v>-</v>
          </cell>
          <cell r="F1401" t="str">
            <v>-</v>
          </cell>
          <cell r="G1401" t="str">
            <v>-</v>
          </cell>
          <cell r="H1401">
            <v>78521</v>
          </cell>
          <cell r="I1401" t="str">
            <v>Brownsville</v>
          </cell>
          <cell r="J1401" t="str">
            <v>Texas</v>
          </cell>
          <cell r="K1401" t="str">
            <v>USA</v>
          </cell>
        </row>
        <row r="1402">
          <cell r="A1402">
            <v>1405</v>
          </cell>
          <cell r="B1402" t="str">
            <v>Tormex Industrias S.A. de C.V.</v>
          </cell>
          <cell r="C1402" t="str">
            <v>-</v>
          </cell>
          <cell r="D1402" t="str">
            <v xml:space="preserve">Calle San Pablo </v>
          </cell>
          <cell r="E1402" t="str">
            <v>Int-B</v>
          </cell>
          <cell r="F1402">
            <v>100</v>
          </cell>
          <cell r="G1402" t="str">
            <v xml:space="preserve">Desarrollo Industrial Mieleras </v>
          </cell>
          <cell r="H1402">
            <v>27400</v>
          </cell>
          <cell r="I1402" t="str">
            <v>Torreón</v>
          </cell>
          <cell r="J1402" t="str">
            <v>Coahuila</v>
          </cell>
          <cell r="K1402" t="str">
            <v>México</v>
          </cell>
        </row>
        <row r="1403">
          <cell r="A1403">
            <v>1406</v>
          </cell>
          <cell r="B1403" t="str">
            <v>Bertin Garcia Mata (Ingproy)</v>
          </cell>
          <cell r="C1403" t="str">
            <v>-</v>
          </cell>
          <cell r="D1403" t="str">
            <v>Av. Zaragoza</v>
          </cell>
          <cell r="E1403" t="str">
            <v>-</v>
          </cell>
          <cell r="F1403" t="str">
            <v>72-A Oriente</v>
          </cell>
          <cell r="G1403" t="str">
            <v>San Francisquito</v>
          </cell>
          <cell r="H1403">
            <v>76058</v>
          </cell>
          <cell r="I1403" t="str">
            <v>Querétaro</v>
          </cell>
          <cell r="J1403" t="str">
            <v>Querétaro</v>
          </cell>
          <cell r="K1403" t="str">
            <v>México</v>
          </cell>
        </row>
        <row r="1404">
          <cell r="A1404">
            <v>1407</v>
          </cell>
          <cell r="B1404" t="str">
            <v>Tecvamec Internacional S. de R.L. de C.V.</v>
          </cell>
          <cell r="C1404" t="str">
            <v>-</v>
          </cell>
          <cell r="D1404" t="str">
            <v xml:space="preserve">Río Nilo </v>
          </cell>
          <cell r="E1404" t="str">
            <v>-</v>
          </cell>
          <cell r="F1404">
            <v>65</v>
          </cell>
          <cell r="G1404" t="str">
            <v>El Sauz de Villaseñor</v>
          </cell>
          <cell r="H1404">
            <v>38150</v>
          </cell>
          <cell r="I1404" t="str">
            <v>Celaya</v>
          </cell>
          <cell r="J1404" t="str">
            <v>Guanajuato</v>
          </cell>
          <cell r="K1404" t="str">
            <v>México</v>
          </cell>
        </row>
        <row r="1405">
          <cell r="A1405">
            <v>1408</v>
          </cell>
          <cell r="B1405" t="str">
            <v>Century Mold México LLC</v>
          </cell>
          <cell r="C1405" t="str">
            <v>-</v>
          </cell>
          <cell r="D1405" t="str">
            <v>Prol. Circuito El Marques Sur</v>
          </cell>
          <cell r="E1405" t="str">
            <v>-</v>
          </cell>
          <cell r="F1405">
            <v>3</v>
          </cell>
          <cell r="G1405" t="str">
            <v>-</v>
          </cell>
          <cell r="H1405">
            <v>76240</v>
          </cell>
          <cell r="I1405" t="str">
            <v>El Marques</v>
          </cell>
          <cell r="J1405" t="str">
            <v>Querétaro</v>
          </cell>
          <cell r="K1405" t="str">
            <v>México</v>
          </cell>
        </row>
        <row r="1406">
          <cell r="A1406">
            <v>1409</v>
          </cell>
          <cell r="B1406" t="str">
            <v>Qualos Servicio y Asesoría, S.C.</v>
          </cell>
          <cell r="C1406" t="str">
            <v>-</v>
          </cell>
          <cell r="D1406" t="str">
            <v>Venustriano Carranza</v>
          </cell>
          <cell r="E1406" t="str">
            <v>-</v>
          </cell>
          <cell r="F1406">
            <v>116</v>
          </cell>
          <cell r="G1406" t="str">
            <v>Los Pinos</v>
          </cell>
          <cell r="H1406">
            <v>25198</v>
          </cell>
          <cell r="I1406" t="str">
            <v>Saltillo</v>
          </cell>
          <cell r="J1406" t="str">
            <v>Coahuila</v>
          </cell>
          <cell r="K1406" t="str">
            <v>México</v>
          </cell>
        </row>
        <row r="1407">
          <cell r="A1407">
            <v>1410</v>
          </cell>
          <cell r="B1407" t="str">
            <v>Viñoplastic Inyeccion S.A. de C.V.</v>
          </cell>
          <cell r="C1407" t="str">
            <v>-</v>
          </cell>
          <cell r="D1407" t="str">
            <v>Av. Santiago Lorenzo, Entre Bellavista</v>
          </cell>
          <cell r="E1407" t="str">
            <v>Bodega 2</v>
          </cell>
          <cell r="F1407">
            <v>899</v>
          </cell>
          <cell r="G1407" t="str">
            <v>San Nicolas Tolentino</v>
          </cell>
          <cell r="H1407" t="str">
            <v>09850</v>
          </cell>
          <cell r="I1407" t="str">
            <v>Iztapalapa</v>
          </cell>
          <cell r="J1407" t="str">
            <v>Estado de México</v>
          </cell>
          <cell r="K1407" t="str">
            <v>México</v>
          </cell>
        </row>
        <row r="1408">
          <cell r="A1408">
            <v>1411</v>
          </cell>
          <cell r="B1408" t="str">
            <v>PXI AUTOMOTIVE MEXICO S. de R.L. de C.V.</v>
          </cell>
          <cell r="C1408" t="str">
            <v>-</v>
          </cell>
          <cell r="D1408" t="str">
            <v>Carretera Estatal 431, Km 2+200</v>
          </cell>
          <cell r="E1408" t="str">
            <v>9-1</v>
          </cell>
          <cell r="F1408" t="str">
            <v>Modulo 3</v>
          </cell>
          <cell r="G1408" t="str">
            <v>Parque Tecnológico Innovación Querétaro</v>
          </cell>
          <cell r="H1408">
            <v>76246</v>
          </cell>
          <cell r="I1408" t="str">
            <v>El Marques</v>
          </cell>
          <cell r="J1408" t="str">
            <v>Querétaro</v>
          </cell>
          <cell r="K1408" t="str">
            <v>México</v>
          </cell>
        </row>
        <row r="1409">
          <cell r="A1409">
            <v>1412</v>
          </cell>
          <cell r="B1409" t="str">
            <v>Corporación Mitsuba de México, S.A. de C.V.</v>
          </cell>
          <cell r="C1409" t="str">
            <v>-</v>
          </cell>
          <cell r="D1409" t="str">
            <v xml:space="preserve">Energía </v>
          </cell>
          <cell r="E1409" t="str">
            <v>-</v>
          </cell>
          <cell r="F1409">
            <v>110</v>
          </cell>
          <cell r="G1409" t="str">
            <v>Parque Industrial La Silla</v>
          </cell>
          <cell r="H1409">
            <v>66600</v>
          </cell>
          <cell r="I1409" t="str">
            <v>Apodaca</v>
          </cell>
          <cell r="J1409" t="str">
            <v>Nuevo Leon</v>
          </cell>
          <cell r="K1409" t="str">
            <v>México</v>
          </cell>
        </row>
        <row r="1410">
          <cell r="A1410">
            <v>1413</v>
          </cell>
          <cell r="B1410" t="str">
            <v>SA-GREINER PERFOAM AUTOMOTIVE COMPONENTS S. de R.L. de C.V.</v>
          </cell>
          <cell r="C1410" t="str">
            <v>-</v>
          </cell>
          <cell r="D1410" t="str">
            <v xml:space="preserve">Avenida Amistad, Entre Av. Apaseo El Grande y Av. Laja Bajío </v>
          </cell>
          <cell r="E1410" t="str">
            <v>-</v>
          </cell>
          <cell r="F1410" t="str">
            <v>Lote 23-30</v>
          </cell>
          <cell r="G1410" t="str">
            <v>Parque Industrial Amistad</v>
          </cell>
          <cell r="H1410">
            <v>38180</v>
          </cell>
          <cell r="I1410" t="str">
            <v>Apaseo el Grande</v>
          </cell>
          <cell r="J1410" t="str">
            <v>Guanajuato</v>
          </cell>
          <cell r="K1410" t="str">
            <v>México</v>
          </cell>
        </row>
        <row r="1411">
          <cell r="A1411">
            <v>1414</v>
          </cell>
          <cell r="B1411" t="str">
            <v>Prefabricados Dragón, S.A. de C.V.</v>
          </cell>
          <cell r="C1411" t="str">
            <v>-</v>
          </cell>
          <cell r="D1411" t="str">
            <v>Ramón Corona</v>
          </cell>
          <cell r="E1411" t="str">
            <v>-</v>
          </cell>
          <cell r="F1411">
            <v>1</v>
          </cell>
          <cell r="G1411" t="str">
            <v>Ejido Malvadas</v>
          </cell>
          <cell r="H1411">
            <v>36826</v>
          </cell>
          <cell r="I1411" t="str">
            <v>Irapuato</v>
          </cell>
          <cell r="J1411" t="str">
            <v>Guanajuato</v>
          </cell>
          <cell r="K1411" t="str">
            <v>México</v>
          </cell>
        </row>
        <row r="1412">
          <cell r="A1412">
            <v>1415</v>
          </cell>
          <cell r="B1412" t="str">
            <v>Meggitt Aircraft Braking Systems Queretaro, S de RL de CV</v>
          </cell>
          <cell r="C1412" t="str">
            <v>-</v>
          </cell>
          <cell r="D1412" t="str">
            <v xml:space="preserve">Carretera Estatal 200 Queretaro-Tequisquiapan Km 22+547 </v>
          </cell>
          <cell r="E1412" t="str">
            <v>-</v>
          </cell>
          <cell r="F1412" t="str">
            <v>-</v>
          </cell>
          <cell r="G1412" t="str">
            <v>Parque Aerospacial de Queretaro</v>
          </cell>
          <cell r="H1412">
            <v>76278</v>
          </cell>
          <cell r="I1412" t="str">
            <v>Colon</v>
          </cell>
          <cell r="J1412" t="str">
            <v>Querétaro</v>
          </cell>
          <cell r="K1412" t="str">
            <v>México</v>
          </cell>
          <cell r="O1412" t="str">
            <v>MESS</v>
          </cell>
        </row>
        <row r="1413">
          <cell r="A1413">
            <v>1416</v>
          </cell>
          <cell r="B1413" t="str">
            <v>QATSUKO KIPOS, S.A. de C.V.</v>
          </cell>
          <cell r="C1413" t="str">
            <v>-</v>
          </cell>
          <cell r="D1413" t="str">
            <v>Av. Tercer Milenio</v>
          </cell>
          <cell r="E1413">
            <v>1</v>
          </cell>
          <cell r="F1413">
            <v>205</v>
          </cell>
          <cell r="G1413" t="str">
            <v>Fraccionamiento Lomas del Tecnologico</v>
          </cell>
          <cell r="H1413">
            <v>78215</v>
          </cell>
          <cell r="I1413" t="str">
            <v>San Luis Potosi</v>
          </cell>
          <cell r="J1413" t="str">
            <v>San Luis Potosi</v>
          </cell>
          <cell r="K1413" t="str">
            <v>México</v>
          </cell>
        </row>
        <row r="1414">
          <cell r="A1414">
            <v>1417</v>
          </cell>
          <cell r="B1414" t="str">
            <v>Gergonne Plasticos Industriales, S.A. de C.V.</v>
          </cell>
          <cell r="C1414" t="str">
            <v>-</v>
          </cell>
          <cell r="D1414" t="str">
            <v>Av. Industria Automotriz</v>
          </cell>
          <cell r="E1414" t="str">
            <v>-</v>
          </cell>
          <cell r="F1414">
            <v>1402</v>
          </cell>
          <cell r="G1414" t="str">
            <v>-</v>
          </cell>
          <cell r="H1414">
            <v>50200</v>
          </cell>
          <cell r="I1414" t="str">
            <v>Toluca</v>
          </cell>
          <cell r="J1414" t="str">
            <v>Estado de México</v>
          </cell>
          <cell r="K1414" t="str">
            <v>México</v>
          </cell>
        </row>
        <row r="1415">
          <cell r="A1415">
            <v>1418</v>
          </cell>
          <cell r="B1415" t="str">
            <v>Safran AircraftEngines México, S.A. de C.V.</v>
          </cell>
          <cell r="C1415" t="str">
            <v>-</v>
          </cell>
          <cell r="D1415" t="str">
            <v>Carretera Estatal 200 Queretaro-Tequisquiapan Km. 22.5</v>
          </cell>
          <cell r="E1415" t="str">
            <v>D</v>
          </cell>
          <cell r="F1415" t="str">
            <v>-</v>
          </cell>
          <cell r="G1415" t="str">
            <v>Parque Industrial Aerospacial de Queretaro</v>
          </cell>
          <cell r="H1415">
            <v>76120</v>
          </cell>
          <cell r="I1415" t="str">
            <v>Colon</v>
          </cell>
          <cell r="J1415" t="str">
            <v>Querétaro</v>
          </cell>
          <cell r="K1415" t="str">
            <v>México</v>
          </cell>
          <cell r="O1415" t="str">
            <v>RAMSA</v>
          </cell>
        </row>
        <row r="1416">
          <cell r="A1416">
            <v>1419</v>
          </cell>
          <cell r="B1416" t="str">
            <v>Robert Bosch México Sistemas Automotrices, S.A. DE C.V.</v>
          </cell>
          <cell r="C1416" t="str">
            <v>-</v>
          </cell>
          <cell r="D1416" t="str">
            <v>Eje Sahop  106</v>
          </cell>
          <cell r="E1416" t="str">
            <v>-</v>
          </cell>
          <cell r="F1416">
            <v>345</v>
          </cell>
          <cell r="G1416" t="str">
            <v>Zona Industrial San Luis Potosi</v>
          </cell>
          <cell r="H1416">
            <v>78395</v>
          </cell>
          <cell r="I1416" t="str">
            <v>San Luis Potosi</v>
          </cell>
          <cell r="J1416" t="str">
            <v>San Luis Potosi</v>
          </cell>
          <cell r="K1416" t="str">
            <v>México</v>
          </cell>
        </row>
        <row r="1417">
          <cell r="A1417">
            <v>1420</v>
          </cell>
          <cell r="B1417" t="str">
            <v>TEKNIA MEXICO CITY, SA DE CV</v>
          </cell>
          <cell r="C1417" t="str">
            <v>-</v>
          </cell>
          <cell r="D1417" t="str">
            <v>Avena</v>
          </cell>
          <cell r="E1417" t="str">
            <v>-</v>
          </cell>
          <cell r="F1417">
            <v>218</v>
          </cell>
          <cell r="G1417" t="str">
            <v>Granjas México</v>
          </cell>
          <cell r="H1417" t="str">
            <v>08400</v>
          </cell>
          <cell r="I1417" t="str">
            <v>Delegación Iztacalco</v>
          </cell>
          <cell r="J1417" t="str">
            <v>CDMX</v>
          </cell>
          <cell r="K1417" t="str">
            <v>México</v>
          </cell>
        </row>
        <row r="1418">
          <cell r="A1418">
            <v>1421</v>
          </cell>
          <cell r="B1418" t="str">
            <v>Harada Industries (México), S.A. de C.V.</v>
          </cell>
          <cell r="C1418" t="str">
            <v>-</v>
          </cell>
          <cell r="D1418" t="str">
            <v>Carretera a Tequisquiapan Km. 3.1</v>
          </cell>
          <cell r="G1418" t="str">
            <v>Zona Industrial Valle de Oro</v>
          </cell>
          <cell r="H1418">
            <v>76803</v>
          </cell>
          <cell r="I1418" t="str">
            <v>San Juan del Río</v>
          </cell>
          <cell r="J1418" t="str">
            <v>Querétaro</v>
          </cell>
          <cell r="K1418" t="str">
            <v>México</v>
          </cell>
        </row>
        <row r="1419">
          <cell r="A1419">
            <v>1422</v>
          </cell>
          <cell r="B1419" t="str">
            <v>Co-Planar de México S. de R.L. de C.V.</v>
          </cell>
          <cell r="C1419" t="str">
            <v>-</v>
          </cell>
          <cell r="D1419" t="str">
            <v>Jurica</v>
          </cell>
          <cell r="E1419" t="str">
            <v>-</v>
          </cell>
          <cell r="F1419">
            <v>121</v>
          </cell>
          <cell r="G1419" t="str">
            <v>Parque Industrial Queretaro</v>
          </cell>
          <cell r="H1419">
            <v>76220</v>
          </cell>
          <cell r="I1419" t="str">
            <v>Querétaro</v>
          </cell>
          <cell r="J1419" t="str">
            <v>Querétaro</v>
          </cell>
          <cell r="K1419" t="str">
            <v>México</v>
          </cell>
        </row>
        <row r="1420">
          <cell r="A1420">
            <v>1423</v>
          </cell>
          <cell r="B1420" t="str">
            <v>ARCONIC FASTENING SYSTEMS &amp; RINGS (MEXICO I) S. de R.L. de C.V. (ACUÑA)</v>
          </cell>
          <cell r="C1420" t="str">
            <v>-</v>
          </cell>
          <cell r="D1420" t="str">
            <v>Hidalgo</v>
          </cell>
          <cell r="E1420" t="str">
            <v>-</v>
          </cell>
          <cell r="F1420">
            <v>120</v>
          </cell>
          <cell r="G1420" t="str">
            <v>Parque Industrial Amistad</v>
          </cell>
          <cell r="H1420">
            <v>26220</v>
          </cell>
          <cell r="I1420" t="str">
            <v>Acuña</v>
          </cell>
          <cell r="J1420" t="str">
            <v>Coahuila</v>
          </cell>
          <cell r="K1420" t="str">
            <v>México</v>
          </cell>
        </row>
        <row r="1421">
          <cell r="A1421">
            <v>1424</v>
          </cell>
          <cell r="B1421" t="str">
            <v>Maquinados Industriales JC  S.A. de C.V.</v>
          </cell>
          <cell r="C1421" t="str">
            <v>-</v>
          </cell>
          <cell r="D1421" t="str">
            <v>Tecnicos</v>
          </cell>
          <cell r="E1421" t="str">
            <v>-</v>
          </cell>
          <cell r="F1421">
            <v>28</v>
          </cell>
          <cell r="G1421" t="str">
            <v>Peñuelas</v>
          </cell>
          <cell r="H1421">
            <v>76148</v>
          </cell>
          <cell r="I1421" t="str">
            <v>Querétaro</v>
          </cell>
          <cell r="J1421" t="str">
            <v>Querétaro</v>
          </cell>
          <cell r="K1421" t="str">
            <v>México</v>
          </cell>
        </row>
        <row r="1422">
          <cell r="A1422">
            <v>1425</v>
          </cell>
          <cell r="B1422" t="str">
            <v>P.P.D. Plástico S.A. de C.V.</v>
          </cell>
          <cell r="C1422" t="str">
            <v>-</v>
          </cell>
          <cell r="D1422" t="str">
            <v>Av. Industrial de la Transformación</v>
          </cell>
          <cell r="E1422" t="str">
            <v>-</v>
          </cell>
          <cell r="F1422" t="str">
            <v>-</v>
          </cell>
          <cell r="G1422" t="str">
            <v xml:space="preserve">Amp. Parque Industrial </v>
          </cell>
          <cell r="H1422">
            <v>76220</v>
          </cell>
          <cell r="I1422" t="str">
            <v>Querétaro</v>
          </cell>
          <cell r="J1422" t="str">
            <v>Querétaro</v>
          </cell>
          <cell r="K1422" t="str">
            <v>México</v>
          </cell>
        </row>
        <row r="1423">
          <cell r="A1423">
            <v>1426</v>
          </cell>
          <cell r="B1423" t="str">
            <v>RAHER MAQUINADOS EN CENTROS, S.A. de C.V.</v>
          </cell>
          <cell r="C1423" t="str">
            <v>-</v>
          </cell>
          <cell r="D1423" t="str">
            <v>Av. Morelos Norte</v>
          </cell>
          <cell r="E1423">
            <v>5</v>
          </cell>
          <cell r="F1423">
            <v>49</v>
          </cell>
          <cell r="G1423" t="str">
            <v>San Pedro Ahuacatlán</v>
          </cell>
          <cell r="H1423">
            <v>76810</v>
          </cell>
          <cell r="I1423" t="str">
            <v>San Juan del Rio</v>
          </cell>
          <cell r="J1423" t="str">
            <v>Querétaro</v>
          </cell>
          <cell r="K1423" t="str">
            <v>México</v>
          </cell>
        </row>
        <row r="1424">
          <cell r="A1424">
            <v>1427</v>
          </cell>
          <cell r="B1424" t="str">
            <v>Tooling &amp; Equipment FRIMO-México, S. de R.L. de C.V.</v>
          </cell>
          <cell r="C1424" t="str">
            <v>-</v>
          </cell>
          <cell r="D1424" t="str">
            <v>Andador Norte</v>
          </cell>
          <cell r="E1424" t="str">
            <v>-</v>
          </cell>
          <cell r="F1424">
            <v>4</v>
          </cell>
          <cell r="G1424" t="str">
            <v>Fraccionamiento Industrial Santa Elena</v>
          </cell>
          <cell r="H1424">
            <v>72990</v>
          </cell>
          <cell r="I1424" t="str">
            <v>Amozoc de Mota</v>
          </cell>
          <cell r="J1424" t="str">
            <v xml:space="preserve">Puebla, </v>
          </cell>
          <cell r="K1424" t="str">
            <v>México</v>
          </cell>
        </row>
        <row r="1425">
          <cell r="A1425">
            <v>1428</v>
          </cell>
          <cell r="B1425" t="str">
            <v>Graficos y Maquinados S.A. de C.V.</v>
          </cell>
          <cell r="C1425" t="str">
            <v>-</v>
          </cell>
          <cell r="D1425" t="str">
            <v>Calle 17, Manzana 24</v>
          </cell>
          <cell r="E1425" t="str">
            <v>-</v>
          </cell>
          <cell r="F1425" t="str">
            <v>2A y 3A</v>
          </cell>
          <cell r="G1425" t="str">
            <v>Parque Industrial Atlacomulco</v>
          </cell>
          <cell r="H1425" t="str">
            <v>-</v>
          </cell>
          <cell r="I1425" t="str">
            <v>-</v>
          </cell>
          <cell r="J1425" t="str">
            <v>-</v>
          </cell>
          <cell r="K1425" t="str">
            <v>México</v>
          </cell>
        </row>
        <row r="1426">
          <cell r="A1426">
            <v>1429</v>
          </cell>
          <cell r="B1426" t="str">
            <v>BOCAR, S.A. de C.V.</v>
          </cell>
          <cell r="C1426" t="str">
            <v>-</v>
          </cell>
          <cell r="D1426" t="str">
            <v>Av. México Japon</v>
          </cell>
          <cell r="E1426" t="str">
            <v>-</v>
          </cell>
          <cell r="F1426">
            <v>414</v>
          </cell>
          <cell r="G1426" t="str">
            <v>Ciudad Industrial</v>
          </cell>
          <cell r="H1426">
            <v>38010</v>
          </cell>
          <cell r="I1426" t="str">
            <v>Celaya</v>
          </cell>
          <cell r="J1426" t="str">
            <v>Guanajuato</v>
          </cell>
          <cell r="K1426" t="str">
            <v>México</v>
          </cell>
        </row>
        <row r="1427">
          <cell r="A1427">
            <v>1430</v>
          </cell>
          <cell r="B1427" t="str">
            <v>SOLER Y PALAU S.A.de C.V.</v>
          </cell>
          <cell r="C1427" t="str">
            <v>-</v>
          </cell>
          <cell r="D1427" t="str">
            <v>Boulevard A</v>
          </cell>
          <cell r="E1427" t="str">
            <v>-</v>
          </cell>
          <cell r="F1427">
            <v>15</v>
          </cell>
          <cell r="G1427" t="str">
            <v>Parque Industrial Puebla 2000</v>
          </cell>
          <cell r="H1427">
            <v>72225</v>
          </cell>
          <cell r="I1427" t="str">
            <v>Puebla</v>
          </cell>
          <cell r="J1427" t="str">
            <v>Puebla</v>
          </cell>
          <cell r="K1427" t="str">
            <v>México</v>
          </cell>
        </row>
        <row r="1428">
          <cell r="A1428">
            <v>1431</v>
          </cell>
          <cell r="B1428" t="str">
            <v>DBLK S.A. de C.V.</v>
          </cell>
          <cell r="C1428" t="str">
            <v>-</v>
          </cell>
          <cell r="D1428" t="str">
            <v>Av. 5 de Febrero</v>
          </cell>
          <cell r="E1428" t="str">
            <v>-</v>
          </cell>
          <cell r="F1428">
            <v>295</v>
          </cell>
          <cell r="G1428" t="str">
            <v>La Sierrita</v>
          </cell>
          <cell r="H1428">
            <v>76137</v>
          </cell>
          <cell r="I1428" t="str">
            <v>Querétaro</v>
          </cell>
          <cell r="J1428" t="str">
            <v>Querétaro</v>
          </cell>
          <cell r="K1428" t="str">
            <v>México</v>
          </cell>
        </row>
        <row r="1429">
          <cell r="A1429">
            <v>1432</v>
          </cell>
          <cell r="B1429" t="str">
            <v>Meridian Technologies México S. de R.L. de C.V.</v>
          </cell>
          <cell r="C1429" t="str">
            <v>-</v>
          </cell>
          <cell r="D1429" t="str">
            <v xml:space="preserve">Blvd. Santa Maria </v>
          </cell>
          <cell r="E1429" t="str">
            <v>-</v>
          </cell>
          <cell r="F1429">
            <v>1955</v>
          </cell>
          <cell r="G1429" t="str">
            <v>Parque Industrial Santa Maria</v>
          </cell>
          <cell r="H1429">
            <v>25900</v>
          </cell>
          <cell r="I1429" t="str">
            <v>Ramos Arizpe</v>
          </cell>
          <cell r="J1429" t="str">
            <v>Coahuila</v>
          </cell>
          <cell r="K1429" t="str">
            <v>México</v>
          </cell>
        </row>
        <row r="1430">
          <cell r="A1430">
            <v>1433</v>
          </cell>
          <cell r="B1430" t="str">
            <v>SAMSUNG ELECTRONICS DIGITAL APPLIANCES MEXICO, S.A. de C.V.</v>
          </cell>
          <cell r="C1430" t="str">
            <v>-</v>
          </cell>
          <cell r="D1430" t="str">
            <v>Avenida Benito Juarez</v>
          </cell>
          <cell r="E1430" t="str">
            <v>-</v>
          </cell>
          <cell r="F1430">
            <v>119</v>
          </cell>
          <cell r="G1430" t="str">
            <v>Parque Industrial Queretaro</v>
          </cell>
          <cell r="H1430">
            <v>76220</v>
          </cell>
          <cell r="I1430" t="str">
            <v>Querétaro</v>
          </cell>
          <cell r="J1430" t="str">
            <v>Querétaro</v>
          </cell>
          <cell r="K1430" t="str">
            <v>México</v>
          </cell>
        </row>
        <row r="1431">
          <cell r="A1431">
            <v>1434</v>
          </cell>
          <cell r="B1431" t="str">
            <v>COOPERATION MANUFACTURING PLANT AGUASCALIENTES (COMPAS)</v>
          </cell>
          <cell r="C1431" t="str">
            <v>-</v>
          </cell>
          <cell r="D1431" t="str">
            <v>Carretera Estatal 2 Aeropuerto - El Taray km 1.1,</v>
          </cell>
          <cell r="E1431" t="str">
            <v>-</v>
          </cell>
          <cell r="F1431" t="str">
            <v>-</v>
          </cell>
          <cell r="G1431" t="str">
            <v>Peñuelas</v>
          </cell>
          <cell r="H1431">
            <v>20340</v>
          </cell>
          <cell r="I1431" t="str">
            <v>Aguascalientes</v>
          </cell>
          <cell r="J1431" t="str">
            <v>Aguascalientes</v>
          </cell>
          <cell r="K1431" t="str">
            <v>México</v>
          </cell>
        </row>
        <row r="1432">
          <cell r="A1432">
            <v>1435</v>
          </cell>
          <cell r="B1432" t="str">
            <v>Herramientas Industriales GDL, S.A. de C.V.</v>
          </cell>
          <cell r="C1432" t="str">
            <v>-</v>
          </cell>
          <cell r="D1432" t="str">
            <v>Canario</v>
          </cell>
          <cell r="E1432" t="str">
            <v>-</v>
          </cell>
          <cell r="F1432">
            <v>887</v>
          </cell>
          <cell r="G1432" t="str">
            <v>Morelos</v>
          </cell>
          <cell r="H1432">
            <v>44910</v>
          </cell>
          <cell r="I1432" t="str">
            <v>Guadalajara</v>
          </cell>
          <cell r="J1432" t="str">
            <v>Jalisco</v>
          </cell>
          <cell r="K1432" t="str">
            <v>México</v>
          </cell>
        </row>
        <row r="1433">
          <cell r="A1433">
            <v>1436</v>
          </cell>
          <cell r="B1433" t="str">
            <v>SEG Automotive México Manufacturing S.A. de C.V.</v>
          </cell>
          <cell r="C1433" t="str">
            <v>-</v>
          </cell>
          <cell r="D1433" t="str">
            <v>Av. de la Ind. Farmacéutica</v>
          </cell>
          <cell r="E1433" t="str">
            <v>Lote 3, Mz 4</v>
          </cell>
          <cell r="F1433">
            <v>5</v>
          </cell>
          <cell r="G1433" t="str">
            <v xml:space="preserve">Parque Industrial ex-Hacienda Doña Rosa </v>
          </cell>
          <cell r="H1433">
            <v>52004</v>
          </cell>
          <cell r="I1433" t="str">
            <v>Lerma</v>
          </cell>
          <cell r="J1433" t="str">
            <v>Estado de México</v>
          </cell>
          <cell r="K1433" t="str">
            <v>México</v>
          </cell>
        </row>
        <row r="1434">
          <cell r="A1434">
            <v>1437</v>
          </cell>
          <cell r="B1434" t="str">
            <v>CONEXIONES PLASTICAS DE AGUASCALIENTES S.A. de C.V.</v>
          </cell>
          <cell r="C1434" t="str">
            <v>-</v>
          </cell>
          <cell r="D1434" t="str">
            <v>20 de noviembre</v>
          </cell>
          <cell r="E1434" t="str">
            <v>-</v>
          </cell>
          <cell r="F1434">
            <v>1604</v>
          </cell>
          <cell r="G1434" t="str">
            <v>Morelos</v>
          </cell>
          <cell r="H1434">
            <v>20140</v>
          </cell>
          <cell r="I1434" t="str">
            <v>Aguascalientes</v>
          </cell>
          <cell r="J1434" t="str">
            <v>Aguascalientes</v>
          </cell>
          <cell r="K1434" t="str">
            <v>México</v>
          </cell>
        </row>
        <row r="1435">
          <cell r="A1435">
            <v>1438</v>
          </cell>
          <cell r="B1435" t="str">
            <v>México MURATA Spring Corporation S.A. de C.V.</v>
          </cell>
          <cell r="C1435" t="str">
            <v>-</v>
          </cell>
          <cell r="D1435" t="str">
            <v xml:space="preserve">Prolongacion Constitucion </v>
          </cell>
          <cell r="E1435" t="str">
            <v>-</v>
          </cell>
          <cell r="F1435">
            <v>802</v>
          </cell>
          <cell r="G1435" t="str">
            <v>El mPuertecito de La Virgen</v>
          </cell>
          <cell r="H1435" t="str">
            <v>-</v>
          </cell>
          <cell r="I1435" t="str">
            <v>San Francisco de Los Romo</v>
          </cell>
          <cell r="J1435" t="str">
            <v>Aguascalientes</v>
          </cell>
          <cell r="K1435" t="str">
            <v>México</v>
          </cell>
        </row>
        <row r="1436">
          <cell r="A1436">
            <v>1439</v>
          </cell>
          <cell r="B1436" t="str">
            <v>TYCO ELECTRONICS MEXICO</v>
          </cell>
          <cell r="C1436" t="str">
            <v>-</v>
          </cell>
          <cell r="D1436" t="str">
            <v xml:space="preserve">Avenida de las Fuentes </v>
          </cell>
          <cell r="E1436" t="str">
            <v>Módulo B-3</v>
          </cell>
          <cell r="F1436">
            <v>31</v>
          </cell>
          <cell r="G1436" t="str">
            <v>-</v>
          </cell>
          <cell r="H1436">
            <v>76246</v>
          </cell>
          <cell r="I1436" t="str">
            <v>Querétaro</v>
          </cell>
          <cell r="J1436" t="str">
            <v>Querétaro</v>
          </cell>
          <cell r="K1436" t="str">
            <v>México</v>
          </cell>
        </row>
        <row r="1437">
          <cell r="A1437">
            <v>1440</v>
          </cell>
          <cell r="B1437" t="str">
            <v>Industrias Frigus Therme S.A. de C.V.</v>
          </cell>
          <cell r="C1437" t="str">
            <v>-</v>
          </cell>
          <cell r="D1437" t="str">
            <v>Acceso II, Calle 2</v>
          </cell>
          <cell r="E1437" t="str">
            <v>-</v>
          </cell>
          <cell r="F1437">
            <v>48</v>
          </cell>
          <cell r="G1437" t="str">
            <v>Parque Industrial Benito Juarez</v>
          </cell>
          <cell r="H1437">
            <v>76120</v>
          </cell>
          <cell r="I1437" t="str">
            <v>Querétaro</v>
          </cell>
          <cell r="J1437" t="str">
            <v>Querétaro</v>
          </cell>
          <cell r="K1437" t="str">
            <v>México</v>
          </cell>
        </row>
        <row r="1438">
          <cell r="A1438">
            <v>1441</v>
          </cell>
          <cell r="B1438" t="str">
            <v>MARPOSS S.A. de C.V.</v>
          </cell>
          <cell r="C1438" t="str">
            <v>-</v>
          </cell>
          <cell r="D1438" t="str">
            <v>Blvd. Adolfo López Mateos</v>
          </cell>
          <cell r="E1438" t="str">
            <v>-</v>
          </cell>
          <cell r="F1438">
            <v>40</v>
          </cell>
          <cell r="G1438" t="str">
            <v>Club de Golf Bellavista</v>
          </cell>
          <cell r="H1438">
            <v>52995</v>
          </cell>
          <cell r="I1438" t="str">
            <v>Atizapán de Zaragoza</v>
          </cell>
          <cell r="J1438" t="str">
            <v>Estado de México</v>
          </cell>
          <cell r="K1438" t="str">
            <v>México</v>
          </cell>
        </row>
        <row r="1439">
          <cell r="A1439">
            <v>1442</v>
          </cell>
          <cell r="B1439" t="str">
            <v>STEERINGMEX, S.de R.L de C.V.</v>
          </cell>
          <cell r="C1439" t="str">
            <v>-</v>
          </cell>
          <cell r="D1439" t="str">
            <v>Av. De las Fuentes</v>
          </cell>
          <cell r="E1439" t="str">
            <v>-</v>
          </cell>
          <cell r="F1439">
            <v>12</v>
          </cell>
          <cell r="G1439" t="str">
            <v>Parque industrial Finsa</v>
          </cell>
          <cell r="H1439" t="str">
            <v>-</v>
          </cell>
          <cell r="I1439" t="str">
            <v>El Marques</v>
          </cell>
          <cell r="J1439" t="str">
            <v>Querétaro</v>
          </cell>
          <cell r="K1439" t="str">
            <v>México</v>
          </cell>
        </row>
        <row r="1440">
          <cell r="A1440">
            <v>1443</v>
          </cell>
          <cell r="B1440" t="str">
            <v>Hitachi Automotive Systems México, S.A. de C.V.</v>
          </cell>
          <cell r="C1440" t="str">
            <v>-</v>
          </cell>
          <cell r="D1440" t="str">
            <v>Avenida Industria Automotriz</v>
          </cell>
          <cell r="E1440" t="str">
            <v>-</v>
          </cell>
          <cell r="F1440">
            <v>12</v>
          </cell>
          <cell r="G1440" t="str">
            <v>Corredor Industrial Toluca Lerma</v>
          </cell>
          <cell r="H1440">
            <v>52004</v>
          </cell>
          <cell r="I1440" t="str">
            <v>Lerma</v>
          </cell>
          <cell r="J1440" t="str">
            <v>Estado de México</v>
          </cell>
          <cell r="K1440" t="str">
            <v>México</v>
          </cell>
        </row>
        <row r="1441">
          <cell r="A1441">
            <v>1444</v>
          </cell>
          <cell r="B1441" t="str">
            <v>Toyoda Gosei Irapuato  Mexico, S.A. de C.V.</v>
          </cell>
          <cell r="C1441" t="str">
            <v>-</v>
          </cell>
          <cell r="D1441" t="str">
            <v xml:space="preserve">Rio San Lorenzo </v>
          </cell>
          <cell r="E1441" t="str">
            <v>-</v>
          </cell>
          <cell r="F1441">
            <v>842</v>
          </cell>
          <cell r="G1441" t="str">
            <v>Parque Tecnoindustrial Castro del Río</v>
          </cell>
          <cell r="H1441">
            <v>36815</v>
          </cell>
          <cell r="I1441" t="str">
            <v>Irapuato</v>
          </cell>
          <cell r="J1441" t="str">
            <v>Guanajuato</v>
          </cell>
          <cell r="K1441" t="str">
            <v>México</v>
          </cell>
        </row>
        <row r="1442">
          <cell r="A1442">
            <v>1445</v>
          </cell>
          <cell r="B1442" t="str">
            <v>FUJIKIKO TACHIS MEXICO</v>
          </cell>
          <cell r="C1442" t="str">
            <v>-</v>
          </cell>
          <cell r="D1442" t="str">
            <v xml:space="preserve">Circuito Cerezos Sur </v>
          </cell>
          <cell r="E1442" t="str">
            <v>-</v>
          </cell>
          <cell r="F1442">
            <v>105</v>
          </cell>
          <cell r="G1442" t="str">
            <v>Parque Industrial San Francisco de los Romo</v>
          </cell>
          <cell r="H1442">
            <v>20304</v>
          </cell>
          <cell r="I1442" t="str">
            <v>San Francisco de Los Romo</v>
          </cell>
          <cell r="J1442" t="str">
            <v>Aguascalientes</v>
          </cell>
          <cell r="K1442" t="str">
            <v>México</v>
          </cell>
        </row>
        <row r="1443">
          <cell r="A1443">
            <v>1446</v>
          </cell>
          <cell r="B1443" t="str">
            <v>Meritor Monterrey</v>
          </cell>
          <cell r="C1443" t="str">
            <v>-</v>
          </cell>
          <cell r="D1443" t="str">
            <v>Blvd. Nexxus ADN</v>
          </cell>
          <cell r="E1443" t="str">
            <v>-</v>
          </cell>
          <cell r="F1443">
            <v>2505</v>
          </cell>
          <cell r="G1443" t="str">
            <v>Parque Industrial Nexxus ADN</v>
          </cell>
          <cell r="H1443">
            <v>65580</v>
          </cell>
          <cell r="I1443" t="str">
            <v>Cienega de Flores</v>
          </cell>
          <cell r="J1443" t="str">
            <v>Nuevo Leon</v>
          </cell>
          <cell r="K1443" t="str">
            <v>México</v>
          </cell>
        </row>
        <row r="1444">
          <cell r="A1444">
            <v>1447</v>
          </cell>
          <cell r="B1444" t="str">
            <v>HANMAC MÉXICO S.A de C.V</v>
          </cell>
          <cell r="C1444" t="str">
            <v>-</v>
          </cell>
          <cell r="D1444" t="str">
            <v xml:space="preserve">Priv.La Noria </v>
          </cell>
          <cell r="E1444" t="str">
            <v>-</v>
          </cell>
          <cell r="F1444" t="str">
            <v>232-1</v>
          </cell>
          <cell r="G1444" t="str">
            <v>Parque Industrial Queretaro</v>
          </cell>
          <cell r="H1444" t="str">
            <v>-</v>
          </cell>
          <cell r="I1444" t="str">
            <v>Santa Rosa Jáuregui</v>
          </cell>
          <cell r="J1444" t="str">
            <v>Querétaro</v>
          </cell>
          <cell r="K1444" t="str">
            <v>México</v>
          </cell>
        </row>
        <row r="1445">
          <cell r="A1445">
            <v>1448</v>
          </cell>
          <cell r="B1445" t="str">
            <v>CAPYMET S.A. de C.V. - SUCURSAL MEXICALI</v>
          </cell>
          <cell r="C1445" t="str">
            <v>-</v>
          </cell>
          <cell r="D1445" t="str">
            <v>Tetuan</v>
          </cell>
          <cell r="E1445" t="str">
            <v>-</v>
          </cell>
          <cell r="F1445">
            <v>3523</v>
          </cell>
          <cell r="G1445" t="str">
            <v>Fraccionamiento Sevilla</v>
          </cell>
          <cell r="H1445">
            <v>21378</v>
          </cell>
          <cell r="I1445" t="str">
            <v>Mexicali</v>
          </cell>
          <cell r="J1445" t="str">
            <v>Baja California</v>
          </cell>
          <cell r="K1445" t="str">
            <v>México</v>
          </cell>
        </row>
        <row r="1446">
          <cell r="A1446">
            <v>1449</v>
          </cell>
          <cell r="B1446" t="str">
            <v>Metalistik S.A. de C.V.</v>
          </cell>
          <cell r="C1446" t="str">
            <v>-</v>
          </cell>
          <cell r="D1446" t="str">
            <v>Carretara Panamericana Norte km 14</v>
          </cell>
          <cell r="E1446" t="str">
            <v>-</v>
          </cell>
          <cell r="F1446">
            <v>15</v>
          </cell>
          <cell r="G1446" t="str">
            <v>Paseos de Gomez Portugal</v>
          </cell>
          <cell r="H1446">
            <v>20909</v>
          </cell>
          <cell r="I1446" t="str">
            <v>Jesús Gomez Portugal, Jesus Maria</v>
          </cell>
          <cell r="J1446" t="str">
            <v>Aguascalientes</v>
          </cell>
          <cell r="K1446" t="str">
            <v>México</v>
          </cell>
        </row>
        <row r="1447">
          <cell r="A1447">
            <v>1450</v>
          </cell>
          <cell r="B1447" t="str">
            <v>LEOPLAST</v>
          </cell>
          <cell r="C1447" t="str">
            <v>-</v>
          </cell>
          <cell r="D1447" t="str">
            <v>Avenida La Silla</v>
          </cell>
          <cell r="E1447" t="str">
            <v>-</v>
          </cell>
          <cell r="F1447">
            <v>7650</v>
          </cell>
          <cell r="G1447" t="str">
            <v xml:space="preserve">Parque Industrial La Silla </v>
          </cell>
          <cell r="H1447" t="str">
            <v>-</v>
          </cell>
          <cell r="I1447" t="str">
            <v>Guadalupe</v>
          </cell>
          <cell r="J1447" t="str">
            <v>Nuevo Leon</v>
          </cell>
          <cell r="K1447" t="str">
            <v>México</v>
          </cell>
        </row>
        <row r="1448">
          <cell r="A1448">
            <v>1451</v>
          </cell>
          <cell r="B1448" t="str">
            <v>DAYTON PROGRESS MEXICO S DE R.L. DE C.V.</v>
          </cell>
          <cell r="C1448" t="str">
            <v>-</v>
          </cell>
          <cell r="D1448" t="str">
            <v>Calle Acceso II</v>
          </cell>
          <cell r="E1448">
            <v>5</v>
          </cell>
          <cell r="F1448" t="str">
            <v>Edificio 9</v>
          </cell>
          <cell r="G1448" t="str">
            <v>Parque Industrial Benito Juarez</v>
          </cell>
          <cell r="H1448">
            <v>76120</v>
          </cell>
          <cell r="I1448" t="str">
            <v>Querétaro</v>
          </cell>
          <cell r="J1448" t="str">
            <v>Querétaro</v>
          </cell>
          <cell r="K1448" t="str">
            <v>México</v>
          </cell>
        </row>
        <row r="1449">
          <cell r="A1449">
            <v>1452</v>
          </cell>
          <cell r="B1449" t="str">
            <v>FE  LATIN AMERICA BV</v>
          </cell>
          <cell r="C1449" t="str">
            <v>-</v>
          </cell>
          <cell r="D1449" t="str">
            <v>Av. Industria Alimentaria</v>
          </cell>
          <cell r="F1449">
            <v>2001</v>
          </cell>
          <cell r="G1449" t="str">
            <v>Parque Industrial Linares</v>
          </cell>
          <cell r="H1449">
            <v>67735</v>
          </cell>
          <cell r="I1449" t="str">
            <v>Linares</v>
          </cell>
          <cell r="J1449" t="str">
            <v xml:space="preserve">Nuevo León, </v>
          </cell>
          <cell r="K1449" t="str">
            <v>México</v>
          </cell>
        </row>
        <row r="1450">
          <cell r="A1450">
            <v>1453</v>
          </cell>
          <cell r="B1450" t="str">
            <v>CUMMINS GRUPO INDUSTRIAL, S. de R.L. de C.V.</v>
          </cell>
          <cell r="C1450" t="str">
            <v>-</v>
          </cell>
          <cell r="D1450" t="str">
            <v>Eje 122</v>
          </cell>
          <cell r="E1450" t="str">
            <v>-</v>
          </cell>
          <cell r="F1450">
            <v>200</v>
          </cell>
          <cell r="G1450" t="str">
            <v>Zona Industrial del Potosí</v>
          </cell>
          <cell r="H1450">
            <v>78395</v>
          </cell>
          <cell r="I1450" t="str">
            <v>San Luis Potosi.</v>
          </cell>
          <cell r="J1450" t="str">
            <v>San Luis Potosi.</v>
          </cell>
          <cell r="K1450" t="str">
            <v>México</v>
          </cell>
        </row>
        <row r="1451">
          <cell r="A1451">
            <v>1454</v>
          </cell>
          <cell r="B1451" t="str">
            <v>FR-TECNOLOGÍAS DE FLUJO S.A. de C.V.</v>
          </cell>
          <cell r="C1451" t="str">
            <v>-</v>
          </cell>
          <cell r="D1451" t="str">
            <v>Av. Miguel de Cervantes</v>
          </cell>
          <cell r="E1451" t="str">
            <v>-</v>
          </cell>
          <cell r="F1451">
            <v>111</v>
          </cell>
          <cell r="G1451" t="str">
            <v>Complejo Industrial Chihuahua</v>
          </cell>
          <cell r="H1451">
            <v>31136</v>
          </cell>
          <cell r="I1451" t="str">
            <v>Chihuahua</v>
          </cell>
          <cell r="J1451" t="str">
            <v>Chihuahua</v>
          </cell>
          <cell r="K1451" t="str">
            <v>México</v>
          </cell>
        </row>
        <row r="1452">
          <cell r="A1452">
            <v>1455</v>
          </cell>
          <cell r="B1452" t="str">
            <v>Operadora MPK S.A PI de C.V. (Miraplastek)</v>
          </cell>
          <cell r="C1452" t="str">
            <v>-</v>
          </cell>
          <cell r="D1452" t="str">
            <v>Aguascalientes Sur</v>
          </cell>
          <cell r="E1452">
            <v>12</v>
          </cell>
          <cell r="F1452">
            <v>2729</v>
          </cell>
          <cell r="G1452" t="str">
            <v>Jardines de las Fuentes</v>
          </cell>
          <cell r="H1452">
            <v>20278</v>
          </cell>
          <cell r="I1452" t="str">
            <v>Aguascalientes</v>
          </cell>
          <cell r="J1452" t="str">
            <v>Aguascalientes</v>
          </cell>
          <cell r="K1452" t="str">
            <v>México</v>
          </cell>
        </row>
        <row r="1453">
          <cell r="A1453">
            <v>1456</v>
          </cell>
          <cell r="B1453" t="str">
            <v>LII UNITED PRODUCTS S. de R.L. de C.V.</v>
          </cell>
          <cell r="C1453" t="str">
            <v>-</v>
          </cell>
          <cell r="D1453" t="str">
            <v>Libramiento Oscar Tapia</v>
          </cell>
          <cell r="E1453" t="str">
            <v>-</v>
          </cell>
          <cell r="F1453">
            <v>1505</v>
          </cell>
          <cell r="G1453" t="str">
            <v>Parque Industrial</v>
          </cell>
          <cell r="H1453" t="str">
            <v>-</v>
          </cell>
          <cell r="I1453" t="str">
            <v>Ramos Arizpe</v>
          </cell>
          <cell r="J1453" t="str">
            <v>Coahuila</v>
          </cell>
          <cell r="K1453" t="str">
            <v>México</v>
          </cell>
        </row>
        <row r="1454">
          <cell r="A1454">
            <v>1457</v>
          </cell>
          <cell r="B1454" t="str">
            <v>Carcoustics Industrial de México</v>
          </cell>
          <cell r="C1454" t="str">
            <v>-</v>
          </cell>
          <cell r="D1454" t="str">
            <v>Circuito Balvanera 24</v>
          </cell>
          <cell r="E1454" t="str">
            <v>Bodega 3</v>
          </cell>
          <cell r="F1454">
            <v>40</v>
          </cell>
          <cell r="G1454" t="str">
            <v>-</v>
          </cell>
          <cell r="H1454">
            <v>76920</v>
          </cell>
          <cell r="I1454" t="str">
            <v>Corregidora</v>
          </cell>
          <cell r="J1454" t="str">
            <v>Querétaro</v>
          </cell>
          <cell r="K1454" t="str">
            <v>México</v>
          </cell>
        </row>
        <row r="1455">
          <cell r="A1455">
            <v>1458</v>
          </cell>
          <cell r="B1455" t="str">
            <v>Metagra México S.A.P.I. de C.V.</v>
          </cell>
          <cell r="C1455" t="str">
            <v>-</v>
          </cell>
          <cell r="D1455" t="str">
            <v>Avenida Amistad,</v>
          </cell>
          <cell r="E1455" t="str">
            <v>-</v>
          </cell>
          <cell r="F1455">
            <v>110</v>
          </cell>
          <cell r="G1455" t="str">
            <v>Zona Industrial Apaseo El Grande</v>
          </cell>
          <cell r="H1455">
            <v>38160</v>
          </cell>
          <cell r="I1455" t="str">
            <v>Apaseo el Grande</v>
          </cell>
          <cell r="J1455" t="str">
            <v>Guanajuato</v>
          </cell>
          <cell r="K1455" t="str">
            <v>México</v>
          </cell>
        </row>
        <row r="1456">
          <cell r="A1456">
            <v>1459</v>
          </cell>
          <cell r="B1456" t="str">
            <v>Luz Avigayl Marin Rangel Industrias Michellin S.A. de C.V.</v>
          </cell>
          <cell r="C1456" t="str">
            <v>-</v>
          </cell>
          <cell r="D1456" t="str">
            <v>-</v>
          </cell>
          <cell r="E1456" t="str">
            <v>-</v>
          </cell>
          <cell r="F1456" t="str">
            <v>-</v>
          </cell>
          <cell r="G1456" t="str">
            <v>Parque Industrial Leon-Bajio (PILBA)</v>
          </cell>
          <cell r="H1456" t="str">
            <v>-</v>
          </cell>
          <cell r="I1456" t="str">
            <v>Leon</v>
          </cell>
          <cell r="J1456" t="str">
            <v>Guanajuato</v>
          </cell>
          <cell r="K1456" t="str">
            <v>México</v>
          </cell>
        </row>
        <row r="1457">
          <cell r="A1457">
            <v>1460</v>
          </cell>
          <cell r="B1457" t="str">
            <v>IMEC CORPORATION</v>
          </cell>
          <cell r="C1457" t="str">
            <v>-</v>
          </cell>
          <cell r="D1457" t="str">
            <v>150-6TH AVENUE</v>
          </cell>
          <cell r="E1457" t="str">
            <v>-</v>
          </cell>
          <cell r="F1457" t="str">
            <v>-</v>
          </cell>
          <cell r="G1457" t="str">
            <v>SW-CALGARY</v>
          </cell>
          <cell r="H1457" t="str">
            <v>-</v>
          </cell>
          <cell r="I1457" t="str">
            <v>AB T2P 3Y7</v>
          </cell>
          <cell r="J1457" t="str">
            <v>-</v>
          </cell>
          <cell r="K1457" t="str">
            <v>México</v>
          </cell>
        </row>
        <row r="1458">
          <cell r="A1458">
            <v>1461</v>
          </cell>
          <cell r="B1458" t="str">
            <v>Via Diesel S.A. de C.V.</v>
          </cell>
          <cell r="C1458" t="str">
            <v>-</v>
          </cell>
          <cell r="D1458" t="str">
            <v>Carretera Panamericana Sur, Km 10.5</v>
          </cell>
          <cell r="E1458" t="str">
            <v>-</v>
          </cell>
          <cell r="F1458" t="str">
            <v>-</v>
          </cell>
          <cell r="G1458" t="str">
            <v>Montoro</v>
          </cell>
          <cell r="H1458" t="str">
            <v>-</v>
          </cell>
          <cell r="I1458" t="str">
            <v>-</v>
          </cell>
          <cell r="J1458" t="str">
            <v>-</v>
          </cell>
          <cell r="K1458" t="str">
            <v>México</v>
          </cell>
        </row>
        <row r="1459">
          <cell r="A1459">
            <v>1462</v>
          </cell>
          <cell r="B1459" t="str">
            <v>PYA Automotive S. de R.L. de C.V.</v>
          </cell>
          <cell r="C1459" t="str">
            <v>-</v>
          </cell>
          <cell r="D1459" t="str">
            <v>Libramiento Norte León-Querétaro, KM 4.6 , Parque Industrial Apolo</v>
          </cell>
          <cell r="E1459" t="str">
            <v>-</v>
          </cell>
          <cell r="F1459" t="str">
            <v>-</v>
          </cell>
          <cell r="G1459" t="str">
            <v>Col. Malvas</v>
          </cell>
          <cell r="H1459" t="str">
            <v>-</v>
          </cell>
          <cell r="I1459" t="str">
            <v>Irapuato</v>
          </cell>
          <cell r="J1459" t="str">
            <v>Guanajuato</v>
          </cell>
          <cell r="K1459" t="str">
            <v>México</v>
          </cell>
        </row>
        <row r="1460">
          <cell r="A1460">
            <v>1463</v>
          </cell>
          <cell r="B1460" t="str">
            <v>Soluciones Médicas Manufactura S. de R.L. de C.V.</v>
          </cell>
          <cell r="C1460" t="str">
            <v>-</v>
          </cell>
          <cell r="D1460" t="str">
            <v>Prolongación Mariano Otero</v>
          </cell>
          <cell r="E1460" t="str">
            <v>-</v>
          </cell>
          <cell r="F1460">
            <v>408</v>
          </cell>
          <cell r="G1460" t="str">
            <v>Ciudad del Sol</v>
          </cell>
          <cell r="H1460">
            <v>45050</v>
          </cell>
          <cell r="I1460" t="str">
            <v>Zapopan</v>
          </cell>
          <cell r="J1460" t="str">
            <v>Jalisco</v>
          </cell>
          <cell r="K1460" t="str">
            <v>México</v>
          </cell>
        </row>
        <row r="1461">
          <cell r="A1461">
            <v>1464</v>
          </cell>
          <cell r="B1461" t="str">
            <v>PYR de Queretaro S.A.P.I. de C.V.</v>
          </cell>
          <cell r="C1461" t="str">
            <v>PQU160708FP0</v>
          </cell>
          <cell r="D1461" t="str">
            <v>Avenida Industria Petroquímica</v>
          </cell>
          <cell r="E1461" t="str">
            <v>-</v>
          </cell>
          <cell r="F1461">
            <v>402</v>
          </cell>
          <cell r="G1461" t="str">
            <v>Parque Industrial Queretaro</v>
          </cell>
          <cell r="H1461">
            <v>76220</v>
          </cell>
          <cell r="I1461" t="str">
            <v>Querétaro</v>
          </cell>
          <cell r="J1461" t="str">
            <v>Querétaro</v>
          </cell>
          <cell r="K1461" t="str">
            <v>México</v>
          </cell>
        </row>
        <row r="1462">
          <cell r="A1462">
            <v>1465</v>
          </cell>
          <cell r="B1462" t="str">
            <v>Valeo Sistemas Eléctricos, S.A. de C.V.</v>
          </cell>
          <cell r="C1462" t="str">
            <v>-</v>
          </cell>
          <cell r="D1462" t="str">
            <v>Av. de la Montaña</v>
          </cell>
          <cell r="F1462">
            <v>102</v>
          </cell>
          <cell r="G1462" t="str">
            <v>Parque Industrial Queretaro</v>
          </cell>
          <cell r="H1462">
            <v>76220</v>
          </cell>
          <cell r="I1462" t="str">
            <v>Querétaro</v>
          </cell>
          <cell r="J1462" t="str">
            <v>Querétaro</v>
          </cell>
          <cell r="K1462" t="str">
            <v>México</v>
          </cell>
          <cell r="O1462" t="str">
            <v>NOHEMI RODRIGUEZ</v>
          </cell>
        </row>
        <row r="1463">
          <cell r="A1463">
            <v>1466</v>
          </cell>
          <cell r="B1463" t="str">
            <v>SEMIC S.A. de C.V.</v>
          </cell>
          <cell r="C1463" t="str">
            <v>SEM8801049X7</v>
          </cell>
          <cell r="D1463" t="str">
            <v>Av. de la Industria</v>
          </cell>
          <cell r="E1463" t="str">
            <v>-</v>
          </cell>
          <cell r="F1463">
            <v>114</v>
          </cell>
          <cell r="G1463" t="str">
            <v>Cuautitlan Izcalli</v>
          </cell>
          <cell r="H1463">
            <v>54716</v>
          </cell>
          <cell r="I1463" t="str">
            <v>Cuautitlan Izcalli</v>
          </cell>
          <cell r="J1463" t="str">
            <v>Estado de México</v>
          </cell>
          <cell r="K1463" t="str">
            <v>México</v>
          </cell>
        </row>
        <row r="1464">
          <cell r="A1464">
            <v>1467</v>
          </cell>
          <cell r="B1464" t="str">
            <v>MAQUINADOS Y SOPORTE INDUSTRIAL S.A. de C.V.</v>
          </cell>
          <cell r="C1464" t="str">
            <v>MSI170706V70</v>
          </cell>
          <cell r="D1464" t="str">
            <v xml:space="preserve">Lago  </v>
          </cell>
          <cell r="E1464" t="str">
            <v>-</v>
          </cell>
          <cell r="F1464">
            <v>112</v>
          </cell>
          <cell r="G1464" t="str">
            <v>Santa Monica</v>
          </cell>
          <cell r="H1464">
            <v>76138</v>
          </cell>
          <cell r="I1464" t="str">
            <v>Querétaro</v>
          </cell>
          <cell r="J1464" t="str">
            <v>Querétaro</v>
          </cell>
          <cell r="K1464" t="str">
            <v>México</v>
          </cell>
        </row>
        <row r="1465">
          <cell r="A1465">
            <v>1468</v>
          </cell>
          <cell r="B1465" t="str">
            <v>DR. ENC. S.A. de C.V.</v>
          </cell>
          <cell r="C1465" t="str">
            <v>-</v>
          </cell>
          <cell r="D1465" t="str">
            <v xml:space="preserve">Avenida Hércules    </v>
          </cell>
          <cell r="E1465" t="str">
            <v>-</v>
          </cell>
          <cell r="F1465" t="str">
            <v>s/n</v>
          </cell>
          <cell r="G1465" t="str">
            <v>Parque Polígono Empresarial</v>
          </cell>
          <cell r="H1465">
            <v>76220</v>
          </cell>
          <cell r="I1465" t="str">
            <v>Santa Rosa Jáuregui</v>
          </cell>
          <cell r="J1465" t="str">
            <v>Querétaro</v>
          </cell>
          <cell r="K1465" t="str">
            <v>México</v>
          </cell>
          <cell r="O1465" t="str">
            <v>PLANTA 2</v>
          </cell>
        </row>
        <row r="1466">
          <cell r="A1466">
            <v>1469</v>
          </cell>
          <cell r="B1466" t="str">
            <v>Comestel Automotive Technologies Mexicana S. de R.L. de C.V.</v>
          </cell>
          <cell r="C1466" t="str">
            <v>-</v>
          </cell>
          <cell r="D1466" t="str">
            <v xml:space="preserve">Logistica Integral del Bajio </v>
          </cell>
          <cell r="E1466" t="str">
            <v>-</v>
          </cell>
          <cell r="F1466" t="str">
            <v>Bodega 1 y 3</v>
          </cell>
          <cell r="G1466" t="str">
            <v>Ciudad Industrial</v>
          </cell>
          <cell r="H1466">
            <v>36541</v>
          </cell>
          <cell r="I1466" t="str">
            <v>Irapuato</v>
          </cell>
          <cell r="J1466" t="str">
            <v>Guanajuato</v>
          </cell>
          <cell r="K1466" t="str">
            <v>México</v>
          </cell>
        </row>
        <row r="1467">
          <cell r="A1467">
            <v>1470</v>
          </cell>
          <cell r="B1467" t="str">
            <v>Vegetales Frescos de San Jose S.P.R. de R.L.</v>
          </cell>
          <cell r="C1467" t="str">
            <v>-</v>
          </cell>
          <cell r="D1467" t="str">
            <v>Rancho San Vicente</v>
          </cell>
          <cell r="E1467" t="str">
            <v>-</v>
          </cell>
          <cell r="F1467" t="str">
            <v>S/N</v>
          </cell>
          <cell r="G1467" t="str">
            <v>San Vicente</v>
          </cell>
          <cell r="H1467">
            <v>37700</v>
          </cell>
          <cell r="I1467" t="str">
            <v>San Miguel de Allende</v>
          </cell>
          <cell r="J1467" t="str">
            <v>Guanajuato</v>
          </cell>
          <cell r="K1467" t="str">
            <v>México</v>
          </cell>
        </row>
        <row r="1468">
          <cell r="A1468">
            <v>1471</v>
          </cell>
          <cell r="B1468" t="str">
            <v>AMVIAN MEXICO S. DE R.L. de C.V.</v>
          </cell>
          <cell r="C1468" t="str">
            <v>-</v>
          </cell>
          <cell r="D1468" t="str">
            <v xml:space="preserve">Libramiento Oscar Flores Tapia </v>
          </cell>
          <cell r="E1468" t="str">
            <v>Int. 3</v>
          </cell>
          <cell r="F1468">
            <v>1305</v>
          </cell>
          <cell r="G1468" t="str">
            <v>Parque Industrial Amistad</v>
          </cell>
          <cell r="H1468" t="str">
            <v>-</v>
          </cell>
          <cell r="I1468" t="str">
            <v>Ramos Arizpe</v>
          </cell>
          <cell r="J1468" t="str">
            <v>Coahuila</v>
          </cell>
          <cell r="K1468" t="str">
            <v>México</v>
          </cell>
        </row>
        <row r="1469">
          <cell r="A1469">
            <v>1472</v>
          </cell>
          <cell r="B1469" t="str">
            <v>FR-TECNOLOGÍAS DE FLUJO S.A. de C.V.</v>
          </cell>
          <cell r="C1469" t="str">
            <v>-</v>
          </cell>
          <cell r="D1469" t="str">
            <v>Av. Miguel de Cervantes</v>
          </cell>
          <cell r="E1469" t="str">
            <v>-</v>
          </cell>
          <cell r="F1469">
            <v>111</v>
          </cell>
          <cell r="G1469" t="str">
            <v>Complejo Industrial Chihuahua</v>
          </cell>
          <cell r="H1469">
            <v>31136</v>
          </cell>
          <cell r="I1469" t="str">
            <v>Chihuahua</v>
          </cell>
          <cell r="J1469" t="str">
            <v>Chihuahua</v>
          </cell>
          <cell r="K1469" t="str">
            <v>México</v>
          </cell>
        </row>
        <row r="1470">
          <cell r="A1470">
            <v>1473</v>
          </cell>
          <cell r="B1470" t="str">
            <v>ROTOPLAST, S.A. de C.V.</v>
          </cell>
          <cell r="C1470" t="str">
            <v>-</v>
          </cell>
          <cell r="D1470" t="str">
            <v>Centro Leon, Carretera a Santa Ana del Conde</v>
          </cell>
          <cell r="E1470" t="str">
            <v>-</v>
          </cell>
          <cell r="F1470">
            <v>1650</v>
          </cell>
          <cell r="G1470" t="str">
            <v>Ejido Los López</v>
          </cell>
          <cell r="H1470">
            <v>37680</v>
          </cell>
          <cell r="I1470" t="str">
            <v>Leon</v>
          </cell>
          <cell r="J1470" t="str">
            <v>Guanajuato</v>
          </cell>
          <cell r="K1470" t="str">
            <v>México</v>
          </cell>
        </row>
        <row r="1471">
          <cell r="A1471">
            <v>1474</v>
          </cell>
          <cell r="B1471" t="str">
            <v>SAMOT INDUSTRIA MECÁNICA</v>
          </cell>
          <cell r="C1471" t="str">
            <v>-</v>
          </cell>
          <cell r="D1471" t="str">
            <v>Circuito Mexiamora Pte.</v>
          </cell>
          <cell r="E1471" t="str">
            <v>-</v>
          </cell>
          <cell r="F1471">
            <v>170</v>
          </cell>
          <cell r="G1471" t="str">
            <v>Puerto Interior</v>
          </cell>
          <cell r="H1471">
            <v>36275</v>
          </cell>
          <cell r="I1471" t="str">
            <v>Silao</v>
          </cell>
          <cell r="J1471" t="str">
            <v>Guanajuato</v>
          </cell>
          <cell r="K1471" t="str">
            <v>México</v>
          </cell>
        </row>
        <row r="1472">
          <cell r="A1472">
            <v>1475</v>
          </cell>
          <cell r="B1472" t="str">
            <v>Saint Gobain</v>
          </cell>
          <cell r="C1472" t="str">
            <v>-</v>
          </cell>
          <cell r="D1472" t="str">
            <v>Industria Aeroespacial</v>
          </cell>
          <cell r="E1472" t="str">
            <v>-</v>
          </cell>
          <cell r="F1472">
            <v>3601</v>
          </cell>
          <cell r="G1472" t="str">
            <v>Parque Industrial Ramoz Arispe</v>
          </cell>
          <cell r="H1472">
            <v>25900</v>
          </cell>
          <cell r="I1472" t="str">
            <v>Coahuila</v>
          </cell>
          <cell r="J1472" t="str">
            <v>Coahuila</v>
          </cell>
          <cell r="K1472" t="str">
            <v>México</v>
          </cell>
        </row>
        <row r="1473">
          <cell r="A1473">
            <v>1476</v>
          </cell>
          <cell r="B1473" t="str">
            <v xml:space="preserve">BARCA DE MEXICO S.A. de C.V. </v>
          </cell>
          <cell r="C1473" t="str">
            <v>-</v>
          </cell>
          <cell r="D1473" t="str">
            <v xml:space="preserve">Camino a paso de mata </v>
          </cell>
          <cell r="E1473" t="str">
            <v>-</v>
          </cell>
          <cell r="F1473">
            <v>1</v>
          </cell>
          <cell r="G1473" t="str">
            <v>Paso de Mata</v>
          </cell>
          <cell r="H1473">
            <v>76830</v>
          </cell>
          <cell r="I1473" t="str">
            <v>San Juan del Río</v>
          </cell>
          <cell r="J1473" t="str">
            <v>Querétaro</v>
          </cell>
          <cell r="K1473" t="str">
            <v>México</v>
          </cell>
        </row>
        <row r="1474">
          <cell r="A1474">
            <v>1477</v>
          </cell>
          <cell r="B1474" t="str">
            <v>Berro Industrial y Servicios S.A. de C.V.</v>
          </cell>
          <cell r="C1474" t="str">
            <v>-</v>
          </cell>
          <cell r="D1474" t="str">
            <v xml:space="preserve">Av. Carlos Canseco </v>
          </cell>
          <cell r="E1474" t="str">
            <v>Local 203</v>
          </cell>
          <cell r="F1474">
            <v>6052</v>
          </cell>
          <cell r="G1474" t="str">
            <v>La Marina</v>
          </cell>
          <cell r="H1474">
            <v>82103</v>
          </cell>
          <cell r="I1474" t="str">
            <v>Mazatlán</v>
          </cell>
          <cell r="J1474" t="str">
            <v>Sinaloa</v>
          </cell>
          <cell r="K1474" t="str">
            <v>Mexico</v>
          </cell>
        </row>
        <row r="1475">
          <cell r="A1475">
            <v>1478</v>
          </cell>
          <cell r="B1475" t="str">
            <v>Manufacturas Estampadas S.A. de C.V.</v>
          </cell>
          <cell r="C1475" t="str">
            <v>-</v>
          </cell>
          <cell r="D1475" t="str">
            <v xml:space="preserve">Juan Ruiz de Alarcon </v>
          </cell>
          <cell r="E1475" t="str">
            <v>-</v>
          </cell>
          <cell r="F1475">
            <v>305</v>
          </cell>
          <cell r="G1475" t="str">
            <v>Complejo Industrial Chihuahua</v>
          </cell>
          <cell r="H1475">
            <v>31136</v>
          </cell>
          <cell r="I1475" t="str">
            <v>Chihuahua</v>
          </cell>
          <cell r="J1475" t="str">
            <v>Chihuahua</v>
          </cell>
          <cell r="K1475" t="str">
            <v>Mexico</v>
          </cell>
        </row>
        <row r="1476">
          <cell r="A1476">
            <v>1479</v>
          </cell>
          <cell r="B1476" t="str">
            <v>MAQUINARIA MAGNUM</v>
          </cell>
          <cell r="C1476" t="str">
            <v>-</v>
          </cell>
          <cell r="D1476" t="str">
            <v>Parque Industrial Las Americas</v>
          </cell>
          <cell r="E1476" t="str">
            <v>Lote 21</v>
          </cell>
          <cell r="F1476">
            <v>220</v>
          </cell>
          <cell r="G1476" t="str">
            <v>Parque Industrial Las Americas</v>
          </cell>
          <cell r="H1476">
            <v>27278</v>
          </cell>
          <cell r="I1476" t="str">
            <v>Torreon</v>
          </cell>
          <cell r="J1476" t="str">
            <v>Coahuila</v>
          </cell>
          <cell r="K1476" t="str">
            <v>Mexico</v>
          </cell>
        </row>
        <row r="1477">
          <cell r="A1477">
            <v>1480</v>
          </cell>
          <cell r="B1477" t="str">
            <v>TOPURA FASTENER DE MEXICO S.A. de C.V.</v>
          </cell>
          <cell r="C1477" t="str">
            <v>-</v>
          </cell>
          <cell r="D1477" t="str">
            <v>Avenida Rio Ota</v>
          </cell>
          <cell r="E1477" t="str">
            <v>B</v>
          </cell>
          <cell r="F1477">
            <v>462</v>
          </cell>
          <cell r="G1477" t="str">
            <v>Parque Tecno Industrial Castro del Río</v>
          </cell>
          <cell r="H1477">
            <v>36810</v>
          </cell>
          <cell r="I1477" t="str">
            <v>Irapuato</v>
          </cell>
          <cell r="J1477" t="str">
            <v>Guanajuato</v>
          </cell>
          <cell r="K1477" t="str">
            <v>Mexico</v>
          </cell>
        </row>
        <row r="1478">
          <cell r="A1478">
            <v>1481</v>
          </cell>
          <cell r="B1478" t="str">
            <v>SAFRAN ELECTRICAL &amp; POWER MEXICO S.A. de C.V.</v>
          </cell>
          <cell r="C1478" t="str">
            <v>-</v>
          </cell>
          <cell r="D1478" t="str">
            <v>Calle Nicolas Gogol</v>
          </cell>
          <cell r="E1478" t="str">
            <v>-</v>
          </cell>
          <cell r="F1478">
            <v>11322</v>
          </cell>
          <cell r="G1478" t="str">
            <v>Complejo Industrial Chihuahua</v>
          </cell>
          <cell r="H1478">
            <v>31136</v>
          </cell>
          <cell r="I1478" t="str">
            <v>Chihuahua</v>
          </cell>
          <cell r="J1478" t="str">
            <v>Chihuahua</v>
          </cell>
          <cell r="K1478" t="str">
            <v>Mexico</v>
          </cell>
        </row>
        <row r="1479">
          <cell r="A1479">
            <v>1482</v>
          </cell>
          <cell r="B1479" t="str">
            <v>New Dynacast de México S.A. de C.V.</v>
          </cell>
          <cell r="C1479" t="str">
            <v>-</v>
          </cell>
          <cell r="D1479" t="str">
            <v>Avenida Tejocotes</v>
          </cell>
          <cell r="E1479" t="str">
            <v>Nave 2-A</v>
          </cell>
          <cell r="F1479">
            <v>77</v>
          </cell>
          <cell r="G1479" t="str">
            <v>San Martin Obispo Park</v>
          </cell>
          <cell r="H1479">
            <v>54769</v>
          </cell>
          <cell r="I1479" t="str">
            <v>Cuautitlan Izcalli</v>
          </cell>
          <cell r="J1479" t="str">
            <v>Estado de México</v>
          </cell>
          <cell r="K1479" t="str">
            <v>Mexico</v>
          </cell>
        </row>
        <row r="1480">
          <cell r="A1480">
            <v>1483</v>
          </cell>
          <cell r="B1480" t="str">
            <v>Artifibras S.A. de C.V.</v>
          </cell>
          <cell r="C1480" t="str">
            <v>-</v>
          </cell>
          <cell r="D1480" t="str">
            <v xml:space="preserve">Boulerad Industrial </v>
          </cell>
          <cell r="E1480" t="str">
            <v>-</v>
          </cell>
          <cell r="F1480">
            <v>444</v>
          </cell>
          <cell r="G1480" t="str">
            <v>Eduardo Ruiz</v>
          </cell>
          <cell r="H1480">
            <v>60130</v>
          </cell>
          <cell r="I1480" t="str">
            <v>Uruapan</v>
          </cell>
          <cell r="J1480" t="str">
            <v>Michoacan</v>
          </cell>
          <cell r="K1480" t="str">
            <v>Mexico</v>
          </cell>
        </row>
        <row r="1481">
          <cell r="A1481">
            <v>1484</v>
          </cell>
          <cell r="B1481" t="str">
            <v>Productos Doblados de México S.A. de C.V.</v>
          </cell>
          <cell r="C1481" t="str">
            <v>-</v>
          </cell>
          <cell r="D1481" t="str">
            <v>Avenida Estados Unidos de América</v>
          </cell>
          <cell r="E1481" t="str">
            <v>-</v>
          </cell>
          <cell r="F1481">
            <v>114</v>
          </cell>
          <cell r="G1481" t="str">
            <v>San Francisco de los Romo</v>
          </cell>
          <cell r="H1481" t="str">
            <v>-</v>
          </cell>
          <cell r="I1481" t="str">
            <v>Aguascalientes</v>
          </cell>
          <cell r="J1481" t="str">
            <v>Aguascalientes</v>
          </cell>
          <cell r="K1481" t="str">
            <v>Mexico</v>
          </cell>
        </row>
        <row r="1482">
          <cell r="A1482">
            <v>1485</v>
          </cell>
          <cell r="B1482" t="str">
            <v>Hitachi Automotive Systems México, S.A. de C.V.</v>
          </cell>
          <cell r="C1482" t="str">
            <v>-</v>
          </cell>
          <cell r="D1482" t="str">
            <v xml:space="preserve">Ampliacion Parque Industrial Queretaro 3ra. Fase </v>
          </cell>
          <cell r="E1482" t="str">
            <v>-</v>
          </cell>
          <cell r="F1482" t="str">
            <v>-</v>
          </cell>
          <cell r="G1482" t="str">
            <v>Santa Rosa Jauregui</v>
          </cell>
          <cell r="H1482">
            <v>72220</v>
          </cell>
          <cell r="I1482" t="str">
            <v>Querétaro</v>
          </cell>
          <cell r="J1482" t="str">
            <v>Querétaro</v>
          </cell>
          <cell r="K1482" t="str">
            <v>Mexico</v>
          </cell>
        </row>
        <row r="1483">
          <cell r="A1483">
            <v>1486</v>
          </cell>
          <cell r="B1483" t="str">
            <v xml:space="preserve">KOSTAL Mexicana S.A. de C.V. </v>
          </cell>
          <cell r="C1483" t="str">
            <v>-</v>
          </cell>
          <cell r="D1483" t="str">
            <v>Avenida el Marqués</v>
          </cell>
          <cell r="F1483">
            <v>50</v>
          </cell>
          <cell r="G1483" t="str">
            <v>Parque Industrial Querétaro</v>
          </cell>
          <cell r="H1483">
            <v>76220</v>
          </cell>
          <cell r="I1483" t="str">
            <v>Santa Rosa Jáuregui</v>
          </cell>
          <cell r="J1483" t="str">
            <v>Querétaro</v>
          </cell>
          <cell r="K1483" t="str">
            <v>México</v>
          </cell>
        </row>
        <row r="1484">
          <cell r="A1484">
            <v>1487</v>
          </cell>
          <cell r="B1484" t="str">
            <v>CUMMINS GRUPO INDUSTRIAL S. de R.L. de C.V.</v>
          </cell>
          <cell r="C1484" t="str">
            <v>-</v>
          </cell>
          <cell r="D1484" t="str">
            <v>Boulevard Juan Pablo II</v>
          </cell>
          <cell r="E1484" t="str">
            <v>-</v>
          </cell>
          <cell r="F1484">
            <v>1951</v>
          </cell>
          <cell r="G1484" t="str">
            <v>Fraccionamiento Rio Bravo</v>
          </cell>
          <cell r="H1484">
            <v>32550</v>
          </cell>
          <cell r="I1484" t="str">
            <v>Ciudad Juárez</v>
          </cell>
          <cell r="J1484" t="str">
            <v>Chihuahua</v>
          </cell>
          <cell r="K1484" t="str">
            <v>Mexico</v>
          </cell>
        </row>
        <row r="1485">
          <cell r="A1485">
            <v>1488</v>
          </cell>
          <cell r="B1485" t="str">
            <v>JAIME ARROYO HERNANDEZ</v>
          </cell>
          <cell r="C1485" t="str">
            <v>-</v>
          </cell>
          <cell r="D1485" t="str">
            <v>Campanitas</v>
          </cell>
          <cell r="E1485" t="str">
            <v>-</v>
          </cell>
          <cell r="F1485">
            <v>1</v>
          </cell>
          <cell r="G1485" t="str">
            <v>Colinas de Santa Cruz</v>
          </cell>
          <cell r="H1485">
            <v>76117</v>
          </cell>
          <cell r="I1485" t="str">
            <v>Querétaro</v>
          </cell>
          <cell r="J1485" t="str">
            <v>Querétaro</v>
          </cell>
          <cell r="K1485" t="str">
            <v>Mexico</v>
          </cell>
        </row>
        <row r="1486">
          <cell r="A1486">
            <v>1489</v>
          </cell>
          <cell r="B1486" t="str">
            <v>MARTIN BALDERAS BELTRAN</v>
          </cell>
          <cell r="C1486" t="str">
            <v>-</v>
          </cell>
          <cell r="D1486" t="str">
            <v xml:space="preserve">Privada de la Flor </v>
          </cell>
          <cell r="E1486">
            <v>3</v>
          </cell>
          <cell r="F1486">
            <v>106</v>
          </cell>
          <cell r="G1486" t="str">
            <v>Felipe Carrillo Puerto</v>
          </cell>
          <cell r="H1486" t="str">
            <v>-</v>
          </cell>
          <cell r="I1486" t="str">
            <v>Querétaro</v>
          </cell>
          <cell r="J1486" t="str">
            <v>Querétaro</v>
          </cell>
          <cell r="K1486" t="str">
            <v>Mexico</v>
          </cell>
        </row>
        <row r="1487">
          <cell r="A1487">
            <v>1490</v>
          </cell>
          <cell r="B1487" t="str">
            <v>Shoshiba Mexicana S.A. de C.V.</v>
          </cell>
          <cell r="C1487" t="str">
            <v>-</v>
          </cell>
          <cell r="D1487" t="str">
            <v>Carretera 45 Norte, Km 14.3 325 A Jesús Gómez Portugal</v>
          </cell>
          <cell r="E1487" t="str">
            <v>-</v>
          </cell>
          <cell r="F1487" t="str">
            <v>-</v>
          </cell>
          <cell r="G1487" t="str">
            <v>-</v>
          </cell>
          <cell r="H1487" t="str">
            <v>-</v>
          </cell>
          <cell r="I1487" t="str">
            <v>-</v>
          </cell>
          <cell r="J1487" t="str">
            <v>-</v>
          </cell>
          <cell r="K1487" t="str">
            <v>Mexico</v>
          </cell>
        </row>
        <row r="1488">
          <cell r="A1488">
            <v>1491</v>
          </cell>
          <cell r="B1488" t="str">
            <v>Jonathan Engineered Solutions</v>
          </cell>
          <cell r="C1488" t="str">
            <v>-</v>
          </cell>
          <cell r="D1488" t="str">
            <v>-</v>
          </cell>
          <cell r="E1488" t="str">
            <v>-</v>
          </cell>
          <cell r="F1488" t="str">
            <v>-</v>
          </cell>
          <cell r="G1488" t="str">
            <v>Parque Industrial Siglo XXI</v>
          </cell>
          <cell r="H1488" t="str">
            <v>-</v>
          </cell>
          <cell r="I1488" t="str">
            <v>Mexicali</v>
          </cell>
          <cell r="J1488" t="str">
            <v>Baja California</v>
          </cell>
          <cell r="K1488" t="str">
            <v>Mexico</v>
          </cell>
        </row>
        <row r="1489">
          <cell r="A1489">
            <v>1492</v>
          </cell>
          <cell r="B1489" t="str">
            <v>Vorwerk Autotec de México S.A. de C.V.</v>
          </cell>
          <cell r="C1489" t="str">
            <v>-</v>
          </cell>
          <cell r="D1489" t="str">
            <v>Av. Villa de Lagos Sur</v>
          </cell>
          <cell r="E1489" t="str">
            <v>-</v>
          </cell>
          <cell r="F1489">
            <v>1080</v>
          </cell>
          <cell r="G1489" t="str">
            <v>Parque Industrial Colinas de Lago</v>
          </cell>
          <cell r="H1489">
            <v>47515</v>
          </cell>
          <cell r="I1489" t="str">
            <v>Lagos de Moreno</v>
          </cell>
          <cell r="J1489" t="str">
            <v>Jalisco</v>
          </cell>
          <cell r="K1489" t="str">
            <v>Mexico</v>
          </cell>
        </row>
        <row r="1490">
          <cell r="A1490">
            <v>1493</v>
          </cell>
          <cell r="B1490" t="str">
            <v>Witzenmann Metal Products México S.A. de C.V.</v>
          </cell>
          <cell r="C1490" t="str">
            <v>-</v>
          </cell>
          <cell r="D1490" t="str">
            <v>Av. La Cruz</v>
          </cell>
          <cell r="E1490" t="str">
            <v>-</v>
          </cell>
          <cell r="F1490">
            <v>101</v>
          </cell>
          <cell r="G1490" t="str">
            <v>Parque Industrial Amistad Bajío</v>
          </cell>
          <cell r="H1490">
            <v>38180</v>
          </cell>
          <cell r="I1490" t="str">
            <v>Apaseo el Grande</v>
          </cell>
          <cell r="J1490" t="str">
            <v>Guanajuato</v>
          </cell>
          <cell r="K1490" t="str">
            <v>Mexico</v>
          </cell>
        </row>
        <row r="1491">
          <cell r="A1491">
            <v>1494</v>
          </cell>
          <cell r="B1491" t="str">
            <v>ESMALTERIA SAN IGNACIO S.A. de C.V.</v>
          </cell>
          <cell r="C1491" t="str">
            <v>-</v>
          </cell>
          <cell r="D1491" t="str">
            <v>Acceso IV</v>
          </cell>
          <cell r="E1491" t="str">
            <v>-</v>
          </cell>
          <cell r="F1491">
            <v>15</v>
          </cell>
          <cell r="G1491" t="str">
            <v>Fraccionamiento Industrial Benito Juarez</v>
          </cell>
          <cell r="H1491">
            <v>76120</v>
          </cell>
          <cell r="I1491" t="str">
            <v>Querétaro</v>
          </cell>
          <cell r="J1491" t="str">
            <v>Querétaro</v>
          </cell>
          <cell r="K1491" t="str">
            <v>Mexico</v>
          </cell>
        </row>
        <row r="1492">
          <cell r="A1492">
            <v>1495</v>
          </cell>
          <cell r="B1492" t="str">
            <v>CMS Turbomecánica S.A. de C.V.</v>
          </cell>
          <cell r="C1492" t="str">
            <v>-</v>
          </cell>
          <cell r="D1492" t="str">
            <v>Sierra del Pacifico</v>
          </cell>
          <cell r="E1492" t="str">
            <v>-</v>
          </cell>
          <cell r="F1492">
            <v>5</v>
          </cell>
          <cell r="G1492" t="str">
            <v>La Sierrita</v>
          </cell>
          <cell r="H1492">
            <v>76154</v>
          </cell>
          <cell r="I1492" t="str">
            <v>Querétaro</v>
          </cell>
          <cell r="J1492" t="str">
            <v>Querétaro</v>
          </cell>
          <cell r="K1492" t="str">
            <v>Mexico</v>
          </cell>
        </row>
        <row r="1493">
          <cell r="A1493">
            <v>1496</v>
          </cell>
          <cell r="B1493" t="str">
            <v>Industria Nacional de Troqueles</v>
          </cell>
          <cell r="C1493" t="str">
            <v>-</v>
          </cell>
          <cell r="D1493" t="str">
            <v>Calle 6, KM 12-13 Via Bogota - Mosquera (Cundinamarca-Colombia)</v>
          </cell>
          <cell r="F1493" t="str">
            <v>1-99E</v>
          </cell>
          <cell r="G1493" t="str">
            <v>-</v>
          </cell>
          <cell r="H1493" t="str">
            <v>-</v>
          </cell>
          <cell r="I1493" t="str">
            <v>-</v>
          </cell>
          <cell r="J1493" t="str">
            <v>-</v>
          </cell>
          <cell r="K1493" t="str">
            <v>-</v>
          </cell>
        </row>
        <row r="1494">
          <cell r="A1494">
            <v>1497</v>
          </cell>
          <cell r="B1494" t="str">
            <v>Gates de México, S.A. de C.V.</v>
          </cell>
          <cell r="C1494" t="str">
            <v>-</v>
          </cell>
          <cell r="D1494" t="str">
            <v>Calle 6 entre 4 y 14</v>
          </cell>
          <cell r="E1494" t="str">
            <v>-</v>
          </cell>
          <cell r="F1494" t="str">
            <v>-</v>
          </cell>
          <cell r="G1494" t="str">
            <v>Parque Industrial Atlacomulco</v>
          </cell>
          <cell r="H1494">
            <v>50450</v>
          </cell>
          <cell r="I1494" t="str">
            <v>Atlacomulco</v>
          </cell>
          <cell r="J1494" t="str">
            <v>-</v>
          </cell>
          <cell r="K1494" t="str">
            <v>Mexico</v>
          </cell>
        </row>
        <row r="1495">
          <cell r="A1495">
            <v>1498</v>
          </cell>
          <cell r="B1495" t="str">
            <v>AUTOMATIZACIÓN DISEÑO INDUSTRIAL Y MAQUINADOS</v>
          </cell>
          <cell r="C1495" t="str">
            <v>-</v>
          </cell>
          <cell r="D1495" t="str">
            <v>San Uriel</v>
          </cell>
          <cell r="E1495" t="str">
            <v>-</v>
          </cell>
          <cell r="F1495">
            <v>17</v>
          </cell>
          <cell r="G1495" t="str">
            <v>Los Ángeles</v>
          </cell>
          <cell r="H1495" t="str">
            <v>-</v>
          </cell>
          <cell r="I1495" t="str">
            <v>Corregidora</v>
          </cell>
          <cell r="J1495" t="str">
            <v>Querétaro</v>
          </cell>
          <cell r="K1495" t="str">
            <v>Mexico</v>
          </cell>
        </row>
        <row r="1496">
          <cell r="A1496">
            <v>1499</v>
          </cell>
          <cell r="B1496" t="str">
            <v>Unión de Resortes S.A.</v>
          </cell>
          <cell r="C1496" t="str">
            <v>-</v>
          </cell>
          <cell r="D1496" t="str">
            <v xml:space="preserve">Avenida de las Fuentes </v>
          </cell>
          <cell r="E1496" t="str">
            <v>-</v>
          </cell>
          <cell r="F1496">
            <v>4</v>
          </cell>
          <cell r="G1496" t="str">
            <v>Parque Industrial Bernardo Quintana</v>
          </cell>
          <cell r="H1496" t="str">
            <v>-</v>
          </cell>
          <cell r="I1496" t="str">
            <v>Querétaro</v>
          </cell>
          <cell r="J1496" t="str">
            <v>Querétaro</v>
          </cell>
          <cell r="K1496" t="str">
            <v>Mexico</v>
          </cell>
        </row>
        <row r="1497">
          <cell r="A1497">
            <v>1500</v>
          </cell>
          <cell r="B1497" t="str">
            <v>Vestas WTG México, S.A. de C.V.</v>
          </cell>
          <cell r="C1497" t="str">
            <v>-</v>
          </cell>
          <cell r="D1497" t="str">
            <v>Av. Paseo de la Reforma</v>
          </cell>
          <cell r="E1497" t="str">
            <v>Piso 7</v>
          </cell>
          <cell r="F1497">
            <v>115</v>
          </cell>
          <cell r="G1497" t="str">
            <v>Lomas de Chapultepec</v>
          </cell>
          <cell r="H1497">
            <v>11000</v>
          </cell>
          <cell r="I1497" t="str">
            <v>Delegación Miguel Hidalgo</v>
          </cell>
          <cell r="J1497" t="str">
            <v>Distrito Federal</v>
          </cell>
          <cell r="K1497" t="str">
            <v>Mexico</v>
          </cell>
        </row>
        <row r="1498">
          <cell r="A1498">
            <v>1501</v>
          </cell>
          <cell r="B1498" t="str">
            <v>COMPUESTOS TKNSET, S. de R.L. de C.V.</v>
          </cell>
          <cell r="C1498" t="str">
            <v>-</v>
          </cell>
          <cell r="D1498" t="str">
            <v>Av. De Las Fuentes</v>
          </cell>
          <cell r="E1498">
            <v>1</v>
          </cell>
          <cell r="F1498">
            <v>92</v>
          </cell>
          <cell r="G1498" t="str">
            <v>Parque Industrial FINSA</v>
          </cell>
          <cell r="H1498">
            <v>76246</v>
          </cell>
          <cell r="I1498" t="str">
            <v>El Marques</v>
          </cell>
          <cell r="J1498" t="str">
            <v>Querétaro</v>
          </cell>
          <cell r="K1498" t="str">
            <v>Mexico</v>
          </cell>
        </row>
        <row r="1499">
          <cell r="A1499">
            <v>1502</v>
          </cell>
          <cell r="B1499" t="str">
            <v>Safran Aero Composites México</v>
          </cell>
          <cell r="C1499" t="str">
            <v>-</v>
          </cell>
          <cell r="D1499" t="str">
            <v>Carretera Estatal 200 , Km 25+547</v>
          </cell>
          <cell r="E1499" t="str">
            <v xml:space="preserve">M   </v>
          </cell>
          <cell r="F1499" t="str">
            <v>-</v>
          </cell>
          <cell r="G1499" t="str">
            <v>Parque Aeroespacial de Querétaro</v>
          </cell>
          <cell r="H1499">
            <v>76278</v>
          </cell>
          <cell r="I1499" t="str">
            <v>Colón</v>
          </cell>
          <cell r="J1499" t="str">
            <v>Querétaro</v>
          </cell>
          <cell r="K1499" t="str">
            <v>Mexico</v>
          </cell>
        </row>
        <row r="1500">
          <cell r="A1500">
            <v>1503</v>
          </cell>
          <cell r="B1500" t="str">
            <v>AGM Durmont México, S. de R. L. de C. V.</v>
          </cell>
          <cell r="C1500" t="str">
            <v>-</v>
          </cell>
          <cell r="D1500" t="str">
            <v>Av. Colon</v>
          </cell>
          <cell r="E1500" t="str">
            <v>-</v>
          </cell>
          <cell r="F1500">
            <v>2</v>
          </cell>
          <cell r="G1500" t="str">
            <v>Parque Industrial Aerotech, Galeras</v>
          </cell>
          <cell r="H1500">
            <v>76295</v>
          </cell>
          <cell r="I1500" t="str">
            <v>Colón</v>
          </cell>
          <cell r="J1500" t="str">
            <v>Querétaro</v>
          </cell>
          <cell r="K1500" t="str">
            <v>Mexico</v>
          </cell>
        </row>
        <row r="1501">
          <cell r="A1501">
            <v>1504</v>
          </cell>
          <cell r="B1501" t="str">
            <v>Fulltech Casting México S. de R.L. de C.V.</v>
          </cell>
          <cell r="C1501" t="str">
            <v>-</v>
          </cell>
          <cell r="D1501" t="str">
            <v>Carretera Federal 57 Km 194+813, Autopista México-Querétaro</v>
          </cell>
          <cell r="E1501" t="str">
            <v>-</v>
          </cell>
          <cell r="F1501" t="str">
            <v>-</v>
          </cell>
          <cell r="G1501" t="str">
            <v>Parque Industrial La Bomba</v>
          </cell>
          <cell r="H1501">
            <v>76246</v>
          </cell>
          <cell r="I1501" t="str">
            <v>El Marques</v>
          </cell>
          <cell r="J1501" t="str">
            <v>Querétaro</v>
          </cell>
          <cell r="K1501" t="str">
            <v>Mexico</v>
          </cell>
        </row>
        <row r="1502">
          <cell r="A1502">
            <v>1505</v>
          </cell>
          <cell r="B1502" t="str">
            <v>Mecánica Tek, S.A. de C.V.</v>
          </cell>
          <cell r="C1502" t="str">
            <v>-</v>
          </cell>
          <cell r="D1502" t="str">
            <v>Carretera a Las Trancas Coatepec-Xalapa Km 1.5</v>
          </cell>
          <cell r="E1502" t="str">
            <v>-</v>
          </cell>
          <cell r="F1502" t="str">
            <v>-</v>
          </cell>
          <cell r="G1502" t="str">
            <v>-</v>
          </cell>
          <cell r="H1502">
            <v>91500</v>
          </cell>
          <cell r="I1502" t="str">
            <v>Coatepec</v>
          </cell>
          <cell r="J1502" t="str">
            <v>Veracruz</v>
          </cell>
          <cell r="K1502" t="str">
            <v>Mexico</v>
          </cell>
        </row>
        <row r="1503">
          <cell r="A1503">
            <v>1506</v>
          </cell>
          <cell r="B1503" t="str">
            <v>Dynacast de México S.A. de C.V.</v>
          </cell>
          <cell r="C1503" t="str">
            <v>-</v>
          </cell>
          <cell r="D1503" t="str">
            <v>Avenida Tejocotes</v>
          </cell>
          <cell r="E1503" t="str">
            <v>Nave 2-A</v>
          </cell>
          <cell r="F1503">
            <v>77</v>
          </cell>
          <cell r="G1503" t="str">
            <v>San Martin Obispo Park</v>
          </cell>
          <cell r="H1503">
            <v>54769</v>
          </cell>
          <cell r="I1503" t="str">
            <v>Cuautitlan Izcalli</v>
          </cell>
          <cell r="J1503" t="str">
            <v>Estado de México</v>
          </cell>
          <cell r="K1503" t="str">
            <v>Mexico</v>
          </cell>
        </row>
        <row r="1504">
          <cell r="A1504">
            <v>1507</v>
          </cell>
          <cell r="B1504" t="str">
            <v>STAMPTEK</v>
          </cell>
          <cell r="C1504" t="str">
            <v>-</v>
          </cell>
          <cell r="D1504" t="str">
            <v>San Rfael</v>
          </cell>
          <cell r="E1504" t="str">
            <v>-</v>
          </cell>
          <cell r="F1504">
            <v>89</v>
          </cell>
          <cell r="G1504" t="str">
            <v>Tepezala</v>
          </cell>
          <cell r="H1504">
            <v>20607</v>
          </cell>
          <cell r="I1504" t="str">
            <v>Aguascalientes</v>
          </cell>
          <cell r="J1504" t="str">
            <v>Aguascalientes</v>
          </cell>
          <cell r="K1504" t="str">
            <v>Mexico</v>
          </cell>
        </row>
        <row r="1505">
          <cell r="A1505">
            <v>1508</v>
          </cell>
          <cell r="B1505" t="str">
            <v>Aguascalientes Steel Coil (ASC)</v>
          </cell>
          <cell r="C1505" t="str">
            <v>-</v>
          </cell>
          <cell r="D1505" t="str">
            <v xml:space="preserve">Circuito Progreso </v>
          </cell>
          <cell r="E1505" t="str">
            <v>-</v>
          </cell>
          <cell r="F1505">
            <v>113</v>
          </cell>
          <cell r="G1505" t="str">
            <v>PILA Parque Industrial de Logística Automotriz</v>
          </cell>
          <cell r="H1505">
            <v>20340</v>
          </cell>
          <cell r="I1505" t="str">
            <v>Aguascalientes</v>
          </cell>
          <cell r="J1505" t="str">
            <v>Aguascalientes</v>
          </cell>
          <cell r="K1505" t="str">
            <v>Mexico</v>
          </cell>
        </row>
        <row r="1506">
          <cell r="A1506">
            <v>1509</v>
          </cell>
          <cell r="B1506" t="str">
            <v xml:space="preserve">LII UNITED PRODUCTS   </v>
          </cell>
          <cell r="C1506" t="str">
            <v>-</v>
          </cell>
          <cell r="D1506" t="str">
            <v xml:space="preserve">Libramiento Oscar Flores Tapia </v>
          </cell>
          <cell r="E1506" t="str">
            <v>-</v>
          </cell>
          <cell r="F1506">
            <v>1505</v>
          </cell>
          <cell r="G1506" t="str">
            <v>Parque Industrial Ramos Arizpe</v>
          </cell>
          <cell r="H1506">
            <v>25900</v>
          </cell>
          <cell r="I1506" t="str">
            <v>Ramos Arizpe</v>
          </cell>
          <cell r="J1506" t="str">
            <v>Coahuila</v>
          </cell>
          <cell r="K1506" t="str">
            <v>Mexico</v>
          </cell>
        </row>
        <row r="1507">
          <cell r="A1507">
            <v>1510</v>
          </cell>
          <cell r="B1507" t="str">
            <v>Metalmecánica Ajax, S.A. de C.V.</v>
          </cell>
          <cell r="C1507" t="str">
            <v>-</v>
          </cell>
          <cell r="D1507" t="str">
            <v>Privada del Retorno Uno</v>
          </cell>
          <cell r="E1507" t="str">
            <v>-</v>
          </cell>
          <cell r="F1507">
            <v>52</v>
          </cell>
          <cell r="G1507" t="str">
            <v>Fraccionamiento Agro-Industrial, La Cruz</v>
          </cell>
          <cell r="H1507">
            <v>76240</v>
          </cell>
          <cell r="I1507" t="str">
            <v>El Marqués</v>
          </cell>
          <cell r="J1507" t="str">
            <v>Querétaro</v>
          </cell>
          <cell r="K1507" t="str">
            <v>Mexico</v>
          </cell>
        </row>
        <row r="1508">
          <cell r="A1508">
            <v>1511</v>
          </cell>
          <cell r="B1508" t="str">
            <v>Valeo Sistemas Eléctricos, S.A. de C.V.</v>
          </cell>
          <cell r="C1508" t="str">
            <v>-</v>
          </cell>
          <cell r="D1508" t="str">
            <v>Av. La Estacada</v>
          </cell>
          <cell r="E1508" t="str">
            <v>-</v>
          </cell>
          <cell r="F1508">
            <v>121</v>
          </cell>
          <cell r="G1508" t="str">
            <v>Parque Industrial Querétaro</v>
          </cell>
          <cell r="H1508">
            <v>76220</v>
          </cell>
          <cell r="I1508" t="str">
            <v>Santa Rosa Jauregui</v>
          </cell>
          <cell r="J1508" t="str">
            <v>Querétaro</v>
          </cell>
          <cell r="K1508" t="str">
            <v>Mexico</v>
          </cell>
          <cell r="O1508" t="str">
            <v>Ángel de Jesus Hernández</v>
          </cell>
          <cell r="P1508" t="str">
            <v>PLANTA 3</v>
          </cell>
        </row>
        <row r="1509">
          <cell r="A1509">
            <v>1512</v>
          </cell>
          <cell r="B1509" t="str">
            <v>ESPECIALIDADES MECANICAS</v>
          </cell>
          <cell r="C1509" t="str">
            <v>-</v>
          </cell>
          <cell r="D1509" t="str">
            <v>Jesús Rivera Franco</v>
          </cell>
          <cell r="E1509" t="str">
            <v>-</v>
          </cell>
          <cell r="F1509">
            <v>301</v>
          </cell>
          <cell r="G1509" t="str">
            <v>Ciudad Industrial</v>
          </cell>
          <cell r="H1509">
            <v>20290</v>
          </cell>
          <cell r="I1509" t="str">
            <v>Aguascalientes</v>
          </cell>
          <cell r="J1509" t="str">
            <v>Aguascalientes</v>
          </cell>
          <cell r="K1509" t="str">
            <v>Mexico</v>
          </cell>
        </row>
        <row r="1510">
          <cell r="A1510">
            <v>1513</v>
          </cell>
          <cell r="B1510" t="str">
            <v>MINOX S. de R.L. de C.V.</v>
          </cell>
          <cell r="C1510" t="str">
            <v>-</v>
          </cell>
          <cell r="D1510" t="str">
            <v>Edison</v>
          </cell>
          <cell r="E1510" t="str">
            <v>-</v>
          </cell>
          <cell r="F1510">
            <v>70</v>
          </cell>
          <cell r="G1510" t="str">
            <v>Zona Industrial Valle de Oro</v>
          </cell>
          <cell r="H1510">
            <v>76803</v>
          </cell>
          <cell r="I1510" t="str">
            <v>San Juan del Río</v>
          </cell>
          <cell r="J1510" t="str">
            <v>Querétaro</v>
          </cell>
          <cell r="K1510" t="str">
            <v>Mexico</v>
          </cell>
        </row>
        <row r="1511">
          <cell r="A1511">
            <v>1514</v>
          </cell>
          <cell r="B1511" t="str">
            <v>SUMITOMO ELECTRIC SINTERED COMPONENTS MEXICO</v>
          </cell>
          <cell r="C1511" t="str">
            <v>-</v>
          </cell>
          <cell r="D1511" t="str">
            <v xml:space="preserve">Circuito Cerezos Oriente </v>
          </cell>
          <cell r="E1511" t="str">
            <v>-</v>
          </cell>
          <cell r="F1511">
            <v>104</v>
          </cell>
          <cell r="G1511" t="str">
            <v>Parque San Francisco IV</v>
          </cell>
          <cell r="H1511">
            <v>20355</v>
          </cell>
          <cell r="I1511" t="str">
            <v>San Francisco de los Romo</v>
          </cell>
          <cell r="J1511" t="str">
            <v>Aguascalientes</v>
          </cell>
          <cell r="K1511" t="str">
            <v>Mexico</v>
          </cell>
        </row>
        <row r="1512">
          <cell r="A1512">
            <v>1515</v>
          </cell>
          <cell r="B1512" t="str">
            <v>FUJIKIKO DE MEXICO S.A. de C.V.</v>
          </cell>
          <cell r="C1512" t="str">
            <v>-</v>
          </cell>
          <cell r="D1512" t="str">
            <v>Panamericana Norte Km14.3</v>
          </cell>
          <cell r="E1512" t="str">
            <v>-</v>
          </cell>
          <cell r="F1512" t="str">
            <v>-</v>
          </cell>
          <cell r="G1512" t="str">
            <v>Jesus Gomez Portugal</v>
          </cell>
          <cell r="H1512">
            <v>20909</v>
          </cell>
          <cell r="I1512" t="str">
            <v>Jesus Maria</v>
          </cell>
          <cell r="J1512" t="str">
            <v>Aguascalientes</v>
          </cell>
          <cell r="K1512" t="str">
            <v>Mexico</v>
          </cell>
        </row>
        <row r="1513">
          <cell r="A1513">
            <v>1516</v>
          </cell>
          <cell r="B1513" t="str">
            <v>Essity Higiene y Salud México, S.A. de C.V.</v>
          </cell>
          <cell r="C1513" t="str">
            <v>-</v>
          </cell>
          <cell r="D1513" t="str">
            <v>Av. De las Torres</v>
          </cell>
          <cell r="E1513" t="str">
            <v>-</v>
          </cell>
          <cell r="F1513">
            <v>146</v>
          </cell>
          <cell r="G1513" t="str">
            <v>Jajalpa</v>
          </cell>
          <cell r="H1513">
            <v>55090</v>
          </cell>
          <cell r="I1513" t="str">
            <v>Ecatepec</v>
          </cell>
          <cell r="J1513" t="str">
            <v>Estado de Mexico</v>
          </cell>
          <cell r="K1513" t="str">
            <v>Mexico</v>
          </cell>
        </row>
        <row r="1514">
          <cell r="A1514">
            <v>1517</v>
          </cell>
          <cell r="B1514" t="str">
            <v>G-TEKT MEXICO CORP. S.A. de C.V. (G-MEX)</v>
          </cell>
          <cell r="C1514" t="str">
            <v>-</v>
          </cell>
          <cell r="D1514" t="str">
            <v>Río Ota</v>
          </cell>
          <cell r="E1514" t="str">
            <v>-</v>
          </cell>
          <cell r="F1514">
            <v>287</v>
          </cell>
          <cell r="G1514" t="str">
            <v>Parque Tecno Industrial Castro del Río</v>
          </cell>
          <cell r="H1514">
            <v>36810</v>
          </cell>
          <cell r="I1514" t="str">
            <v>Irapuato</v>
          </cell>
          <cell r="J1514" t="str">
            <v>Guanajuato</v>
          </cell>
          <cell r="K1514" t="str">
            <v>Mexico</v>
          </cell>
        </row>
        <row r="1515">
          <cell r="A1515">
            <v>1518</v>
          </cell>
          <cell r="B1515" t="str">
            <v>Calibraciones e Instrumentos de Occidente</v>
          </cell>
          <cell r="C1515" t="str">
            <v>-</v>
          </cell>
          <cell r="D1515" t="str">
            <v xml:space="preserve">Brillante </v>
          </cell>
          <cell r="E1515" t="str">
            <v>-</v>
          </cell>
          <cell r="F1515">
            <v>1576</v>
          </cell>
          <cell r="G1515" t="str">
            <v>Mariano Otero</v>
          </cell>
          <cell r="H1515">
            <v>45067</v>
          </cell>
          <cell r="I1515" t="str">
            <v>Zapopan</v>
          </cell>
          <cell r="J1515" t="str">
            <v>Jalisco</v>
          </cell>
          <cell r="K1515" t="str">
            <v>Mexico</v>
          </cell>
        </row>
        <row r="1516">
          <cell r="A1516">
            <v>1519</v>
          </cell>
          <cell r="B1516" t="str">
            <v>Kotobukiya Treves de México S.A. de C.V.</v>
          </cell>
          <cell r="C1516" t="str">
            <v>-</v>
          </cell>
          <cell r="D1516" t="str">
            <v>Av. San Francisco de lo Romo</v>
          </cell>
          <cell r="E1516" t="str">
            <v>-</v>
          </cell>
          <cell r="F1516" t="str">
            <v>405-A</v>
          </cell>
          <cell r="G1516" t="str">
            <v>Parque Industrial San Francisco</v>
          </cell>
          <cell r="H1516" t="str">
            <v>-</v>
          </cell>
          <cell r="I1516" t="str">
            <v>San Francisco de los Romo</v>
          </cell>
          <cell r="J1516" t="str">
            <v>Aguascalientes</v>
          </cell>
          <cell r="K1516" t="str">
            <v>Mexico</v>
          </cell>
        </row>
        <row r="1517">
          <cell r="A1517">
            <v>1520</v>
          </cell>
          <cell r="B1517" t="str">
            <v>Atsumitec de México</v>
          </cell>
          <cell r="C1517" t="str">
            <v>-</v>
          </cell>
          <cell r="D1517" t="str">
            <v xml:space="preserve">Municipio de Tepezala </v>
          </cell>
          <cell r="E1517" t="str">
            <v>-</v>
          </cell>
          <cell r="F1517">
            <v>102</v>
          </cell>
          <cell r="G1517" t="str">
            <v>Parque Industrial del Valle de Aguascalientes</v>
          </cell>
          <cell r="H1517" t="str">
            <v>-</v>
          </cell>
          <cell r="I1517" t="str">
            <v>Aguascalientes</v>
          </cell>
          <cell r="J1517" t="str">
            <v>Aguascalientes</v>
          </cell>
          <cell r="K1517" t="str">
            <v>Mexico</v>
          </cell>
        </row>
        <row r="1518">
          <cell r="A1518">
            <v>1521</v>
          </cell>
          <cell r="B1518" t="str">
            <v>ORDTEC S.A. de C.V.</v>
          </cell>
          <cell r="C1518" t="str">
            <v>-</v>
          </cell>
          <cell r="D1518" t="str">
            <v>Acceso B</v>
          </cell>
          <cell r="E1518" t="str">
            <v>-</v>
          </cell>
          <cell r="F1518" t="str">
            <v>106-B</v>
          </cell>
          <cell r="G1518" t="str">
            <v>Parque Industrial Jurica</v>
          </cell>
          <cell r="H1518">
            <v>76120</v>
          </cell>
          <cell r="I1518" t="str">
            <v>Querétaro</v>
          </cell>
          <cell r="J1518" t="str">
            <v>Querétaro</v>
          </cell>
          <cell r="K1518" t="str">
            <v>México</v>
          </cell>
        </row>
        <row r="1519">
          <cell r="A1519">
            <v>1522</v>
          </cell>
          <cell r="B1519" t="str">
            <v>Corporativo Javaco S.A. de C.V.</v>
          </cell>
          <cell r="C1519" t="str">
            <v>-</v>
          </cell>
          <cell r="D1519" t="str">
            <v>Mahatma Gandhi</v>
          </cell>
          <cell r="E1519" t="str">
            <v>-</v>
          </cell>
          <cell r="F1519">
            <v>808</v>
          </cell>
          <cell r="G1519" t="str">
            <v>San Francisco del Arenal</v>
          </cell>
          <cell r="H1519" t="str">
            <v>-</v>
          </cell>
          <cell r="I1519" t="str">
            <v>Aguascalientes</v>
          </cell>
          <cell r="J1519" t="str">
            <v>Aguascalientes</v>
          </cell>
          <cell r="K1519" t="str">
            <v>Mexico</v>
          </cell>
        </row>
        <row r="1520">
          <cell r="A1520">
            <v>1523</v>
          </cell>
          <cell r="B1520" t="str">
            <v>LAUAK AEROSPACE MEXICO</v>
          </cell>
          <cell r="C1520" t="str">
            <v>-</v>
          </cell>
          <cell r="D1520" t="str">
            <v xml:space="preserve">Av. Industrial   </v>
          </cell>
          <cell r="E1520" t="str">
            <v>-</v>
          </cell>
          <cell r="F1520">
            <v>50</v>
          </cell>
          <cell r="G1520" t="str">
            <v>Fraccionamiento Industrial VYNMSA</v>
          </cell>
          <cell r="H1520" t="str">
            <v>-</v>
          </cell>
          <cell r="I1520" t="str">
            <v>Querétaro</v>
          </cell>
          <cell r="J1520" t="str">
            <v>Querétaro</v>
          </cell>
          <cell r="K1520" t="str">
            <v>Mexico</v>
          </cell>
        </row>
        <row r="1521">
          <cell r="A1521">
            <v>1524</v>
          </cell>
          <cell r="B1521" t="str">
            <v>GRAMMTECNICA S.A. de C.V.</v>
          </cell>
          <cell r="C1521" t="str">
            <v>-</v>
          </cell>
          <cell r="D1521" t="str">
            <v>Camino a Resurreccion</v>
          </cell>
          <cell r="E1521" t="str">
            <v>-</v>
          </cell>
          <cell r="F1521" t="str">
            <v>73-B</v>
          </cell>
          <cell r="G1521" t="str">
            <v>Zona Industrial Puebla 2000</v>
          </cell>
          <cell r="H1521" t="str">
            <v>-</v>
          </cell>
          <cell r="I1521" t="str">
            <v>-</v>
          </cell>
          <cell r="J1521" t="str">
            <v>Puebla</v>
          </cell>
          <cell r="K1521" t="str">
            <v>Mexico</v>
          </cell>
        </row>
        <row r="1522">
          <cell r="A1522">
            <v>1525</v>
          </cell>
          <cell r="B1522" t="str">
            <v>Rototex, S. de R.L. de C.V.</v>
          </cell>
          <cell r="C1522" t="str">
            <v>-</v>
          </cell>
          <cell r="D1522" t="str">
            <v>Aeropuerto Municipal de Celaya</v>
          </cell>
          <cell r="E1522" t="str">
            <v>-</v>
          </cell>
          <cell r="F1522" t="str">
            <v>Hangar 14</v>
          </cell>
          <cell r="G1522" t="str">
            <v>El Puente</v>
          </cell>
          <cell r="H1522">
            <v>38116</v>
          </cell>
          <cell r="I1522" t="str">
            <v>Celaya</v>
          </cell>
          <cell r="J1522" t="str">
            <v>Guanajuato</v>
          </cell>
          <cell r="K1522" t="str">
            <v>Mexico</v>
          </cell>
        </row>
        <row r="1523">
          <cell r="A1523">
            <v>1526</v>
          </cell>
          <cell r="B1523" t="str">
            <v>GRIVATEC, S.A. de C.V.</v>
          </cell>
          <cell r="C1523" t="str">
            <v>-</v>
          </cell>
          <cell r="D1523" t="str">
            <v xml:space="preserve">Carretera a El Salto Km 3.6 </v>
          </cell>
          <cell r="E1523" t="str">
            <v>-</v>
          </cell>
          <cell r="F1523" t="str">
            <v>-</v>
          </cell>
          <cell r="G1523" t="str">
            <v>San Jose del 15</v>
          </cell>
          <cell r="H1523">
            <v>45690</v>
          </cell>
          <cell r="I1523" t="str">
            <v>El Salto</v>
          </cell>
          <cell r="J1523" t="str">
            <v>Jalisco</v>
          </cell>
          <cell r="K1523" t="str">
            <v>Mexico</v>
          </cell>
        </row>
        <row r="1524">
          <cell r="A1524">
            <v>1527</v>
          </cell>
          <cell r="B1524" t="str">
            <v>YOKOHAMA INDUSTRIES AMERICAS DE MEXICO S. DE R.L. de C.V.</v>
          </cell>
          <cell r="C1524" t="str">
            <v>-</v>
          </cell>
          <cell r="D1524" t="str">
            <v xml:space="preserve">circuito Cerezos Oriente </v>
          </cell>
          <cell r="E1524" t="str">
            <v>-</v>
          </cell>
          <cell r="F1524">
            <v>101</v>
          </cell>
          <cell r="G1524" t="str">
            <v>Parque Industrial San Francisco IV</v>
          </cell>
          <cell r="H1524">
            <v>20355</v>
          </cell>
          <cell r="I1524" t="str">
            <v>San Francisco de los Romo</v>
          </cell>
          <cell r="J1524" t="str">
            <v>Aguascalientes</v>
          </cell>
          <cell r="K1524" t="str">
            <v>México</v>
          </cell>
        </row>
        <row r="1525">
          <cell r="A1525">
            <v>1528</v>
          </cell>
          <cell r="B1525" t="str">
            <v>CCL Design</v>
          </cell>
          <cell r="C1525" t="str">
            <v>-</v>
          </cell>
          <cell r="D1525" t="str">
            <v xml:space="preserve">Carretera Guadalajara-Nogales </v>
          </cell>
          <cell r="E1525" t="str">
            <v>-</v>
          </cell>
          <cell r="F1525">
            <v>16445</v>
          </cell>
          <cell r="G1525" t="str">
            <v>Frente a Pinar de la Venta</v>
          </cell>
          <cell r="H1525">
            <v>45221</v>
          </cell>
          <cell r="I1525" t="str">
            <v>Zapopan</v>
          </cell>
          <cell r="J1525" t="str">
            <v>Jalisco</v>
          </cell>
          <cell r="K1525" t="str">
            <v>México</v>
          </cell>
        </row>
        <row r="1526">
          <cell r="A1526">
            <v>1529</v>
          </cell>
          <cell r="B1526" t="str">
            <v>ACS Internacional, S. de R.L. de C.V.</v>
          </cell>
          <cell r="C1526" t="str">
            <v>-</v>
          </cell>
          <cell r="D1526" t="str">
            <v>Avenida Las Americas</v>
          </cell>
          <cell r="E1526" t="str">
            <v>-</v>
          </cell>
          <cell r="F1526">
            <v>601</v>
          </cell>
          <cell r="G1526" t="str">
            <v>-</v>
          </cell>
          <cell r="H1526">
            <v>67120</v>
          </cell>
          <cell r="I1526" t="str">
            <v>Guadalupe</v>
          </cell>
          <cell r="J1526" t="str">
            <v>Nuevo Leon</v>
          </cell>
          <cell r="K1526" t="str">
            <v>México</v>
          </cell>
        </row>
        <row r="1527">
          <cell r="A1527">
            <v>1530</v>
          </cell>
          <cell r="B1527" t="str">
            <v>METALIS MEXICO</v>
          </cell>
          <cell r="C1527" t="str">
            <v>-</v>
          </cell>
          <cell r="D1527" t="str">
            <v>Jurica</v>
          </cell>
          <cell r="E1527" t="str">
            <v>-</v>
          </cell>
          <cell r="F1527">
            <v>121</v>
          </cell>
          <cell r="G1527" t="str">
            <v>Parque Industrial Queretaro</v>
          </cell>
          <cell r="H1527">
            <v>76220</v>
          </cell>
          <cell r="I1527" t="str">
            <v>Querétaro</v>
          </cell>
          <cell r="J1527" t="str">
            <v>Querétaro</v>
          </cell>
          <cell r="K1527" t="str">
            <v>México</v>
          </cell>
        </row>
        <row r="1528">
          <cell r="A1528">
            <v>1531</v>
          </cell>
          <cell r="B1528" t="str">
            <v xml:space="preserve">Wolco México </v>
          </cell>
          <cell r="C1528" t="str">
            <v>-</v>
          </cell>
          <cell r="D1528" t="str">
            <v xml:space="preserve">Carretera Lote Parque Industrial Innovación </v>
          </cell>
          <cell r="E1528">
            <v>5</v>
          </cell>
          <cell r="F1528">
            <v>2</v>
          </cell>
          <cell r="G1528" t="str">
            <v xml:space="preserve">Parque Tecnológico Innovación </v>
          </cell>
          <cell r="H1528" t="str">
            <v>-</v>
          </cell>
          <cell r="I1528" t="str">
            <v>El Marquez</v>
          </cell>
          <cell r="J1528" t="str">
            <v>Querétaro</v>
          </cell>
          <cell r="K1528" t="str">
            <v>México</v>
          </cell>
        </row>
        <row r="1529">
          <cell r="A1529">
            <v>1532</v>
          </cell>
          <cell r="B1529" t="str">
            <v>Atlas Aerospace Inc.</v>
          </cell>
          <cell r="C1529" t="str">
            <v>-</v>
          </cell>
          <cell r="D1529" t="str">
            <v>Av. Washington</v>
          </cell>
          <cell r="E1529" t="str">
            <v>Edif. 40</v>
          </cell>
          <cell r="F1529">
            <v>3701</v>
          </cell>
          <cell r="G1529" t="str">
            <v>Parque Industrial Las Americas</v>
          </cell>
          <cell r="H1529">
            <v>31114</v>
          </cell>
          <cell r="I1529" t="str">
            <v>Chihuahua</v>
          </cell>
          <cell r="J1529" t="str">
            <v>Chihuahua</v>
          </cell>
          <cell r="K1529" t="str">
            <v>México</v>
          </cell>
        </row>
        <row r="1530">
          <cell r="A1530">
            <v>1533</v>
          </cell>
          <cell r="B1530" t="str">
            <v xml:space="preserve">EUROQUIP S.A. de C.V. </v>
          </cell>
          <cell r="C1530" t="str">
            <v>-</v>
          </cell>
          <cell r="D1530" t="str">
            <v xml:space="preserve">Mision de Landa </v>
          </cell>
          <cell r="E1530" t="str">
            <v>-</v>
          </cell>
          <cell r="F1530">
            <v>1</v>
          </cell>
          <cell r="G1530" t="str">
            <v xml:space="preserve">Parque Induatrial Bernardo Quintana </v>
          </cell>
          <cell r="H1530">
            <v>76246</v>
          </cell>
          <cell r="I1530" t="str">
            <v>El Marques</v>
          </cell>
          <cell r="J1530" t="str">
            <v>Querétaro</v>
          </cell>
          <cell r="K1530" t="str">
            <v>México</v>
          </cell>
        </row>
        <row r="1531">
          <cell r="A1531">
            <v>1534</v>
          </cell>
          <cell r="B1531" t="str">
            <v>I-KALMETRIC S. DE R.L. de C.V.</v>
          </cell>
          <cell r="C1531" t="str">
            <v>-</v>
          </cell>
          <cell r="D1531" t="str">
            <v>Paseo de los Toros</v>
          </cell>
          <cell r="E1531" t="str">
            <v>-</v>
          </cell>
          <cell r="F1531">
            <v>1820</v>
          </cell>
          <cell r="G1531" t="str">
            <v>Residencial El Refigio</v>
          </cell>
          <cell r="H1531">
            <v>76146</v>
          </cell>
          <cell r="I1531" t="str">
            <v>Querétaro</v>
          </cell>
          <cell r="J1531" t="str">
            <v>Querétaro</v>
          </cell>
          <cell r="K1531" t="str">
            <v>México</v>
          </cell>
        </row>
        <row r="1532">
          <cell r="A1532">
            <v>1535</v>
          </cell>
          <cell r="B1532" t="str">
            <v xml:space="preserve">INCAD </v>
          </cell>
          <cell r="C1532" t="str">
            <v>-</v>
          </cell>
          <cell r="D1532" t="str">
            <v>Acceso B 2</v>
          </cell>
          <cell r="E1532" t="str">
            <v>-</v>
          </cell>
          <cell r="F1532" t="str">
            <v>-</v>
          </cell>
          <cell r="G1532" t="str">
            <v>-</v>
          </cell>
          <cell r="H1532" t="str">
            <v>-</v>
          </cell>
          <cell r="I1532" t="str">
            <v>Jurica</v>
          </cell>
          <cell r="J1532" t="str">
            <v>Querétaro</v>
          </cell>
          <cell r="K1532" t="str">
            <v>México</v>
          </cell>
        </row>
        <row r="1533">
          <cell r="A1533">
            <v>1536</v>
          </cell>
          <cell r="B1533" t="str">
            <v>ORDTEC S.A. de C.V.</v>
          </cell>
          <cell r="C1533" t="str">
            <v>-</v>
          </cell>
          <cell r="D1533" t="str">
            <v>Acceso B</v>
          </cell>
          <cell r="E1533" t="str">
            <v>-</v>
          </cell>
          <cell r="F1533">
            <v>106</v>
          </cell>
          <cell r="G1533" t="str">
            <v>Parque Industrial Jurica</v>
          </cell>
          <cell r="H1533">
            <v>76100</v>
          </cell>
          <cell r="I1533" t="str">
            <v>Querétaro</v>
          </cell>
          <cell r="J1533" t="str">
            <v>Querétaro</v>
          </cell>
          <cell r="K1533" t="str">
            <v>México</v>
          </cell>
        </row>
        <row r="1534">
          <cell r="A1534">
            <v>1537</v>
          </cell>
          <cell r="B1534" t="str">
            <v>MEXMOLDE PCZ S.A. de C.V.</v>
          </cell>
          <cell r="C1534" t="str">
            <v>-</v>
          </cell>
          <cell r="D1534" t="str">
            <v>Carretera Estatal 431 Km 2200</v>
          </cell>
          <cell r="E1534" t="str">
            <v>Lote 62</v>
          </cell>
          <cell r="F1534" t="str">
            <v>Modulo 2</v>
          </cell>
          <cell r="G1534" t="str">
            <v>Parque Tecnologico Innovación Queretaro</v>
          </cell>
          <cell r="H1534" t="str">
            <v>-</v>
          </cell>
          <cell r="I1534" t="str">
            <v>El Maeques</v>
          </cell>
          <cell r="J1534" t="str">
            <v>Querétaro</v>
          </cell>
          <cell r="K1534" t="str">
            <v>México</v>
          </cell>
        </row>
        <row r="1535">
          <cell r="A1535">
            <v>1538</v>
          </cell>
          <cell r="B1535" t="str">
            <v>GEMOMEX S. de R.L. de C.V.</v>
          </cell>
          <cell r="C1535" t="str">
            <v>-</v>
          </cell>
          <cell r="D1535" t="str">
            <v>Río Mississipi</v>
          </cell>
          <cell r="E1535" t="str">
            <v>-</v>
          </cell>
          <cell r="F1535" t="str">
            <v>219-C</v>
          </cell>
          <cell r="G1535" t="str">
            <v>Parque Tecno Industrial Castro del Río</v>
          </cell>
          <cell r="H1535">
            <v>36810</v>
          </cell>
          <cell r="I1535" t="str">
            <v>Irapuato</v>
          </cell>
          <cell r="J1535" t="str">
            <v>Guanajuato</v>
          </cell>
          <cell r="K1535" t="str">
            <v>México</v>
          </cell>
        </row>
        <row r="1536">
          <cell r="A1536">
            <v>1539</v>
          </cell>
          <cell r="B1536" t="str">
            <v>Constructora Internacional de Infraestructura S.A. de C.V.</v>
          </cell>
          <cell r="C1536" t="str">
            <v>-</v>
          </cell>
          <cell r="D1536" t="str">
            <v>Avenida Patriotismo</v>
          </cell>
          <cell r="E1536" t="str">
            <v>Piso 5 - B81</v>
          </cell>
          <cell r="F1536">
            <v>201</v>
          </cell>
          <cell r="G1536" t="str">
            <v>-</v>
          </cell>
          <cell r="H1536" t="str">
            <v>03800</v>
          </cell>
          <cell r="I1536" t="str">
            <v>Delegacion Benito Juarez</v>
          </cell>
          <cell r="J1536" t="str">
            <v>CDMX</v>
          </cell>
          <cell r="K1536" t="str">
            <v>México</v>
          </cell>
        </row>
        <row r="1537">
          <cell r="A1537">
            <v>1540</v>
          </cell>
          <cell r="B1537" t="str">
            <v>Autobuses y Tractocamiones del Centro S. de R.L. de C.V.</v>
          </cell>
          <cell r="C1537" t="str">
            <v>-</v>
          </cell>
          <cell r="D1537" t="str">
            <v>Carretera Miguel Hidalgo</v>
          </cell>
          <cell r="E1537" t="str">
            <v>-</v>
          </cell>
          <cell r="F1537">
            <v>16</v>
          </cell>
          <cell r="G1537" t="str">
            <v>-</v>
          </cell>
          <cell r="H1537" t="str">
            <v>-</v>
          </cell>
          <cell r="I1537" t="str">
            <v>Aguascalientes</v>
          </cell>
          <cell r="J1537" t="str">
            <v>Aguascalientes</v>
          </cell>
          <cell r="K1537" t="str">
            <v>México</v>
          </cell>
        </row>
        <row r="1538">
          <cell r="A1538">
            <v>1541</v>
          </cell>
          <cell r="B1538" t="str">
            <v>AMN INTERNATIONAL, S.A. de C.V.</v>
          </cell>
          <cell r="C1538" t="str">
            <v>-</v>
          </cell>
          <cell r="D1538" t="str">
            <v>Av. De La Raza</v>
          </cell>
          <cell r="E1538" t="str">
            <v>-</v>
          </cell>
          <cell r="F1538">
            <v>5890</v>
          </cell>
          <cell r="G1538" t="str">
            <v>Partido Poblado</v>
          </cell>
          <cell r="H1538">
            <v>32424</v>
          </cell>
          <cell r="I1538" t="str">
            <v>Ciudad Juárez</v>
          </cell>
          <cell r="J1538" t="str">
            <v>Chihuahua</v>
          </cell>
          <cell r="K1538" t="str">
            <v>México</v>
          </cell>
        </row>
        <row r="1539">
          <cell r="A1539">
            <v>1542</v>
          </cell>
          <cell r="B1539" t="str">
            <v>S-RIKO DE QUERÉTARO S.A.P.I. de C.V.</v>
          </cell>
          <cell r="C1539" t="str">
            <v>-</v>
          </cell>
          <cell r="D1539" t="str">
            <v>Av. De Las Fuentes No. 19</v>
          </cell>
          <cell r="E1539" t="str">
            <v>-</v>
          </cell>
          <cell r="G1539" t="str">
            <v>P. I. Bernardo Quintana</v>
          </cell>
          <cell r="H1539">
            <v>76246</v>
          </cell>
          <cell r="I1539" t="str">
            <v>El Marquez</v>
          </cell>
          <cell r="J1539" t="str">
            <v>Querétaro</v>
          </cell>
          <cell r="K1539" t="str">
            <v>México</v>
          </cell>
        </row>
        <row r="1540">
          <cell r="A1540">
            <v>1543</v>
          </cell>
          <cell r="B1540" t="str">
            <v>FIVESTAR, S.A. de C.V.</v>
          </cell>
          <cell r="C1540" t="str">
            <v>-</v>
          </cell>
          <cell r="D1540" t="str">
            <v>Av. Hércules</v>
          </cell>
          <cell r="E1540" t="str">
            <v>-</v>
          </cell>
          <cell r="F1540" t="str">
            <v>Nave 400-12</v>
          </cell>
          <cell r="G1540" t="str">
            <v>-</v>
          </cell>
          <cell r="H1540">
            <v>76220</v>
          </cell>
          <cell r="I1540" t="str">
            <v>Santa Rosa Jauregui</v>
          </cell>
          <cell r="J1540" t="str">
            <v>Querétaro</v>
          </cell>
          <cell r="K1540" t="str">
            <v>México</v>
          </cell>
        </row>
        <row r="1541">
          <cell r="A1541">
            <v>1544</v>
          </cell>
          <cell r="B1541" t="str">
            <v>ELECTROACABADOS INDUSTRIALES</v>
          </cell>
          <cell r="C1541" t="str">
            <v>-</v>
          </cell>
          <cell r="D1541" t="str">
            <v>Av. José María Morelos Sur</v>
          </cell>
          <cell r="E1541" t="str">
            <v>-</v>
          </cell>
          <cell r="F1541" t="str">
            <v>138-B</v>
          </cell>
          <cell r="G1541" t="str">
            <v>San Pedro Ahuacatlán</v>
          </cell>
          <cell r="H1541" t="str">
            <v>-</v>
          </cell>
          <cell r="I1541" t="str">
            <v>San Juan del Río</v>
          </cell>
          <cell r="J1541" t="str">
            <v>Querétaro</v>
          </cell>
          <cell r="K1541" t="str">
            <v>México</v>
          </cell>
        </row>
        <row r="1542">
          <cell r="A1542">
            <v>1545</v>
          </cell>
          <cell r="B1542" t="str">
            <v>Diehl Controls México, S.A de C.V</v>
          </cell>
          <cell r="C1542" t="str">
            <v>-</v>
          </cell>
          <cell r="D1542" t="str">
            <v>El Tepeyac</v>
          </cell>
          <cell r="E1542" t="str">
            <v>-</v>
          </cell>
          <cell r="F1542">
            <v>1730</v>
          </cell>
          <cell r="G1542" t="str">
            <v xml:space="preserve">Parque Industrial El Tepeyac </v>
          </cell>
          <cell r="H1542">
            <v>76250</v>
          </cell>
          <cell r="I1542" t="str">
            <v>El Marques</v>
          </cell>
          <cell r="J1542" t="str">
            <v>Querétaro</v>
          </cell>
          <cell r="K1542" t="str">
            <v>México</v>
          </cell>
        </row>
        <row r="1543">
          <cell r="A1543">
            <v>1546</v>
          </cell>
          <cell r="B1543" t="str">
            <v>STEERINGMEX, S.de R.L de C.V.</v>
          </cell>
          <cell r="C1543" t="str">
            <v>-</v>
          </cell>
          <cell r="D1543" t="str">
            <v>Santa Rosa de Viterbo</v>
          </cell>
          <cell r="E1543" t="str">
            <v>-</v>
          </cell>
          <cell r="F1543">
            <v>12</v>
          </cell>
          <cell r="G1543" t="str">
            <v>Parque industrial Finsa</v>
          </cell>
          <cell r="H1543" t="str">
            <v>-</v>
          </cell>
          <cell r="I1543" t="str">
            <v>El Marques</v>
          </cell>
          <cell r="J1543" t="str">
            <v>Querétaro</v>
          </cell>
          <cell r="K1543" t="str">
            <v>México</v>
          </cell>
        </row>
        <row r="1544">
          <cell r="A1544">
            <v>1547</v>
          </cell>
          <cell r="B1544" t="str">
            <v>VICTAULIC DE MÉXICO S. de R.L. de C.V.</v>
          </cell>
          <cell r="C1544" t="str">
            <v>-</v>
          </cell>
          <cell r="D1544" t="str">
            <v>Av. Aeroespacial</v>
          </cell>
          <cell r="E1544" t="str">
            <v>-</v>
          </cell>
          <cell r="F1544">
            <v>12601</v>
          </cell>
          <cell r="G1544" t="str">
            <v>Parque Industrial Tabalaopa</v>
          </cell>
          <cell r="H1544" t="str">
            <v>-</v>
          </cell>
          <cell r="I1544" t="str">
            <v>-</v>
          </cell>
          <cell r="J1544" t="str">
            <v>Chihuahua</v>
          </cell>
          <cell r="K1544" t="str">
            <v>México</v>
          </cell>
        </row>
        <row r="1545">
          <cell r="A1545">
            <v>1548</v>
          </cell>
          <cell r="B1545" t="str">
            <v>Engicom, S. de R.L. de C.V.</v>
          </cell>
          <cell r="C1545" t="str">
            <v>-</v>
          </cell>
          <cell r="D1545" t="str">
            <v>Industria Metalurgica</v>
          </cell>
          <cell r="E1545" t="str">
            <v>-</v>
          </cell>
          <cell r="F1545">
            <v>1004</v>
          </cell>
          <cell r="G1545" t="str">
            <v>Parque Industrial Ramos Arizpe</v>
          </cell>
          <cell r="H1545">
            <v>25900</v>
          </cell>
          <cell r="I1545" t="str">
            <v>Coahuila</v>
          </cell>
          <cell r="J1545" t="str">
            <v>Coahuila</v>
          </cell>
          <cell r="K1545" t="str">
            <v>México</v>
          </cell>
        </row>
        <row r="1546">
          <cell r="A1546">
            <v>1549</v>
          </cell>
          <cell r="B1546" t="str">
            <v>Kirchhoff Automotive México S.A. de C.V.</v>
          </cell>
          <cell r="C1546" t="str">
            <v>-</v>
          </cell>
          <cell r="D1546" t="str">
            <v xml:space="preserve">Av. La Noria </v>
          </cell>
          <cell r="E1546" t="str">
            <v>-</v>
          </cell>
          <cell r="F1546">
            <v>111</v>
          </cell>
          <cell r="G1546" t="str">
            <v>Parque Industrial Querétaro</v>
          </cell>
          <cell r="H1546">
            <v>76220</v>
          </cell>
          <cell r="I1546" t="str">
            <v>Querétaro</v>
          </cell>
          <cell r="J1546" t="str">
            <v>Querétaro</v>
          </cell>
          <cell r="K1546" t="str">
            <v>México</v>
          </cell>
        </row>
        <row r="1547">
          <cell r="A1547">
            <v>1550</v>
          </cell>
          <cell r="B1547" t="str">
            <v xml:space="preserve">INGENIERIA EN PLASTICOS RECICLADOS S.A. de C.V. </v>
          </cell>
          <cell r="C1547" t="str">
            <v>IPR160317HH7</v>
          </cell>
          <cell r="D1547" t="str">
            <v>Jose María Morelos y Pavon</v>
          </cell>
          <cell r="F1547" t="str">
            <v>75ª</v>
          </cell>
          <cell r="G1547" t="str">
            <v>San Pedro Ahuacatlan</v>
          </cell>
          <cell r="H1547">
            <v>76810</v>
          </cell>
          <cell r="I1547" t="str">
            <v>San Juan del Río</v>
          </cell>
          <cell r="J1547" t="str">
            <v>Querétaro</v>
          </cell>
          <cell r="K1547" t="str">
            <v>México</v>
          </cell>
        </row>
        <row r="1548">
          <cell r="A1548">
            <v>1551</v>
          </cell>
          <cell r="B1548" t="str">
            <v>Constructora Internacional de Infraestructura S.A. de C.V.</v>
          </cell>
          <cell r="C1548" t="str">
            <v>-</v>
          </cell>
          <cell r="D1548" t="str">
            <v>Prolongación Manuel Avila Camacho, Entronque con Autopista</v>
          </cell>
          <cell r="E1548" t="str">
            <v>-</v>
          </cell>
          <cell r="F1548" t="str">
            <v>S/N</v>
          </cell>
          <cell r="G1548" t="str">
            <v>Bellavista de Flores</v>
          </cell>
          <cell r="H1548">
            <v>46470</v>
          </cell>
          <cell r="I1548" t="str">
            <v>Magdalena</v>
          </cell>
          <cell r="J1548" t="str">
            <v>Jalisco</v>
          </cell>
          <cell r="K1548" t="str">
            <v>México</v>
          </cell>
        </row>
        <row r="1549">
          <cell r="A1549">
            <v>1552</v>
          </cell>
          <cell r="B1549" t="str">
            <v>Soilsolution, S.A. de C.V.</v>
          </cell>
          <cell r="C1549" t="str">
            <v>-</v>
          </cell>
          <cell r="D1549" t="str">
            <v>Campo Cunduacán</v>
          </cell>
          <cell r="E1549" t="str">
            <v>-</v>
          </cell>
          <cell r="F1549">
            <v>100</v>
          </cell>
          <cell r="G1549" t="str">
            <v>Fraccionamiento Carrizal</v>
          </cell>
          <cell r="H1549">
            <v>86038</v>
          </cell>
          <cell r="I1549" t="str">
            <v>Villa Hermosa Centro</v>
          </cell>
          <cell r="J1549" t="str">
            <v>Tabasco</v>
          </cell>
          <cell r="K1549" t="str">
            <v>México</v>
          </cell>
        </row>
        <row r="1550">
          <cell r="A1550">
            <v>1553</v>
          </cell>
          <cell r="B1550" t="str">
            <v>Proavanza S. de R.L de C.V.</v>
          </cell>
          <cell r="C1550" t="str">
            <v>PRO1112152E6</v>
          </cell>
          <cell r="D1550" t="str">
            <v>Acceso III</v>
          </cell>
          <cell r="E1550" t="str">
            <v>2</v>
          </cell>
          <cell r="F1550">
            <v>42</v>
          </cell>
          <cell r="G1550" t="str">
            <v>Fraccionamiento Industrial Benito Juárez</v>
          </cell>
          <cell r="H1550">
            <v>76120</v>
          </cell>
          <cell r="I1550" t="str">
            <v>Querétaro</v>
          </cell>
          <cell r="J1550" t="str">
            <v>Querétaro</v>
          </cell>
          <cell r="K1550" t="str">
            <v>México</v>
          </cell>
        </row>
        <row r="1551">
          <cell r="A1551">
            <v>1554</v>
          </cell>
          <cell r="B1551" t="str">
            <v>Stamper Metal Works</v>
          </cell>
          <cell r="C1551" t="str">
            <v>-</v>
          </cell>
          <cell r="D1551" t="str">
            <v>21 de Agosto</v>
          </cell>
          <cell r="E1551" t="str">
            <v>-</v>
          </cell>
          <cell r="F1551">
            <v>10</v>
          </cell>
          <cell r="G1551" t="str">
            <v xml:space="preserve">Independencia </v>
          </cell>
          <cell r="H1551">
            <v>76147</v>
          </cell>
          <cell r="I1551" t="str">
            <v>San José el Alto</v>
          </cell>
          <cell r="J1551" t="str">
            <v>Querétaro</v>
          </cell>
          <cell r="K1551" t="str">
            <v>México</v>
          </cell>
          <cell r="Q1551" t="str">
            <v>PROCESOS CONTROLADOS</v>
          </cell>
        </row>
        <row r="1552">
          <cell r="A1552">
            <v>1555</v>
          </cell>
          <cell r="B1552" t="str">
            <v xml:space="preserve">Rob Neal Moreno Aburto        </v>
          </cell>
          <cell r="C1552" t="str">
            <v>MOAR780918KV2 </v>
          </cell>
          <cell r="D1552" t="str">
            <v xml:space="preserve">Industria Alimentaria </v>
          </cell>
          <cell r="E1552" t="str">
            <v>-</v>
          </cell>
          <cell r="F1552">
            <v>17</v>
          </cell>
          <cell r="G1552" t="str">
            <v>Fraccionamiento Industrial PYME</v>
          </cell>
          <cell r="H1552">
            <v>76120</v>
          </cell>
          <cell r="I1552" t="str">
            <v>Huimilpan</v>
          </cell>
          <cell r="J1552" t="str">
            <v>Querétaro</v>
          </cell>
          <cell r="K1552" t="str">
            <v>México</v>
          </cell>
        </row>
        <row r="1553">
          <cell r="A1553">
            <v>1556</v>
          </cell>
          <cell r="B1553" t="str">
            <v>AGUASCALIENTES STEEL COIL CENTER S.A. de C.V.</v>
          </cell>
          <cell r="C1553" t="str">
            <v>-</v>
          </cell>
          <cell r="D1553" t="str">
            <v xml:space="preserve">Circuito Progreso </v>
          </cell>
          <cell r="E1553" t="str">
            <v>-</v>
          </cell>
          <cell r="F1553">
            <v>113</v>
          </cell>
          <cell r="G1553" t="str">
            <v>PILA, Parque Industrial de Logística Automotriz</v>
          </cell>
          <cell r="H1553">
            <v>20340</v>
          </cell>
          <cell r="I1553" t="str">
            <v>Aguascalientes</v>
          </cell>
          <cell r="J1553" t="str">
            <v>Aguascalientes</v>
          </cell>
          <cell r="K1553" t="str">
            <v>México</v>
          </cell>
        </row>
        <row r="1554">
          <cell r="A1554">
            <v>1557</v>
          </cell>
          <cell r="B1554" t="str">
            <v>Prime Harvest S.A. de C.V.</v>
          </cell>
          <cell r="C1554" t="str">
            <v>-</v>
          </cell>
          <cell r="D1554" t="str">
            <v>Carretera est 100 Km 28.5</v>
          </cell>
          <cell r="E1554" t="str">
            <v>-</v>
          </cell>
          <cell r="F1554" t="str">
            <v>-</v>
          </cell>
          <cell r="G1554" t="str">
            <v>Ajuchitlan-Queretaro</v>
          </cell>
          <cell r="H1554" t="str">
            <v>-</v>
          </cell>
          <cell r="I1554" t="str">
            <v>Colon</v>
          </cell>
          <cell r="J1554" t="str">
            <v>Querétaro</v>
          </cell>
          <cell r="K1554" t="str">
            <v>México</v>
          </cell>
        </row>
        <row r="1555">
          <cell r="A1555">
            <v>1558</v>
          </cell>
          <cell r="B1555" t="str">
            <v>Zwick Roell S.A. de C.V.</v>
          </cell>
          <cell r="C1555" t="str">
            <v>-</v>
          </cell>
          <cell r="D1555" t="str">
            <v>Av. Santa Fe</v>
          </cell>
          <cell r="E1555" t="str">
            <v>-</v>
          </cell>
          <cell r="F1555">
            <v>170</v>
          </cell>
          <cell r="G1555" t="str">
            <v>Lomas de Santa Fe</v>
          </cell>
          <cell r="H1555" t="str">
            <v>-</v>
          </cell>
          <cell r="I1555" t="str">
            <v>-</v>
          </cell>
          <cell r="J1555" t="str">
            <v>Distrito Federal</v>
          </cell>
          <cell r="K1555" t="str">
            <v>México</v>
          </cell>
        </row>
        <row r="1556">
          <cell r="A1556">
            <v>1559</v>
          </cell>
          <cell r="B1556" t="str">
            <v>TOYODA GOSEI AUTOMOTIVE SEALING MEXICO S.A. de C.V.</v>
          </cell>
          <cell r="C1556" t="str">
            <v>-</v>
          </cell>
          <cell r="D1556" t="str">
            <v>Carretera San Luis Potosi-Zacatecas, Km 12.5</v>
          </cell>
          <cell r="E1556" t="str">
            <v>-</v>
          </cell>
          <cell r="F1556" t="str">
            <v>-</v>
          </cell>
          <cell r="G1556" t="str">
            <v>Parque Industrial Pueblo Viejo</v>
          </cell>
          <cell r="H1556">
            <v>78480</v>
          </cell>
          <cell r="I1556" t="str">
            <v>Mexquitic de Carmona</v>
          </cell>
          <cell r="J1556" t="str">
            <v>San Luis Potosi</v>
          </cell>
          <cell r="K1556" t="str">
            <v>México</v>
          </cell>
        </row>
        <row r="1557">
          <cell r="A1557">
            <v>1560</v>
          </cell>
          <cell r="B1557" t="str">
            <v>AAA Sales &amp; Engineering In.</v>
          </cell>
          <cell r="C1557" t="str">
            <v>-</v>
          </cell>
          <cell r="D1557" t="str">
            <v>206 Partque Industrial Logistik 1</v>
          </cell>
          <cell r="E1557" t="str">
            <v>Lote 251</v>
          </cell>
          <cell r="F1557" t="str">
            <v>Mz 5</v>
          </cell>
          <cell r="G1557" t="str">
            <v>Villas de Reyes</v>
          </cell>
          <cell r="H1557">
            <v>79500</v>
          </cell>
          <cell r="I1557" t="str">
            <v>San Luis Potosi</v>
          </cell>
          <cell r="J1557" t="str">
            <v>San Luis Potosi</v>
          </cell>
          <cell r="K1557" t="str">
            <v>México</v>
          </cell>
        </row>
        <row r="1558">
          <cell r="A1558">
            <v>1561</v>
          </cell>
          <cell r="B1558" t="str">
            <v>Calidad en Precisión Querétaro, S.A. de C.V.</v>
          </cell>
          <cell r="C1558" t="str">
            <v>-</v>
          </cell>
          <cell r="D1558" t="str">
            <v>Acceso B</v>
          </cell>
          <cell r="E1558" t="str">
            <v>-</v>
          </cell>
          <cell r="F1558">
            <v>2</v>
          </cell>
          <cell r="G1558" t="str">
            <v>-</v>
          </cell>
          <cell r="H1558">
            <v>76100</v>
          </cell>
          <cell r="I1558" t="str">
            <v>Jurica</v>
          </cell>
          <cell r="J1558" t="str">
            <v>Querétaro</v>
          </cell>
          <cell r="K1558" t="str">
            <v>México</v>
          </cell>
        </row>
        <row r="1559">
          <cell r="A1559">
            <v>1562</v>
          </cell>
          <cell r="B1559" t="str">
            <v>Industria de Asiento Superior S.A. de C.V.</v>
          </cell>
          <cell r="C1559" t="str">
            <v>-</v>
          </cell>
          <cell r="D1559" t="str">
            <v>Circuito Aguascalientes Sur</v>
          </cell>
          <cell r="E1559" t="str">
            <v>-</v>
          </cell>
          <cell r="F1559">
            <v>117</v>
          </cell>
          <cell r="G1559" t="str">
            <v>Valle de Aguascalientes</v>
          </cell>
          <cell r="H1559">
            <v>20358</v>
          </cell>
          <cell r="I1559" t="str">
            <v>San Francisco de los Romo</v>
          </cell>
          <cell r="J1559" t="str">
            <v>Aguascalientes</v>
          </cell>
          <cell r="K1559" t="str">
            <v>México</v>
          </cell>
        </row>
        <row r="1560">
          <cell r="A1560">
            <v>1563</v>
          </cell>
          <cell r="B1560" t="str">
            <v>Valeo Lighting Systems</v>
          </cell>
          <cell r="C1560" t="str">
            <v>-</v>
          </cell>
          <cell r="D1560" t="str">
            <v>Av. Ind. Minera</v>
          </cell>
          <cell r="E1560" t="str">
            <v>-</v>
          </cell>
          <cell r="F1560">
            <v>502</v>
          </cell>
          <cell r="G1560" t="str">
            <v>Parque Industrial Queretaro</v>
          </cell>
          <cell r="H1560">
            <v>76220</v>
          </cell>
          <cell r="I1560" t="str">
            <v>Querétaro</v>
          </cell>
          <cell r="J1560" t="str">
            <v>Querétaro</v>
          </cell>
          <cell r="K1560" t="str">
            <v>México</v>
          </cell>
          <cell r="O1560" t="str">
            <v>OSCAR TORRES</v>
          </cell>
          <cell r="P1560" t="str">
            <v>PLANTA 4</v>
          </cell>
        </row>
        <row r="1561">
          <cell r="A1561">
            <v>1564</v>
          </cell>
          <cell r="B1561" t="str">
            <v>Waldaschaff Automotive México S. de R.L. de C.V.</v>
          </cell>
          <cell r="C1561" t="str">
            <v>-</v>
          </cell>
          <cell r="D1561" t="str">
            <v>Carretera Leon a Cueramaro</v>
          </cell>
          <cell r="E1561">
            <v>3202</v>
          </cell>
          <cell r="F1561">
            <v>101</v>
          </cell>
          <cell r="G1561" t="str">
            <v>San Pedro del Monte</v>
          </cell>
          <cell r="H1561" t="str">
            <v>-</v>
          </cell>
          <cell r="I1561" t="str">
            <v>Leon</v>
          </cell>
          <cell r="J1561" t="str">
            <v>Guanajuato</v>
          </cell>
          <cell r="K1561" t="str">
            <v>México</v>
          </cell>
        </row>
        <row r="1562">
          <cell r="A1562">
            <v>1565</v>
          </cell>
          <cell r="B1562" t="str">
            <v>Agripina Rodriguez Garcia</v>
          </cell>
          <cell r="C1562" t="str">
            <v>ROGA6406237Y2</v>
          </cell>
          <cell r="D1562" t="str">
            <v>Jardineros</v>
          </cell>
          <cell r="E1562" t="str">
            <v>L</v>
          </cell>
          <cell r="F1562">
            <v>93</v>
          </cell>
          <cell r="G1562" t="str">
            <v>Zona Industrial Peñuelas</v>
          </cell>
          <cell r="H1562">
            <v>76148</v>
          </cell>
          <cell r="I1562" t="str">
            <v>Querétaro</v>
          </cell>
          <cell r="J1562" t="str">
            <v>Querétaro</v>
          </cell>
          <cell r="K1562" t="str">
            <v>Mexico</v>
          </cell>
          <cell r="O1562" t="str">
            <v>PR CALIBRADORES</v>
          </cell>
        </row>
        <row r="1563">
          <cell r="A1563">
            <v>1566</v>
          </cell>
          <cell r="B1563" t="str">
            <v xml:space="preserve">RAFI Syscom Mexico S. de R.L. </v>
          </cell>
          <cell r="C1563" t="str">
            <v>-</v>
          </cell>
          <cell r="D1563" t="str">
            <v>Circuito de Corral de Piedras</v>
          </cell>
          <cell r="E1563" t="str">
            <v>-</v>
          </cell>
          <cell r="F1563">
            <v>78</v>
          </cell>
          <cell r="G1563" t="str">
            <v>Poligono Empresarial San Miguel</v>
          </cell>
          <cell r="H1563">
            <v>37880</v>
          </cell>
          <cell r="I1563" t="str">
            <v>San Miguel de Allende</v>
          </cell>
          <cell r="J1563" t="str">
            <v>Guanajuato</v>
          </cell>
          <cell r="K1563" t="str">
            <v>Mexico</v>
          </cell>
        </row>
        <row r="1564">
          <cell r="A1564">
            <v>1567</v>
          </cell>
          <cell r="B1564" t="str">
            <v>Safran Landing Systems México, S.A. de C.V.</v>
          </cell>
          <cell r="C1564" t="str">
            <v>-</v>
          </cell>
          <cell r="D1564" t="str">
            <v>Carretera Estatal 200 km. 22</v>
          </cell>
          <cell r="E1564" t="str">
            <v>B</v>
          </cell>
          <cell r="F1564">
            <v>547</v>
          </cell>
          <cell r="G1564" t="str">
            <v>Parque Áeroespacial Querétaro</v>
          </cell>
          <cell r="H1564">
            <v>76278</v>
          </cell>
          <cell r="I1564" t="str">
            <v>Colón</v>
          </cell>
          <cell r="J1564" t="str">
            <v>Querétaro</v>
          </cell>
          <cell r="K1564" t="str">
            <v>Mexico</v>
          </cell>
          <cell r="O1564" t="str">
            <v>SNECMA LANDING</v>
          </cell>
        </row>
        <row r="1565">
          <cell r="A1565">
            <v>1568</v>
          </cell>
          <cell r="B1565" t="str">
            <v>MWSMX-MURAT WIRING SYSTEMS DE MÉXICO S. de R.L. de C.V.</v>
          </cell>
          <cell r="C1565" t="str">
            <v>-</v>
          </cell>
          <cell r="D1565" t="str">
            <v xml:space="preserve">Av. México </v>
          </cell>
          <cell r="E1565" t="str">
            <v>Nave 11-12</v>
          </cell>
          <cell r="F1565">
            <v>10</v>
          </cell>
          <cell r="G1565" t="str">
            <v xml:space="preserve">Conjunto Industrial TLC </v>
          </cell>
          <cell r="H1565">
            <v>76240</v>
          </cell>
          <cell r="I1565" t="str">
            <v>El Marques</v>
          </cell>
          <cell r="J1565" t="str">
            <v>Querétaro</v>
          </cell>
          <cell r="K1565" t="str">
            <v>Mexico</v>
          </cell>
        </row>
        <row r="1566">
          <cell r="A1566">
            <v>1569</v>
          </cell>
          <cell r="B1566" t="str">
            <v>CFS Brands Productos de México S. de R.L. de C.V.</v>
          </cell>
          <cell r="C1566" t="str">
            <v>-</v>
          </cell>
          <cell r="D1566" t="str">
            <v>Av. Alejandro Dumas</v>
          </cell>
          <cell r="E1566" t="str">
            <v>-</v>
          </cell>
          <cell r="F1566">
            <v>11331</v>
          </cell>
          <cell r="G1566" t="str">
            <v>Complejo Industrial Chihuahua</v>
          </cell>
          <cell r="H1566">
            <v>31136</v>
          </cell>
          <cell r="I1566" t="str">
            <v>Chihuahua</v>
          </cell>
          <cell r="J1566" t="str">
            <v>Chihuahua</v>
          </cell>
          <cell r="K1566" t="str">
            <v>Mexico</v>
          </cell>
        </row>
        <row r="1567">
          <cell r="A1567">
            <v>1570</v>
          </cell>
          <cell r="B1567" t="str">
            <v>JOHNSON ELECTRIC</v>
          </cell>
          <cell r="C1567" t="str">
            <v>-</v>
          </cell>
          <cell r="D1567" t="str">
            <v>Boulevard Morelos</v>
          </cell>
          <cell r="E1567" t="str">
            <v>-</v>
          </cell>
          <cell r="F1567">
            <v>1109</v>
          </cell>
          <cell r="G1567" t="str">
            <v xml:space="preserve">Mega Parque Industrial </v>
          </cell>
          <cell r="H1567">
            <v>98519</v>
          </cell>
          <cell r="I1567" t="str">
            <v>Calera</v>
          </cell>
          <cell r="J1567" t="str">
            <v>Zacatecas</v>
          </cell>
          <cell r="K1567" t="str">
            <v>Mexico</v>
          </cell>
        </row>
        <row r="1568">
          <cell r="A1568">
            <v>1571</v>
          </cell>
          <cell r="B1568" t="str">
            <v>POSCO MVWPC, S.A. de C.V. ( Planta 2)</v>
          </cell>
          <cell r="C1568" t="str">
            <v>-</v>
          </cell>
          <cell r="D1568" t="str">
            <v>Carretera Alterna Celaya-Villagrán Km. 11.7</v>
          </cell>
          <cell r="E1568" t="str">
            <v>-</v>
          </cell>
          <cell r="F1568" t="str">
            <v>-</v>
          </cell>
          <cell r="G1568" t="str">
            <v>El Pintor</v>
          </cell>
          <cell r="H1568">
            <v>38260</v>
          </cell>
          <cell r="I1568" t="str">
            <v>Villagran</v>
          </cell>
          <cell r="J1568" t="str">
            <v>Guanajuato</v>
          </cell>
          <cell r="K1568" t="str">
            <v>México</v>
          </cell>
        </row>
        <row r="1569">
          <cell r="A1569">
            <v>1572</v>
          </cell>
          <cell r="B1569" t="str">
            <v>AISIN TAKAOKA MÉXICO, S.A. de C.V.</v>
          </cell>
          <cell r="C1569" t="str">
            <v>-</v>
          </cell>
          <cell r="D1569" t="str">
            <v>Avenida Río San Lorenzo</v>
          </cell>
          <cell r="E1569" t="str">
            <v>-</v>
          </cell>
          <cell r="F1569">
            <v>1834</v>
          </cell>
          <cell r="G1569" t="str">
            <v>Parque Tecnoindustrial Castro del Río</v>
          </cell>
          <cell r="H1569">
            <v>36810</v>
          </cell>
          <cell r="I1569" t="str">
            <v>Irapuato</v>
          </cell>
          <cell r="J1569" t="str">
            <v>Guanajuato</v>
          </cell>
          <cell r="K1569" t="str">
            <v>México</v>
          </cell>
        </row>
        <row r="1570">
          <cell r="A1570">
            <v>1573</v>
          </cell>
          <cell r="B1570" t="str">
            <v>Gerresheimer Querétaro, S.A.</v>
          </cell>
          <cell r="C1570" t="str">
            <v>-</v>
          </cell>
          <cell r="D1570" t="str">
            <v>Coahuila</v>
          </cell>
          <cell r="E1570" t="str">
            <v>-</v>
          </cell>
          <cell r="F1570">
            <v>9</v>
          </cell>
          <cell r="G1570" t="str">
            <v>Zona Ind. Benito Juárez</v>
          </cell>
          <cell r="H1570">
            <v>76120</v>
          </cell>
          <cell r="I1570" t="str">
            <v>Querétaro</v>
          </cell>
          <cell r="J1570" t="str">
            <v>Querétaro</v>
          </cell>
          <cell r="K1570" t="str">
            <v>México</v>
          </cell>
        </row>
        <row r="1571">
          <cell r="A1571">
            <v>1574</v>
          </cell>
          <cell r="B1571" t="str">
            <v>TURBOALEACIONES S.A. de C.V.</v>
          </cell>
          <cell r="C1571" t="str">
            <v>-</v>
          </cell>
          <cell r="D1571" t="str">
            <v xml:space="preserve">Blvd. Adolfo Lòpez Mateos </v>
          </cell>
          <cell r="E1571" t="str">
            <v>-</v>
          </cell>
          <cell r="F1571">
            <v>653</v>
          </cell>
          <cell r="G1571" t="str">
            <v>Centro</v>
          </cell>
          <cell r="H1571">
            <v>59300</v>
          </cell>
          <cell r="I1571" t="str">
            <v>La Piedad</v>
          </cell>
          <cell r="J1571" t="str">
            <v>Michoacan</v>
          </cell>
          <cell r="K1571" t="str">
            <v>México</v>
          </cell>
        </row>
        <row r="1572">
          <cell r="A1572">
            <v>1575</v>
          </cell>
          <cell r="B1572" t="str">
            <v>Hyunbo, S. de R.L. de C.V</v>
          </cell>
          <cell r="C1572" t="str">
            <v>-</v>
          </cell>
          <cell r="D1572" t="str">
            <v>Calle Circuito Cataratas</v>
          </cell>
          <cell r="E1572">
            <v>0</v>
          </cell>
          <cell r="F1572">
            <v>13</v>
          </cell>
          <cell r="G1572" t="str">
            <v>Parque Industrial La Noria</v>
          </cell>
          <cell r="H1572" t="str">
            <v>-</v>
          </cell>
          <cell r="I1572" t="str">
            <v>El Marques</v>
          </cell>
          <cell r="J1572" t="str">
            <v>Queretaro</v>
          </cell>
          <cell r="K1572" t="str">
            <v>Mexico</v>
          </cell>
        </row>
        <row r="1573">
          <cell r="A1573">
            <v>1576</v>
          </cell>
          <cell r="B1573" t="str">
            <v>LTM MÉXICO, S.A. de C.V.</v>
          </cell>
          <cell r="C1573" t="str">
            <v>-</v>
          </cell>
          <cell r="D1573" t="str">
            <v>5 de Febrero</v>
          </cell>
          <cell r="E1573" t="str">
            <v>-</v>
          </cell>
          <cell r="F1573">
            <v>391</v>
          </cell>
          <cell r="G1573" t="str">
            <v>Carrillo Puerto</v>
          </cell>
          <cell r="H1573">
            <v>76138</v>
          </cell>
          <cell r="I1573" t="str">
            <v>Querétaro</v>
          </cell>
          <cell r="J1573" t="str">
            <v>Querétaro</v>
          </cell>
          <cell r="K1573" t="str">
            <v>Mexico</v>
          </cell>
        </row>
        <row r="1574">
          <cell r="A1574">
            <v>1577</v>
          </cell>
          <cell r="B1574" t="str">
            <v>MANUFACTURAS ENGO</v>
          </cell>
          <cell r="C1574" t="str">
            <v>-</v>
          </cell>
          <cell r="D1574" t="str">
            <v>Ignacio Allende</v>
          </cell>
          <cell r="E1574" t="str">
            <v>Mz. 14</v>
          </cell>
          <cell r="F1574" t="str">
            <v>Lote 1</v>
          </cell>
          <cell r="G1574" t="str">
            <v>Buenavista</v>
          </cell>
          <cell r="H1574">
            <v>76225</v>
          </cell>
          <cell r="I1574" t="str">
            <v>Querétaro</v>
          </cell>
          <cell r="J1574" t="str">
            <v>Querétaro</v>
          </cell>
          <cell r="K1574" t="str">
            <v>Mexico</v>
          </cell>
        </row>
        <row r="1575">
          <cell r="A1575">
            <v>1578</v>
          </cell>
          <cell r="B1575" t="str">
            <v>Marposs Aerospoace México S.A. de C.V.</v>
          </cell>
          <cell r="C1575" t="str">
            <v>-</v>
          </cell>
          <cell r="D1575" t="str">
            <v>Lluvia, Entre Continuacion Lluvia</v>
          </cell>
          <cell r="E1575" t="str">
            <v>10,11 y 12</v>
          </cell>
          <cell r="F1575">
            <v>8</v>
          </cell>
          <cell r="G1575" t="str">
            <v>Fraccionamiento Industrial La Noria</v>
          </cell>
          <cell r="H1575">
            <v>76246</v>
          </cell>
          <cell r="I1575" t="str">
            <v>El Marques</v>
          </cell>
          <cell r="J1575" t="str">
            <v>Querétaro</v>
          </cell>
          <cell r="K1575" t="str">
            <v>Mexico</v>
          </cell>
        </row>
        <row r="1576">
          <cell r="A1576">
            <v>1579</v>
          </cell>
          <cell r="B1576" t="str">
            <v>Albany Engineered Composites - México</v>
          </cell>
          <cell r="C1576" t="str">
            <v>-</v>
          </cell>
          <cell r="D1576" t="str">
            <v>Av. Colón</v>
          </cell>
          <cell r="E1576" t="str">
            <v>-</v>
          </cell>
          <cell r="F1576" t="str">
            <v>12-A</v>
          </cell>
          <cell r="G1576" t="str">
            <v>Parque Industrial Aerotech</v>
          </cell>
          <cell r="H1576">
            <v>76295</v>
          </cell>
          <cell r="I1576" t="str">
            <v>Colon</v>
          </cell>
          <cell r="J1576" t="str">
            <v>Querétaro</v>
          </cell>
          <cell r="K1576" t="str">
            <v>Mexico</v>
          </cell>
        </row>
        <row r="1577">
          <cell r="A1577">
            <v>1580</v>
          </cell>
          <cell r="B1577" t="str">
            <v>ULTRAFIBRAS DE MEXICO SAPI de C.V.</v>
          </cell>
          <cell r="C1577" t="str">
            <v>-</v>
          </cell>
          <cell r="D1577" t="str">
            <v>Aztecas</v>
          </cell>
          <cell r="E1577" t="str">
            <v>-</v>
          </cell>
          <cell r="F1577">
            <v>8</v>
          </cell>
          <cell r="G1577" t="str">
            <v>Parque Industrial Nuevo San Juan</v>
          </cell>
          <cell r="H1577">
            <v>76806</v>
          </cell>
          <cell r="I1577" t="str">
            <v>San Juan del Río</v>
          </cell>
          <cell r="J1577" t="str">
            <v>Querétaro</v>
          </cell>
          <cell r="K1577" t="str">
            <v>Mexico</v>
          </cell>
        </row>
        <row r="1578">
          <cell r="A1578">
            <v>1581</v>
          </cell>
          <cell r="B1578" t="str">
            <v>Desarrollo y Construcciones en la Construcción</v>
          </cell>
          <cell r="C1578" t="str">
            <v>-</v>
          </cell>
          <cell r="D1578" t="str">
            <v>Acceso a la Sahop, Zona VI</v>
          </cell>
          <cell r="E1578" t="str">
            <v>-</v>
          </cell>
          <cell r="F1578">
            <v>7</v>
          </cell>
          <cell r="G1578" t="str">
            <v>Burocrata</v>
          </cell>
          <cell r="H1578" t="str">
            <v>-</v>
          </cell>
          <cell r="I1578" t="str">
            <v>Guanajuato</v>
          </cell>
          <cell r="J1578" t="str">
            <v>Guanajuato</v>
          </cell>
          <cell r="K1578" t="str">
            <v>Mexico</v>
          </cell>
        </row>
        <row r="1579">
          <cell r="A1579">
            <v>1582</v>
          </cell>
          <cell r="B1579" t="str">
            <v>EXO-S INDUSTRIAS, S.A. de C.V.</v>
          </cell>
          <cell r="C1579" t="str">
            <v>-</v>
          </cell>
          <cell r="D1579" t="str">
            <v>Antigua Carretera a Tequisquiapan, Km 3.5</v>
          </cell>
          <cell r="E1579" t="str">
            <v>-</v>
          </cell>
          <cell r="F1579" t="str">
            <v>-</v>
          </cell>
          <cell r="G1579" t="str">
            <v>Zona Industrial</v>
          </cell>
          <cell r="H1579">
            <v>76800</v>
          </cell>
          <cell r="I1579" t="str">
            <v>San Juan del Río</v>
          </cell>
          <cell r="J1579" t="str">
            <v>Queretaro</v>
          </cell>
          <cell r="K1579" t="str">
            <v>Mexico</v>
          </cell>
        </row>
        <row r="1580">
          <cell r="A1580">
            <v>1583</v>
          </cell>
          <cell r="B1580" t="str">
            <v>PINTURA ESTAMPADO Y MONTAJE S.A.P.I. de C.V.</v>
          </cell>
          <cell r="C1580" t="str">
            <v>-</v>
          </cell>
          <cell r="D1580" t="str">
            <v>Avenida Concepción Béistegui</v>
          </cell>
          <cell r="E1580" t="str">
            <v>-</v>
          </cell>
          <cell r="F1580">
            <v>2007</v>
          </cell>
          <cell r="G1580" t="str">
            <v>Zona Industrial Poniente</v>
          </cell>
          <cell r="H1580">
            <v>38024</v>
          </cell>
          <cell r="I1580" t="str">
            <v>Celaya</v>
          </cell>
          <cell r="J1580" t="str">
            <v>Guanajuato</v>
          </cell>
          <cell r="K1580" t="str">
            <v>Mexico</v>
          </cell>
        </row>
        <row r="1581">
          <cell r="A1581">
            <v>1584</v>
          </cell>
          <cell r="B1581" t="str">
            <v>MECANISMOS INDUSTRIALES SAHAGUN S.A. de C.V.</v>
          </cell>
          <cell r="C1581" t="str">
            <v>-</v>
          </cell>
          <cell r="D1581" t="str">
            <v>Xochiatipoan</v>
          </cell>
          <cell r="E1581" t="str">
            <v>-</v>
          </cell>
          <cell r="F1581">
            <v>118</v>
          </cell>
          <cell r="G1581" t="str">
            <v>Rojo Gomez</v>
          </cell>
          <cell r="H1581">
            <v>43996</v>
          </cell>
          <cell r="I1581" t="str">
            <v>Ciudad Sahagun</v>
          </cell>
          <cell r="J1581" t="str">
            <v>Hidalgo</v>
          </cell>
          <cell r="K1581" t="str">
            <v>Mexico</v>
          </cell>
        </row>
        <row r="1582">
          <cell r="A1582">
            <v>1585</v>
          </cell>
          <cell r="B1582" t="str">
            <v>Diseko Soluciones , S.A. de C.V.</v>
          </cell>
          <cell r="C1582" t="str">
            <v>-</v>
          </cell>
          <cell r="D1582" t="str">
            <v>Av. México</v>
          </cell>
          <cell r="E1582" t="str">
            <v>-</v>
          </cell>
          <cell r="F1582">
            <v>203</v>
          </cell>
          <cell r="G1582" t="str">
            <v>Parque Industrial San Francisco</v>
          </cell>
          <cell r="H1582">
            <v>20304</v>
          </cell>
          <cell r="I1582" t="str">
            <v>San Francisco de los Romo</v>
          </cell>
          <cell r="J1582" t="str">
            <v>Aguascalientes</v>
          </cell>
          <cell r="K1582" t="str">
            <v>Mexico</v>
          </cell>
        </row>
        <row r="1583">
          <cell r="A1583">
            <v>1586</v>
          </cell>
          <cell r="B1583" t="str">
            <v>Smart AE S.A. de C.V.</v>
          </cell>
          <cell r="C1583" t="str">
            <v>-</v>
          </cell>
          <cell r="D1583" t="str">
            <v xml:space="preserve">Av. Real </v>
          </cell>
          <cell r="E1583" t="str">
            <v>-</v>
          </cell>
          <cell r="F1583" t="str">
            <v>274-16</v>
          </cell>
          <cell r="G1583" t="str">
            <v>San Pablo</v>
          </cell>
          <cell r="H1583">
            <v>76159</v>
          </cell>
          <cell r="I1583" t="str">
            <v>Querétaro</v>
          </cell>
          <cell r="J1583" t="str">
            <v>Querétaro</v>
          </cell>
          <cell r="K1583" t="str">
            <v>Mexico</v>
          </cell>
        </row>
        <row r="1584">
          <cell r="A1584">
            <v>1587</v>
          </cell>
          <cell r="B1584" t="str">
            <v xml:space="preserve">Wuerth Baier &amp; Michels Mexico </v>
          </cell>
          <cell r="C1584" t="str">
            <v>-</v>
          </cell>
          <cell r="D1584" t="str">
            <v xml:space="preserve">Cerrada Bicentenario </v>
          </cell>
          <cell r="E1584" t="str">
            <v>Bodega 4</v>
          </cell>
          <cell r="F1584">
            <v>3</v>
          </cell>
          <cell r="G1584" t="str">
            <v>Parque Industrial El Marqués</v>
          </cell>
          <cell r="H1584">
            <v>76246</v>
          </cell>
          <cell r="I1584" t="str">
            <v>El Marques</v>
          </cell>
          <cell r="J1584" t="str">
            <v>Querétaro</v>
          </cell>
          <cell r="K1584" t="str">
            <v>Mexico</v>
          </cell>
        </row>
        <row r="1585">
          <cell r="A1585">
            <v>1588</v>
          </cell>
          <cell r="B1585" t="str">
            <v>KH Mexico S. de R.L. de C.V.</v>
          </cell>
          <cell r="C1585" t="str">
            <v>-</v>
          </cell>
          <cell r="D1585" t="str">
            <v xml:space="preserve">Av. Manufacturas </v>
          </cell>
          <cell r="E1585" t="str">
            <v>Lote 4</v>
          </cell>
          <cell r="F1585">
            <v>412</v>
          </cell>
          <cell r="G1585" t="str">
            <v>Ampliación, Parque Ind. Querétaro, Fase 1</v>
          </cell>
          <cell r="H1585">
            <v>76220</v>
          </cell>
          <cell r="I1585" t="str">
            <v>Querétaro</v>
          </cell>
          <cell r="J1585" t="str">
            <v>Querétaro</v>
          </cell>
          <cell r="K1585" t="str">
            <v>Mexico</v>
          </cell>
        </row>
        <row r="1586">
          <cell r="A1586">
            <v>1589</v>
          </cell>
          <cell r="B1586" t="str">
            <v>SUPRETEC</v>
          </cell>
          <cell r="C1586" t="str">
            <v>-</v>
          </cell>
          <cell r="D1586" t="str">
            <v>Industria Eléctrica</v>
          </cell>
          <cell r="E1586" t="str">
            <v>-</v>
          </cell>
          <cell r="F1586">
            <v>1</v>
          </cell>
          <cell r="G1586" t="str">
            <v>Parque Industrial</v>
          </cell>
          <cell r="H1586">
            <v>53370</v>
          </cell>
          <cell r="I1586" t="str">
            <v>Naucalpan</v>
          </cell>
          <cell r="J1586" t="str">
            <v>Estado de México</v>
          </cell>
          <cell r="K1586" t="str">
            <v>Mexico</v>
          </cell>
        </row>
        <row r="1587">
          <cell r="A1587">
            <v>1590</v>
          </cell>
          <cell r="B1587" t="str">
            <v>Q Holding Company</v>
          </cell>
          <cell r="C1587" t="str">
            <v>-</v>
          </cell>
          <cell r="D1587" t="str">
            <v>Carretera Estatal 431Km 2+200</v>
          </cell>
          <cell r="E1587">
            <v>69</v>
          </cell>
          <cell r="F1587" t="str">
            <v xml:space="preserve">B </v>
          </cell>
          <cell r="G1587" t="str">
            <v>Parque Tecnologico Innovacion</v>
          </cell>
          <cell r="H1587" t="str">
            <v>-</v>
          </cell>
          <cell r="I1587" t="str">
            <v>Querétaro</v>
          </cell>
          <cell r="J1587" t="str">
            <v>Querétaro</v>
          </cell>
          <cell r="K1587" t="str">
            <v>Mexico</v>
          </cell>
        </row>
        <row r="1588">
          <cell r="A1588">
            <v>1591</v>
          </cell>
          <cell r="B1588" t="str">
            <v>GENERAL MOTORS DE MÉXICO S. de R.L. de C.V.</v>
          </cell>
          <cell r="C1588" t="str">
            <v>-</v>
          </cell>
          <cell r="D1588" t="str">
            <v>Carretera -Cuota  Silao-Guanajuato</v>
          </cell>
          <cell r="E1588" t="str">
            <v>-</v>
          </cell>
          <cell r="F1588" t="str">
            <v>-</v>
          </cell>
          <cell r="G1588" t="str">
            <v>-</v>
          </cell>
          <cell r="H1588" t="str">
            <v>-</v>
          </cell>
          <cell r="I1588" t="str">
            <v>-</v>
          </cell>
          <cell r="J1588" t="str">
            <v>-</v>
          </cell>
          <cell r="K1588" t="str">
            <v>Mexico</v>
          </cell>
        </row>
        <row r="1589">
          <cell r="A1589">
            <v>1592</v>
          </cell>
          <cell r="B1589" t="str">
            <v>CORE POLYMER MOULDERS DE MEXICO</v>
          </cell>
          <cell r="C1589" t="str">
            <v>-</v>
          </cell>
          <cell r="D1589" t="str">
            <v xml:space="preserve">Calle de la Cañada </v>
          </cell>
          <cell r="E1589" t="str">
            <v>Bodega 7</v>
          </cell>
          <cell r="F1589">
            <v>8</v>
          </cell>
          <cell r="G1589" t="str">
            <v>Parque Industrial Bernardo Quintana</v>
          </cell>
          <cell r="H1589" t="str">
            <v>-</v>
          </cell>
          <cell r="I1589" t="str">
            <v>Querétaro</v>
          </cell>
          <cell r="J1589" t="str">
            <v>Querétaro</v>
          </cell>
          <cell r="K1589" t="str">
            <v>Mexico</v>
          </cell>
        </row>
        <row r="1590">
          <cell r="A1590">
            <v>1593</v>
          </cell>
          <cell r="B1590" t="str">
            <v>Lab. De Materiales De Contraloria General Del Estado De San Luis Potosi</v>
          </cell>
          <cell r="C1590" t="str">
            <v>-</v>
          </cell>
          <cell r="D1590" t="str">
            <v>Av. Venustiano Carranza</v>
          </cell>
          <cell r="E1590" t="str">
            <v>-</v>
          </cell>
          <cell r="F1590">
            <v>1020</v>
          </cell>
          <cell r="G1590" t="str">
            <v>Arboledas de Tequisquiapan</v>
          </cell>
          <cell r="H1590">
            <v>78235</v>
          </cell>
          <cell r="I1590" t="str">
            <v>San Luis Potosi</v>
          </cell>
          <cell r="J1590" t="str">
            <v>San Luis Potosi</v>
          </cell>
          <cell r="K1590" t="str">
            <v>Mexico</v>
          </cell>
        </row>
        <row r="1591">
          <cell r="A1591">
            <v>1594</v>
          </cell>
          <cell r="B1591" t="str">
            <v xml:space="preserve">C&amp;G METAL S DE EL DE CV </v>
          </cell>
          <cell r="C1591" t="str">
            <v>-</v>
          </cell>
          <cell r="D1591" t="str">
            <v>Tomas Alva Edison</v>
          </cell>
          <cell r="E1591" t="str">
            <v>-</v>
          </cell>
          <cell r="F1591">
            <v>80</v>
          </cell>
          <cell r="G1591" t="str">
            <v>Zona Industrial Valle de Oro</v>
          </cell>
          <cell r="H1591">
            <v>76803</v>
          </cell>
          <cell r="I1591" t="str">
            <v>San Juan del Río</v>
          </cell>
          <cell r="J1591" t="str">
            <v>Queretaro</v>
          </cell>
          <cell r="K1591" t="str">
            <v>Mexico</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AA134"/>
  <sheetViews>
    <sheetView showGridLines="0" zoomScale="80" zoomScaleNormal="80" workbookViewId="0">
      <selection activeCell="K20" sqref="K20:K21"/>
    </sheetView>
  </sheetViews>
  <sheetFormatPr baseColWidth="10" defaultColWidth="11.42578125" defaultRowHeight="15" x14ac:dyDescent="0.25"/>
  <cols>
    <col min="1" max="3" width="11.42578125" style="87"/>
    <col min="4" max="7" width="11.42578125" style="87" customWidth="1"/>
    <col min="8" max="16384" width="11.42578125" style="87"/>
  </cols>
  <sheetData>
    <row r="1" spans="1:20" x14ac:dyDescent="0.25">
      <c r="A1" s="85" t="s">
        <v>160</v>
      </c>
      <c r="B1" s="85"/>
      <c r="C1" s="85"/>
      <c r="D1" s="86"/>
      <c r="L1" s="88"/>
    </row>
    <row r="2" spans="1:20" ht="15.75" thickBot="1" x14ac:dyDescent="0.3">
      <c r="A2" s="293" t="s">
        <v>153</v>
      </c>
      <c r="B2" s="293"/>
      <c r="C2" s="293"/>
      <c r="D2" s="86" t="s">
        <v>170</v>
      </c>
    </row>
    <row r="3" spans="1:20" ht="15.75" thickBot="1" x14ac:dyDescent="0.3">
      <c r="A3" s="86" t="s">
        <v>53</v>
      </c>
      <c r="B3" s="134"/>
      <c r="E3" s="87" t="s">
        <v>54</v>
      </c>
      <c r="G3" s="135"/>
    </row>
    <row r="4" spans="1:20" x14ac:dyDescent="0.25">
      <c r="A4" s="86"/>
      <c r="B4" s="301"/>
      <c r="C4" s="301"/>
      <c r="D4" s="301"/>
      <c r="E4" s="87" t="s">
        <v>55</v>
      </c>
      <c r="G4" s="255"/>
    </row>
    <row r="5" spans="1:20" x14ac:dyDescent="0.25">
      <c r="A5" s="89" t="s">
        <v>26</v>
      </c>
      <c r="B5" s="90"/>
      <c r="C5" s="90"/>
      <c r="D5" s="294" t="s">
        <v>27</v>
      </c>
      <c r="E5" s="294"/>
      <c r="F5" s="136"/>
      <c r="G5" s="91" t="str">
        <f>IF(A96=1, "pulg.", "mm")</f>
        <v>mm</v>
      </c>
    </row>
    <row r="6" spans="1:20" x14ac:dyDescent="0.25">
      <c r="A6" s="245" t="s">
        <v>225</v>
      </c>
      <c r="D6" s="92" t="s">
        <v>28</v>
      </c>
      <c r="E6" s="142"/>
      <c r="F6" s="87" t="str">
        <f>IF(A96=1, "pulg.", "mm")</f>
        <v>mm</v>
      </c>
      <c r="G6" s="93"/>
    </row>
    <row r="7" spans="1:20" x14ac:dyDescent="0.25">
      <c r="A7" s="245" t="s">
        <v>29</v>
      </c>
      <c r="C7" s="141"/>
      <c r="D7" s="92" t="s">
        <v>30</v>
      </c>
      <c r="E7" s="132"/>
      <c r="F7" s="87" t="s">
        <v>174</v>
      </c>
      <c r="G7" s="136"/>
    </row>
    <row r="8" spans="1:20" x14ac:dyDescent="0.25">
      <c r="A8" s="246" t="s">
        <v>31</v>
      </c>
      <c r="B8" s="94"/>
      <c r="C8" s="141"/>
      <c r="D8" s="95" t="s">
        <v>32</v>
      </c>
      <c r="E8" s="141"/>
      <c r="F8" s="94"/>
      <c r="G8" s="96"/>
      <c r="O8" s="137"/>
    </row>
    <row r="9" spans="1:20" x14ac:dyDescent="0.25">
      <c r="A9" s="139"/>
      <c r="B9" s="139"/>
      <c r="C9" s="131"/>
      <c r="D9" s="131"/>
      <c r="E9" s="131"/>
      <c r="F9" s="139"/>
      <c r="G9" s="139"/>
      <c r="H9" s="139"/>
      <c r="I9" s="140"/>
    </row>
    <row r="10" spans="1:20" x14ac:dyDescent="0.25">
      <c r="A10" s="97" t="s">
        <v>33</v>
      </c>
      <c r="B10" s="98"/>
      <c r="C10" s="99"/>
      <c r="D10" s="295" t="s">
        <v>35</v>
      </c>
      <c r="E10" s="296"/>
      <c r="F10" s="296"/>
      <c r="G10" s="297"/>
    </row>
    <row r="11" spans="1:20" x14ac:dyDescent="0.25">
      <c r="A11" s="304" t="s">
        <v>34</v>
      </c>
      <c r="B11" s="304"/>
      <c r="C11" s="304"/>
      <c r="D11" s="298"/>
      <c r="E11" s="299"/>
      <c r="F11" s="299"/>
      <c r="G11" s="300"/>
    </row>
    <row r="12" spans="1:20" x14ac:dyDescent="0.25">
      <c r="A12" s="304" t="s">
        <v>36</v>
      </c>
      <c r="B12" s="304"/>
      <c r="C12" s="304"/>
      <c r="D12" s="290"/>
      <c r="E12" s="291"/>
      <c r="F12" s="291"/>
      <c r="G12" s="292"/>
    </row>
    <row r="13" spans="1:20" x14ac:dyDescent="0.25">
      <c r="A13" s="304" t="s">
        <v>37</v>
      </c>
      <c r="B13" s="304"/>
      <c r="C13" s="304"/>
      <c r="D13" s="290"/>
      <c r="E13" s="291"/>
      <c r="F13" s="291"/>
      <c r="G13" s="292"/>
      <c r="J13" s="249"/>
      <c r="K13" s="249"/>
      <c r="L13" s="249"/>
      <c r="M13" s="249"/>
      <c r="N13" s="249"/>
      <c r="O13" s="249"/>
      <c r="P13" s="249"/>
      <c r="Q13" s="249"/>
      <c r="R13" s="249"/>
      <c r="S13" s="249"/>
      <c r="T13" s="249"/>
    </row>
    <row r="14" spans="1:20" x14ac:dyDescent="0.25">
      <c r="A14" s="307" t="s">
        <v>38</v>
      </c>
      <c r="B14" s="308"/>
      <c r="C14" s="309"/>
      <c r="D14" s="290"/>
      <c r="E14" s="291"/>
      <c r="F14" s="291"/>
      <c r="G14" s="292"/>
      <c r="H14" s="100" t="s">
        <v>56</v>
      </c>
      <c r="I14" s="136"/>
      <c r="J14" s="249"/>
      <c r="K14" s="247"/>
      <c r="L14" s="247"/>
      <c r="M14" s="248"/>
      <c r="N14" s="247"/>
      <c r="O14" s="247"/>
      <c r="P14" s="247"/>
      <c r="Q14" s="247"/>
      <c r="R14" s="247"/>
      <c r="S14" s="247"/>
      <c r="T14" s="249"/>
    </row>
    <row r="15" spans="1:20" x14ac:dyDescent="0.25">
      <c r="A15" s="266" t="s">
        <v>39</v>
      </c>
      <c r="B15" s="267"/>
      <c r="C15" s="268"/>
      <c r="D15" s="290"/>
      <c r="E15" s="291"/>
      <c r="F15" s="291"/>
      <c r="G15" s="292"/>
      <c r="H15" s="100" t="s">
        <v>57</v>
      </c>
      <c r="I15" s="136"/>
      <c r="J15" s="249"/>
      <c r="K15" s="250"/>
      <c r="L15" s="250"/>
      <c r="M15" s="250"/>
      <c r="N15" s="251"/>
      <c r="O15" s="251"/>
      <c r="P15" s="250"/>
      <c r="Q15" s="250"/>
      <c r="R15" s="250"/>
      <c r="S15" s="252"/>
      <c r="T15" s="249"/>
    </row>
    <row r="16" spans="1:20" x14ac:dyDescent="0.25">
      <c r="A16" s="307" t="s">
        <v>40</v>
      </c>
      <c r="B16" s="308"/>
      <c r="C16" s="309"/>
      <c r="D16" s="290"/>
      <c r="E16" s="291"/>
      <c r="F16" s="291"/>
      <c r="G16" s="292"/>
      <c r="H16" s="124" t="s">
        <v>172</v>
      </c>
      <c r="I16" s="136"/>
      <c r="J16" s="249"/>
      <c r="K16" s="249"/>
      <c r="L16" s="249"/>
      <c r="M16" s="249"/>
      <c r="N16" s="249"/>
      <c r="O16" s="249"/>
      <c r="P16" s="249"/>
      <c r="Q16" s="249"/>
      <c r="R16" s="249"/>
      <c r="S16" s="249"/>
      <c r="T16" s="249"/>
    </row>
    <row r="17" spans="1:27" x14ac:dyDescent="0.25">
      <c r="A17" s="266" t="s">
        <v>41</v>
      </c>
      <c r="B17" s="266"/>
      <c r="C17" s="266"/>
      <c r="D17" s="290"/>
      <c r="E17" s="291"/>
      <c r="F17" s="291"/>
      <c r="G17" s="292"/>
    </row>
    <row r="18" spans="1:27" ht="15.75" thickBot="1" x14ac:dyDescent="0.3">
      <c r="A18" s="307" t="s">
        <v>42</v>
      </c>
      <c r="B18" s="308"/>
      <c r="C18" s="309"/>
      <c r="D18" s="290"/>
      <c r="E18" s="291"/>
      <c r="F18" s="291"/>
      <c r="G18" s="292"/>
      <c r="N18" s="249"/>
      <c r="O18" s="87" t="s">
        <v>226</v>
      </c>
    </row>
    <row r="19" spans="1:27" ht="18.75" customHeight="1" thickBot="1" x14ac:dyDescent="0.3">
      <c r="A19" s="307" t="s">
        <v>43</v>
      </c>
      <c r="B19" s="308"/>
      <c r="C19" s="309"/>
      <c r="D19" s="290"/>
      <c r="E19" s="291"/>
      <c r="F19" s="291"/>
      <c r="G19" s="292"/>
      <c r="N19" s="254"/>
      <c r="O19" s="134" t="s">
        <v>167</v>
      </c>
      <c r="P19" s="249"/>
      <c r="Q19" s="310"/>
      <c r="R19" s="310"/>
      <c r="S19" s="310"/>
      <c r="T19" s="310"/>
      <c r="U19" s="310"/>
      <c r="V19" s="310"/>
      <c r="W19" s="310"/>
      <c r="X19" s="310"/>
      <c r="Y19" s="310"/>
      <c r="Z19" s="311"/>
      <c r="AA19" s="311"/>
    </row>
    <row r="20" spans="1:27" ht="18.75" customHeight="1" thickBot="1" x14ac:dyDescent="0.3">
      <c r="A20" s="307" t="s">
        <v>44</v>
      </c>
      <c r="B20" s="308"/>
      <c r="C20" s="309"/>
      <c r="D20" s="290"/>
      <c r="E20" s="291"/>
      <c r="F20" s="291"/>
      <c r="G20" s="292"/>
      <c r="N20" s="254"/>
      <c r="O20" s="134" t="s">
        <v>171</v>
      </c>
      <c r="P20" s="249"/>
      <c r="Q20" s="310"/>
      <c r="R20" s="310"/>
      <c r="S20" s="310"/>
      <c r="T20" s="310"/>
      <c r="U20" s="310"/>
      <c r="V20" s="310"/>
      <c r="W20" s="310"/>
      <c r="X20" s="310"/>
      <c r="Y20" s="310"/>
      <c r="Z20" s="311"/>
      <c r="AA20" s="311"/>
    </row>
    <row r="21" spans="1:27" ht="18.75" customHeight="1" thickBot="1" x14ac:dyDescent="0.3">
      <c r="A21" s="305"/>
      <c r="B21" s="305"/>
      <c r="C21" s="305"/>
      <c r="D21" s="290"/>
      <c r="E21" s="291"/>
      <c r="F21" s="291"/>
      <c r="G21" s="292"/>
      <c r="N21" s="254"/>
      <c r="O21" s="134" t="s">
        <v>168</v>
      </c>
      <c r="P21" s="249"/>
      <c r="Q21" s="310"/>
      <c r="R21" s="310"/>
      <c r="S21" s="310"/>
      <c r="T21" s="310"/>
      <c r="U21" s="310"/>
      <c r="V21" s="310"/>
      <c r="W21" s="310"/>
      <c r="X21" s="310"/>
      <c r="Y21" s="310"/>
      <c r="Z21" s="311"/>
      <c r="AA21" s="311"/>
    </row>
    <row r="22" spans="1:27" ht="18.75" customHeight="1" thickBot="1" x14ac:dyDescent="0.3">
      <c r="N22" s="254"/>
      <c r="O22" s="134" t="s">
        <v>169</v>
      </c>
      <c r="P22" s="249"/>
      <c r="Q22" s="310"/>
      <c r="R22" s="310"/>
      <c r="S22" s="310"/>
      <c r="T22" s="310"/>
      <c r="U22" s="310"/>
      <c r="V22" s="310"/>
      <c r="W22" s="310"/>
      <c r="X22" s="310"/>
      <c r="Y22" s="310"/>
      <c r="Z22" s="311"/>
      <c r="AA22" s="311"/>
    </row>
    <row r="23" spans="1:27" ht="23.25" customHeight="1" x14ac:dyDescent="0.25">
      <c r="A23" s="111" t="s">
        <v>46</v>
      </c>
      <c r="B23" s="302" t="s">
        <v>47</v>
      </c>
      <c r="C23" s="302"/>
      <c r="D23" s="302"/>
      <c r="E23" s="302"/>
      <c r="F23" s="302"/>
      <c r="G23" s="303"/>
      <c r="H23" s="253"/>
      <c r="I23" s="253"/>
      <c r="J23" s="253"/>
      <c r="K23" s="253"/>
      <c r="L23" s="253"/>
      <c r="N23" s="249"/>
    </row>
    <row r="24" spans="1:27" x14ac:dyDescent="0.25">
      <c r="A24" s="100" t="str">
        <f>IF(A96=2, "mm", "pulg")</f>
        <v>mm</v>
      </c>
      <c r="B24" s="102">
        <v>1</v>
      </c>
      <c r="C24" s="102">
        <v>2</v>
      </c>
      <c r="D24" s="102">
        <v>3</v>
      </c>
      <c r="E24" s="125"/>
      <c r="F24" s="126"/>
      <c r="G24" s="263" t="s">
        <v>45</v>
      </c>
      <c r="H24" s="253"/>
      <c r="I24" s="265"/>
      <c r="J24" s="289"/>
      <c r="K24" s="289"/>
      <c r="L24" s="253"/>
    </row>
    <row r="25" spans="1:27" x14ac:dyDescent="0.25">
      <c r="A25" s="144">
        <f>A115</f>
        <v>0</v>
      </c>
      <c r="B25" s="112">
        <v>0</v>
      </c>
      <c r="C25" s="112">
        <v>0</v>
      </c>
      <c r="D25" s="112">
        <v>0</v>
      </c>
      <c r="E25" s="127"/>
      <c r="F25" s="128"/>
      <c r="G25" s="264">
        <f>AVERAGE(B25:D25)</f>
        <v>0</v>
      </c>
      <c r="H25" s="253"/>
      <c r="I25" s="265"/>
      <c r="J25" s="289"/>
      <c r="K25" s="289"/>
      <c r="L25" s="253"/>
    </row>
    <row r="26" spans="1:27" x14ac:dyDescent="0.25">
      <c r="A26" s="144">
        <v>10.3</v>
      </c>
      <c r="B26" s="112">
        <v>0</v>
      </c>
      <c r="C26" s="112">
        <v>0</v>
      </c>
      <c r="D26" s="112">
        <v>0</v>
      </c>
      <c r="E26" s="127"/>
      <c r="F26" s="128"/>
      <c r="G26" s="264">
        <f t="shared" ref="G26:G32" si="0">AVERAGE(B26:D26)</f>
        <v>0</v>
      </c>
      <c r="H26" s="253"/>
      <c r="I26" s="253"/>
      <c r="J26" s="253"/>
      <c r="K26" s="253"/>
      <c r="L26" s="253"/>
    </row>
    <row r="27" spans="1:27" x14ac:dyDescent="0.25">
      <c r="A27" s="144">
        <v>12.9</v>
      </c>
      <c r="B27" s="112">
        <v>0</v>
      </c>
      <c r="C27" s="112">
        <v>0</v>
      </c>
      <c r="D27" s="112">
        <v>0</v>
      </c>
      <c r="E27" s="127"/>
      <c r="F27" s="128"/>
      <c r="G27" s="103">
        <f t="shared" si="0"/>
        <v>0</v>
      </c>
    </row>
    <row r="28" spans="1:27" x14ac:dyDescent="0.25">
      <c r="A28" s="144">
        <v>50</v>
      </c>
      <c r="B28" s="112">
        <v>0</v>
      </c>
      <c r="C28" s="112">
        <v>0</v>
      </c>
      <c r="D28" s="112">
        <v>0</v>
      </c>
      <c r="E28" s="127"/>
      <c r="F28" s="128"/>
      <c r="G28" s="103">
        <f t="shared" si="0"/>
        <v>0</v>
      </c>
    </row>
    <row r="29" spans="1:27" x14ac:dyDescent="0.25">
      <c r="A29" s="144">
        <v>100</v>
      </c>
      <c r="B29" s="112">
        <v>-0.01</v>
      </c>
      <c r="C29" s="112">
        <v>-0.01</v>
      </c>
      <c r="D29" s="112">
        <v>-0.01</v>
      </c>
      <c r="E29" s="127"/>
      <c r="F29" s="128"/>
      <c r="G29" s="103">
        <f t="shared" si="0"/>
        <v>-0.01</v>
      </c>
    </row>
    <row r="30" spans="1:27" x14ac:dyDescent="0.25">
      <c r="A30" s="144">
        <v>150</v>
      </c>
      <c r="B30" s="112">
        <v>-0.01</v>
      </c>
      <c r="C30" s="112">
        <v>-0.01</v>
      </c>
      <c r="D30" s="112">
        <v>-0.01</v>
      </c>
      <c r="E30" s="127"/>
      <c r="F30" s="128"/>
      <c r="G30" s="103">
        <f t="shared" si="0"/>
        <v>-0.01</v>
      </c>
    </row>
    <row r="31" spans="1:27" x14ac:dyDescent="0.25">
      <c r="A31" s="144">
        <v>200</v>
      </c>
      <c r="B31" s="112">
        <v>-0.01</v>
      </c>
      <c r="C31" s="112">
        <v>-0.01</v>
      </c>
      <c r="D31" s="112">
        <v>-0.01</v>
      </c>
      <c r="E31" s="127"/>
      <c r="F31" s="127"/>
      <c r="G31" s="103">
        <f t="shared" si="0"/>
        <v>-0.01</v>
      </c>
    </row>
    <row r="32" spans="1:27" x14ac:dyDescent="0.25">
      <c r="A32" s="144">
        <v>300</v>
      </c>
      <c r="B32" s="112"/>
      <c r="C32" s="112"/>
      <c r="D32" s="112"/>
      <c r="E32" s="127"/>
      <c r="F32" s="127"/>
      <c r="G32" s="103" t="e">
        <f t="shared" si="0"/>
        <v>#DIV/0!</v>
      </c>
    </row>
    <row r="34" spans="1:7" ht="22.5" x14ac:dyDescent="0.25">
      <c r="A34" s="111" t="s">
        <v>46</v>
      </c>
      <c r="B34" s="302" t="s">
        <v>48</v>
      </c>
      <c r="C34" s="302"/>
      <c r="D34" s="302"/>
      <c r="E34" s="302"/>
      <c r="F34" s="302"/>
      <c r="G34" s="302"/>
    </row>
    <row r="35" spans="1:7" x14ac:dyDescent="0.25">
      <c r="A35" s="124" t="str">
        <f>IF(A96=2, "mm", "pulg")</f>
        <v>mm</v>
      </c>
      <c r="B35" s="101">
        <v>1</v>
      </c>
      <c r="C35" s="101">
        <v>2</v>
      </c>
      <c r="D35" s="101">
        <v>3</v>
      </c>
      <c r="E35" s="129"/>
      <c r="F35" s="130"/>
      <c r="G35" s="101" t="s">
        <v>45</v>
      </c>
    </row>
    <row r="36" spans="1:7" x14ac:dyDescent="0.25">
      <c r="A36" s="144">
        <f>A126</f>
        <v>0</v>
      </c>
      <c r="B36" s="112">
        <v>0</v>
      </c>
      <c r="C36" s="112">
        <v>0</v>
      </c>
      <c r="D36" s="112">
        <v>0</v>
      </c>
      <c r="E36" s="127"/>
      <c r="F36" s="128"/>
      <c r="G36" s="103">
        <f>AVERAGE(B36:D36)</f>
        <v>0</v>
      </c>
    </row>
    <row r="37" spans="1:7" x14ac:dyDescent="0.25">
      <c r="A37" s="144">
        <v>10</v>
      </c>
      <c r="B37" s="112">
        <v>0</v>
      </c>
      <c r="C37" s="112">
        <v>0</v>
      </c>
      <c r="D37" s="112">
        <v>0</v>
      </c>
      <c r="E37" s="127"/>
      <c r="F37" s="128"/>
      <c r="G37" s="103">
        <f t="shared" ref="G37:G43" si="1">AVERAGE(B37:D37)</f>
        <v>0</v>
      </c>
    </row>
    <row r="38" spans="1:7" x14ac:dyDescent="0.25">
      <c r="A38" s="144">
        <v>30</v>
      </c>
      <c r="B38" s="112">
        <v>0.01</v>
      </c>
      <c r="C38" s="112">
        <v>0.01</v>
      </c>
      <c r="D38" s="112">
        <v>0.01</v>
      </c>
      <c r="E38" s="127"/>
      <c r="F38" s="128"/>
      <c r="G38" s="103">
        <f t="shared" si="1"/>
        <v>0.01</v>
      </c>
    </row>
    <row r="39" spans="1:7" x14ac:dyDescent="0.25">
      <c r="A39" s="144">
        <v>50</v>
      </c>
      <c r="B39" s="112">
        <v>0</v>
      </c>
      <c r="C39" s="112">
        <v>0</v>
      </c>
      <c r="D39" s="112">
        <v>0</v>
      </c>
      <c r="E39" s="127"/>
      <c r="F39" s="128"/>
      <c r="G39" s="103">
        <f t="shared" si="1"/>
        <v>0</v>
      </c>
    </row>
    <row r="40" spans="1:7" x14ac:dyDescent="0.25">
      <c r="A40" s="144">
        <v>90</v>
      </c>
      <c r="B40" s="112">
        <v>0</v>
      </c>
      <c r="C40" s="112">
        <v>0</v>
      </c>
      <c r="D40" s="112">
        <v>0</v>
      </c>
      <c r="E40" s="127"/>
      <c r="F40" s="128"/>
      <c r="G40" s="103">
        <f t="shared" si="1"/>
        <v>0</v>
      </c>
    </row>
    <row r="41" spans="1:7" x14ac:dyDescent="0.25">
      <c r="A41" s="144">
        <v>150</v>
      </c>
      <c r="B41" s="112">
        <v>0</v>
      </c>
      <c r="C41" s="112">
        <v>0</v>
      </c>
      <c r="D41" s="112">
        <v>0</v>
      </c>
      <c r="E41" s="127"/>
      <c r="F41" s="128"/>
      <c r="G41" s="103">
        <f t="shared" si="1"/>
        <v>0</v>
      </c>
    </row>
    <row r="42" spans="1:7" x14ac:dyDescent="0.25">
      <c r="A42" s="144">
        <v>190</v>
      </c>
      <c r="B42" s="112">
        <v>-0.01</v>
      </c>
      <c r="C42" s="112">
        <v>-0.01</v>
      </c>
      <c r="D42" s="112">
        <v>-0.01</v>
      </c>
      <c r="E42" s="127"/>
      <c r="F42" s="127"/>
      <c r="G42" s="103">
        <f t="shared" si="1"/>
        <v>-0.01</v>
      </c>
    </row>
    <row r="43" spans="1:7" x14ac:dyDescent="0.25">
      <c r="A43" s="144">
        <v>290</v>
      </c>
      <c r="B43" s="112"/>
      <c r="C43" s="112"/>
      <c r="D43" s="112"/>
      <c r="E43" s="127"/>
      <c r="F43" s="127"/>
      <c r="G43" s="103" t="e">
        <f t="shared" si="1"/>
        <v>#DIV/0!</v>
      </c>
    </row>
    <row r="45" spans="1:7" x14ac:dyDescent="0.25">
      <c r="A45" s="86" t="s">
        <v>49</v>
      </c>
      <c r="B45" s="86"/>
      <c r="C45" s="86"/>
      <c r="D45" s="86" t="s">
        <v>52</v>
      </c>
      <c r="E45" s="86"/>
    </row>
    <row r="46" spans="1:7" x14ac:dyDescent="0.25">
      <c r="A46" s="102" t="s">
        <v>50</v>
      </c>
      <c r="B46" s="102" t="s">
        <v>51</v>
      </c>
      <c r="C46" s="86"/>
      <c r="D46" s="102" t="s">
        <v>50</v>
      </c>
      <c r="E46" s="102" t="s">
        <v>51</v>
      </c>
    </row>
    <row r="47" spans="1:7" x14ac:dyDescent="0.25">
      <c r="A47" s="138">
        <v>-0.01</v>
      </c>
      <c r="B47" s="138">
        <v>0</v>
      </c>
      <c r="D47" s="138">
        <v>0.02</v>
      </c>
      <c r="E47" s="138">
        <v>0.01</v>
      </c>
    </row>
    <row r="48" spans="1:7" x14ac:dyDescent="0.25">
      <c r="A48" s="253"/>
      <c r="B48" s="253"/>
      <c r="D48" s="253"/>
      <c r="E48" s="253"/>
    </row>
    <row r="49" spans="1:5" x14ac:dyDescent="0.25">
      <c r="A49" s="256" t="s">
        <v>227</v>
      </c>
      <c r="B49"/>
      <c r="D49" s="253"/>
      <c r="E49" s="253"/>
    </row>
    <row r="50" spans="1:5" ht="15.75" thickBot="1" x14ac:dyDescent="0.3">
      <c r="A50" s="256"/>
      <c r="B50"/>
      <c r="D50" s="253"/>
      <c r="E50" s="253"/>
    </row>
    <row r="51" spans="1:5" ht="24.75" thickTop="1" x14ac:dyDescent="0.25">
      <c r="A51" s="257" t="s">
        <v>228</v>
      </c>
      <c r="B51" s="259" t="s">
        <v>230</v>
      </c>
      <c r="D51" s="253"/>
      <c r="E51" s="253"/>
    </row>
    <row r="52" spans="1:5" ht="15.75" thickBot="1" x14ac:dyDescent="0.3">
      <c r="A52" s="258" t="s">
        <v>229</v>
      </c>
      <c r="B52" s="260" t="s">
        <v>229</v>
      </c>
      <c r="D52" s="253"/>
      <c r="E52" s="253"/>
    </row>
    <row r="53" spans="1:5" ht="15.75" thickBot="1" x14ac:dyDescent="0.3">
      <c r="A53" s="261"/>
      <c r="B53" s="262"/>
      <c r="D53" s="253"/>
      <c r="E53" s="253"/>
    </row>
    <row r="54" spans="1:5" ht="16.5" thickTop="1" x14ac:dyDescent="0.25">
      <c r="A54" s="6"/>
      <c r="B54"/>
      <c r="D54" s="253"/>
      <c r="E54" s="253"/>
    </row>
    <row r="55" spans="1:5" ht="15.75" x14ac:dyDescent="0.25">
      <c r="A55" s="6"/>
      <c r="B55"/>
      <c r="D55" s="253"/>
      <c r="E55" s="253"/>
    </row>
    <row r="56" spans="1:5" x14ac:dyDescent="0.25">
      <c r="A56" s="256" t="s">
        <v>231</v>
      </c>
      <c r="B56"/>
      <c r="D56" s="253"/>
      <c r="E56" s="253"/>
    </row>
    <row r="57" spans="1:5" ht="15.75" thickBot="1" x14ac:dyDescent="0.3">
      <c r="A57" s="256"/>
      <c r="B57"/>
      <c r="D57" s="253"/>
      <c r="E57" s="253"/>
    </row>
    <row r="58" spans="1:5" ht="24.75" thickTop="1" x14ac:dyDescent="0.25">
      <c r="A58" s="257" t="s">
        <v>228</v>
      </c>
      <c r="B58" s="259" t="s">
        <v>230</v>
      </c>
      <c r="D58" s="253"/>
      <c r="E58" s="253"/>
    </row>
    <row r="59" spans="1:5" ht="15.75" thickBot="1" x14ac:dyDescent="0.3">
      <c r="A59" s="258" t="s">
        <v>229</v>
      </c>
      <c r="B59" s="260" t="s">
        <v>229</v>
      </c>
      <c r="D59" s="253"/>
      <c r="E59" s="253"/>
    </row>
    <row r="60" spans="1:5" ht="15.75" thickBot="1" x14ac:dyDescent="0.3">
      <c r="A60" s="261"/>
      <c r="B60" s="262"/>
      <c r="D60" s="253"/>
      <c r="E60" s="253"/>
    </row>
    <row r="61" spans="1:5" ht="16.5" thickTop="1" x14ac:dyDescent="0.25">
      <c r="A61" s="6"/>
      <c r="B61"/>
      <c r="D61" s="253"/>
      <c r="E61" s="253"/>
    </row>
    <row r="62" spans="1:5" x14ac:dyDescent="0.25">
      <c r="A62" s="253"/>
      <c r="B62" s="253"/>
      <c r="D62" s="253"/>
      <c r="E62" s="253"/>
    </row>
    <row r="72" spans="1:12" hidden="1" x14ac:dyDescent="0.25">
      <c r="C72" s="87">
        <f>Datos!B130/10</f>
        <v>0</v>
      </c>
    </row>
    <row r="75" spans="1:12" x14ac:dyDescent="0.25">
      <c r="A75" s="104" t="s">
        <v>162</v>
      </c>
      <c r="B75" s="104"/>
      <c r="C75" s="104"/>
      <c r="D75" s="104"/>
      <c r="E75" s="104"/>
      <c r="F75" s="104"/>
      <c r="G75" s="104" t="s">
        <v>166</v>
      </c>
      <c r="H75" s="104"/>
      <c r="J75" s="104" t="s">
        <v>154</v>
      </c>
      <c r="K75" s="104" t="s">
        <v>164</v>
      </c>
      <c r="L75" s="104"/>
    </row>
    <row r="76" spans="1:12" x14ac:dyDescent="0.25">
      <c r="A76" s="104" t="s">
        <v>161</v>
      </c>
      <c r="B76" s="104"/>
      <c r="C76" s="104"/>
      <c r="D76" s="104"/>
      <c r="E76" s="104"/>
      <c r="F76" s="306" t="s">
        <v>163</v>
      </c>
      <c r="G76" s="306"/>
      <c r="H76" s="306"/>
      <c r="J76" s="104" t="s">
        <v>155</v>
      </c>
      <c r="K76" s="104" t="s">
        <v>165</v>
      </c>
      <c r="L76" s="104"/>
    </row>
    <row r="79" spans="1:12" ht="18.75" x14ac:dyDescent="0.25">
      <c r="I79" s="4"/>
      <c r="J79" s="4"/>
    </row>
    <row r="80" spans="1:12" ht="18.75" x14ac:dyDescent="0.25">
      <c r="I80" s="105"/>
      <c r="J80" s="105"/>
    </row>
    <row r="81" spans="1:10" x14ac:dyDescent="0.25">
      <c r="I81" s="106"/>
      <c r="J81" s="106"/>
    </row>
    <row r="82" spans="1:10" x14ac:dyDescent="0.25">
      <c r="I82" s="106"/>
      <c r="J82" s="106"/>
    </row>
    <row r="83" spans="1:10" ht="18.75" x14ac:dyDescent="0.25">
      <c r="I83" s="105"/>
      <c r="J83" s="105"/>
    </row>
    <row r="84" spans="1:10" ht="18.75" x14ac:dyDescent="0.25">
      <c r="I84" s="105"/>
      <c r="J84" s="105"/>
    </row>
    <row r="85" spans="1:10" x14ac:dyDescent="0.25">
      <c r="C85" s="107"/>
      <c r="I85" s="106"/>
      <c r="J85" s="106"/>
    </row>
    <row r="86" spans="1:10" x14ac:dyDescent="0.25">
      <c r="I86" s="106"/>
      <c r="J86" s="106"/>
    </row>
    <row r="96" spans="1:10" x14ac:dyDescent="0.25">
      <c r="A96" s="87">
        <v>2</v>
      </c>
      <c r="H96" s="87" t="s">
        <v>167</v>
      </c>
    </row>
    <row r="97" spans="8:8" x14ac:dyDescent="0.25">
      <c r="H97" s="87" t="s">
        <v>171</v>
      </c>
    </row>
    <row r="98" spans="8:8" x14ac:dyDescent="0.25">
      <c r="H98" s="87" t="s">
        <v>168</v>
      </c>
    </row>
    <row r="99" spans="8:8" x14ac:dyDescent="0.25">
      <c r="H99" s="87" t="s">
        <v>169</v>
      </c>
    </row>
    <row r="115" spans="1:7" s="109" customFormat="1" x14ac:dyDescent="0.25">
      <c r="A115" s="87">
        <v>0</v>
      </c>
      <c r="B115" s="87" t="s">
        <v>60</v>
      </c>
      <c r="C115" s="108">
        <v>0</v>
      </c>
      <c r="D115" s="87" t="s">
        <v>60</v>
      </c>
      <c r="F115" s="109">
        <v>0</v>
      </c>
      <c r="G115" s="109">
        <v>0</v>
      </c>
    </row>
    <row r="116" spans="1:7" s="109" customFormat="1" x14ac:dyDescent="0.25">
      <c r="A116" s="87">
        <v>10.3</v>
      </c>
      <c r="B116" s="87" t="s">
        <v>61</v>
      </c>
      <c r="C116" s="108">
        <v>10</v>
      </c>
      <c r="D116" s="87" t="s">
        <v>61</v>
      </c>
      <c r="F116" s="109">
        <v>10.3</v>
      </c>
      <c r="G116" s="109">
        <v>10</v>
      </c>
    </row>
    <row r="117" spans="1:7" s="109" customFormat="1" x14ac:dyDescent="0.25">
      <c r="A117" s="87">
        <v>12.9</v>
      </c>
      <c r="B117" s="87" t="s">
        <v>62</v>
      </c>
      <c r="C117" s="108">
        <v>30</v>
      </c>
      <c r="D117" s="87" t="s">
        <v>62</v>
      </c>
      <c r="F117" s="109">
        <v>12.9</v>
      </c>
      <c r="G117" s="109">
        <v>30</v>
      </c>
    </row>
    <row r="118" spans="1:7" s="109" customFormat="1" x14ac:dyDescent="0.25">
      <c r="A118" s="87">
        <v>50</v>
      </c>
      <c r="B118" s="87" t="s">
        <v>63</v>
      </c>
      <c r="C118" s="108">
        <v>50</v>
      </c>
      <c r="D118" s="87" t="s">
        <v>63</v>
      </c>
      <c r="F118" s="109">
        <v>50</v>
      </c>
      <c r="G118" s="109">
        <v>50</v>
      </c>
    </row>
    <row r="119" spans="1:7" s="109" customFormat="1" x14ac:dyDescent="0.25">
      <c r="A119" s="87">
        <v>100</v>
      </c>
      <c r="B119" s="87">
        <v>4</v>
      </c>
      <c r="C119" s="108">
        <v>90</v>
      </c>
      <c r="D119" s="87" t="s">
        <v>67</v>
      </c>
      <c r="F119" s="109">
        <v>100</v>
      </c>
      <c r="G119" s="109">
        <v>90</v>
      </c>
    </row>
    <row r="120" spans="1:7" s="109" customFormat="1" x14ac:dyDescent="0.25">
      <c r="A120" s="87">
        <v>150</v>
      </c>
      <c r="B120" s="87" t="s">
        <v>64</v>
      </c>
      <c r="C120" s="108">
        <v>150</v>
      </c>
      <c r="D120" s="87" t="s">
        <v>64</v>
      </c>
      <c r="F120" s="109">
        <v>150</v>
      </c>
      <c r="G120" s="109">
        <v>150</v>
      </c>
    </row>
    <row r="121" spans="1:7" s="109" customFormat="1" x14ac:dyDescent="0.25">
      <c r="A121" s="87">
        <v>200</v>
      </c>
      <c r="B121" s="87" t="s">
        <v>65</v>
      </c>
      <c r="C121" s="108">
        <v>190</v>
      </c>
      <c r="D121" s="87" t="s">
        <v>65</v>
      </c>
      <c r="F121" s="109">
        <v>200</v>
      </c>
      <c r="G121" s="109">
        <v>190</v>
      </c>
    </row>
    <row r="122" spans="1:7" s="109" customFormat="1" x14ac:dyDescent="0.25">
      <c r="A122" s="87">
        <v>300</v>
      </c>
      <c r="B122" s="87" t="s">
        <v>66</v>
      </c>
      <c r="C122" s="108">
        <v>290</v>
      </c>
      <c r="D122" s="87" t="s">
        <v>66</v>
      </c>
      <c r="F122" s="109">
        <v>300</v>
      </c>
      <c r="G122" s="109">
        <v>290</v>
      </c>
    </row>
    <row r="130" spans="1:1" x14ac:dyDescent="0.25">
      <c r="A130" s="87">
        <v>300</v>
      </c>
    </row>
    <row r="131" spans="1:1" x14ac:dyDescent="0.25">
      <c r="A131" s="87">
        <f>E6</f>
        <v>0</v>
      </c>
    </row>
    <row r="132" spans="1:1" x14ac:dyDescent="0.25">
      <c r="A132" s="110"/>
    </row>
    <row r="133" spans="1:1" x14ac:dyDescent="0.25">
      <c r="A133" s="87" t="str">
        <f>RIGHT(F5,4)</f>
        <v/>
      </c>
    </row>
    <row r="134" spans="1:1" x14ac:dyDescent="0.25">
      <c r="A134" s="87" t="str">
        <f ca="1">ExtraeNumeros(A133)</f>
        <v/>
      </c>
    </row>
  </sheetData>
  <mergeCells count="45">
    <mergeCell ref="Q22:S22"/>
    <mergeCell ref="T22:V22"/>
    <mergeCell ref="W22:Y22"/>
    <mergeCell ref="Z22:AA22"/>
    <mergeCell ref="Q21:S21"/>
    <mergeCell ref="T21:V21"/>
    <mergeCell ref="W21:Y21"/>
    <mergeCell ref="Z21:AA21"/>
    <mergeCell ref="Q19:S19"/>
    <mergeCell ref="T19:V19"/>
    <mergeCell ref="W19:Y19"/>
    <mergeCell ref="Z19:AA19"/>
    <mergeCell ref="Q20:S20"/>
    <mergeCell ref="T20:V20"/>
    <mergeCell ref="W20:Y20"/>
    <mergeCell ref="Z20:AA20"/>
    <mergeCell ref="D20:G20"/>
    <mergeCell ref="F76:H76"/>
    <mergeCell ref="D13:G13"/>
    <mergeCell ref="D14:G14"/>
    <mergeCell ref="D15:G15"/>
    <mergeCell ref="D16:G16"/>
    <mergeCell ref="D17:G17"/>
    <mergeCell ref="B34:G34"/>
    <mergeCell ref="A14:C14"/>
    <mergeCell ref="A16:C16"/>
    <mergeCell ref="A18:C18"/>
    <mergeCell ref="A19:C19"/>
    <mergeCell ref="A20:C20"/>
    <mergeCell ref="J24:K24"/>
    <mergeCell ref="J25:K25"/>
    <mergeCell ref="D21:G21"/>
    <mergeCell ref="A2:C2"/>
    <mergeCell ref="D5:E5"/>
    <mergeCell ref="D10:G10"/>
    <mergeCell ref="D11:G11"/>
    <mergeCell ref="B4:D4"/>
    <mergeCell ref="B23:G23"/>
    <mergeCell ref="A11:C11"/>
    <mergeCell ref="A12:C12"/>
    <mergeCell ref="A13:C13"/>
    <mergeCell ref="A21:C21"/>
    <mergeCell ref="D12:G12"/>
    <mergeCell ref="D18:G18"/>
    <mergeCell ref="D19:G19"/>
  </mergeCells>
  <pageMargins left="0.70866141732283472" right="0.70866141732283472" top="0.74803149606299213" bottom="0.74803149606299213" header="0.31496062992125984" footer="0.31496062992125984"/>
  <pageSetup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1</xdr:col>
                    <xdr:colOff>257175</xdr:colOff>
                    <xdr:row>3</xdr:row>
                    <xdr:rowOff>123825</xdr:rowOff>
                  </from>
                  <to>
                    <xdr:col>3</xdr:col>
                    <xdr:colOff>38100</xdr:colOff>
                    <xdr:row>5</xdr:row>
                    <xdr:rowOff>9525</xdr:rowOff>
                  </to>
                </anchor>
              </controlPr>
            </control>
          </mc:Choice>
        </mc:AlternateContent>
        <mc:AlternateContent xmlns:mc="http://schemas.openxmlformats.org/markup-compatibility/2006">
          <mc:Choice Requires="x14">
            <control shapeId="2051" r:id="rId5" name="Option Button 3">
              <controlPr defaultSize="0" autoFill="0" autoLine="0" autoPict="0">
                <anchor moveWithCells="1">
                  <from>
                    <xdr:col>2</xdr:col>
                    <xdr:colOff>219075</xdr:colOff>
                    <xdr:row>4</xdr:row>
                    <xdr:rowOff>0</xdr:rowOff>
                  </from>
                  <to>
                    <xdr:col>2</xdr:col>
                    <xdr:colOff>495300</xdr:colOff>
                    <xdr:row>5</xdr:row>
                    <xdr:rowOff>9525</xdr:rowOff>
                  </to>
                </anchor>
              </controlPr>
            </control>
          </mc:Choice>
        </mc:AlternateContent>
        <mc:AlternateContent xmlns:mc="http://schemas.openxmlformats.org/markup-compatibility/2006">
          <mc:Choice Requires="x14">
            <control shapeId="2053" r:id="rId6" name="Check Box 5">
              <controlPr defaultSize="0" autoFill="0" autoLine="0" autoPict="0">
                <anchor moveWithCells="1">
                  <from>
                    <xdr:col>3</xdr:col>
                    <xdr:colOff>495300</xdr:colOff>
                    <xdr:row>9</xdr:row>
                    <xdr:rowOff>114300</xdr:rowOff>
                  </from>
                  <to>
                    <xdr:col>5</xdr:col>
                    <xdr:colOff>152400</xdr:colOff>
                    <xdr:row>11</xdr:row>
                    <xdr:rowOff>9525</xdr:rowOff>
                  </to>
                </anchor>
              </controlPr>
            </control>
          </mc:Choice>
        </mc:AlternateContent>
        <mc:AlternateContent xmlns:mc="http://schemas.openxmlformats.org/markup-compatibility/2006">
          <mc:Choice Requires="x14">
            <control shapeId="2054" r:id="rId7" name="Check Box 6">
              <controlPr defaultSize="0" autoFill="0" autoLine="0" autoPict="0">
                <anchor moveWithCells="1">
                  <from>
                    <xdr:col>4</xdr:col>
                    <xdr:colOff>390525</xdr:colOff>
                    <xdr:row>9</xdr:row>
                    <xdr:rowOff>123825</xdr:rowOff>
                  </from>
                  <to>
                    <xdr:col>5</xdr:col>
                    <xdr:colOff>190500</xdr:colOff>
                    <xdr:row>11</xdr:row>
                    <xdr:rowOff>9525</xdr:rowOff>
                  </to>
                </anchor>
              </controlPr>
            </control>
          </mc:Choice>
        </mc:AlternateContent>
        <mc:AlternateContent xmlns:mc="http://schemas.openxmlformats.org/markup-compatibility/2006">
          <mc:Choice Requires="x14">
            <control shapeId="2055" r:id="rId8" name="Check Box 7">
              <controlPr defaultSize="0" autoFill="0" autoLine="0" autoPict="0">
                <anchor moveWithCells="1">
                  <from>
                    <xdr:col>4</xdr:col>
                    <xdr:colOff>390525</xdr:colOff>
                    <xdr:row>10</xdr:row>
                    <xdr:rowOff>123825</xdr:rowOff>
                  </from>
                  <to>
                    <xdr:col>5</xdr:col>
                    <xdr:colOff>190500</xdr:colOff>
                    <xdr:row>12</xdr:row>
                    <xdr:rowOff>9525</xdr:rowOff>
                  </to>
                </anchor>
              </controlPr>
            </control>
          </mc:Choice>
        </mc:AlternateContent>
        <mc:AlternateContent xmlns:mc="http://schemas.openxmlformats.org/markup-compatibility/2006">
          <mc:Choice Requires="x14">
            <control shapeId="2056" r:id="rId9" name="Check Box 8">
              <controlPr defaultSize="0" autoFill="0" autoLine="0" autoPict="0">
                <anchor moveWithCells="1">
                  <from>
                    <xdr:col>4</xdr:col>
                    <xdr:colOff>400050</xdr:colOff>
                    <xdr:row>11</xdr:row>
                    <xdr:rowOff>114300</xdr:rowOff>
                  </from>
                  <to>
                    <xdr:col>5</xdr:col>
                    <xdr:colOff>200025</xdr:colOff>
                    <xdr:row>13</xdr:row>
                    <xdr:rowOff>9525</xdr:rowOff>
                  </to>
                </anchor>
              </controlPr>
            </control>
          </mc:Choice>
        </mc:AlternateContent>
        <mc:AlternateContent xmlns:mc="http://schemas.openxmlformats.org/markup-compatibility/2006">
          <mc:Choice Requires="x14">
            <control shapeId="2057" r:id="rId10" name="Check Box 9">
              <controlPr defaultSize="0" autoFill="0" autoLine="0" autoPict="0">
                <anchor moveWithCells="1">
                  <from>
                    <xdr:col>4</xdr:col>
                    <xdr:colOff>400050</xdr:colOff>
                    <xdr:row>12</xdr:row>
                    <xdr:rowOff>114300</xdr:rowOff>
                  </from>
                  <to>
                    <xdr:col>5</xdr:col>
                    <xdr:colOff>200025</xdr:colOff>
                    <xdr:row>13</xdr:row>
                    <xdr:rowOff>133350</xdr:rowOff>
                  </to>
                </anchor>
              </controlPr>
            </control>
          </mc:Choice>
        </mc:AlternateContent>
        <mc:AlternateContent xmlns:mc="http://schemas.openxmlformats.org/markup-compatibility/2006">
          <mc:Choice Requires="x14">
            <control shapeId="2058" r:id="rId11" name="Check Box 10">
              <controlPr defaultSize="0" autoFill="0" autoLine="0" autoPict="0">
                <anchor moveWithCells="1">
                  <from>
                    <xdr:col>4</xdr:col>
                    <xdr:colOff>400050</xdr:colOff>
                    <xdr:row>13</xdr:row>
                    <xdr:rowOff>123825</xdr:rowOff>
                  </from>
                  <to>
                    <xdr:col>5</xdr:col>
                    <xdr:colOff>200025</xdr:colOff>
                    <xdr:row>14</xdr:row>
                    <xdr:rowOff>171450</xdr:rowOff>
                  </to>
                </anchor>
              </controlPr>
            </control>
          </mc:Choice>
        </mc:AlternateContent>
        <mc:AlternateContent xmlns:mc="http://schemas.openxmlformats.org/markup-compatibility/2006">
          <mc:Choice Requires="x14">
            <control shapeId="2059" r:id="rId12" name="Check Box 11">
              <controlPr defaultSize="0" autoFill="0" autoLine="0" autoPict="0">
                <anchor moveWithCells="1">
                  <from>
                    <xdr:col>4</xdr:col>
                    <xdr:colOff>400050</xdr:colOff>
                    <xdr:row>14</xdr:row>
                    <xdr:rowOff>114300</xdr:rowOff>
                  </from>
                  <to>
                    <xdr:col>5</xdr:col>
                    <xdr:colOff>200025</xdr:colOff>
                    <xdr:row>16</xdr:row>
                    <xdr:rowOff>9525</xdr:rowOff>
                  </to>
                </anchor>
              </controlPr>
            </control>
          </mc:Choice>
        </mc:AlternateContent>
        <mc:AlternateContent xmlns:mc="http://schemas.openxmlformats.org/markup-compatibility/2006">
          <mc:Choice Requires="x14">
            <control shapeId="2060" r:id="rId13" name="Check Box 12">
              <controlPr defaultSize="0" autoFill="0" autoLine="0" autoPict="0">
                <anchor moveWithCells="1">
                  <from>
                    <xdr:col>4</xdr:col>
                    <xdr:colOff>409575</xdr:colOff>
                    <xdr:row>15</xdr:row>
                    <xdr:rowOff>114300</xdr:rowOff>
                  </from>
                  <to>
                    <xdr:col>5</xdr:col>
                    <xdr:colOff>200025</xdr:colOff>
                    <xdr:row>17</xdr:row>
                    <xdr:rowOff>9525</xdr:rowOff>
                  </to>
                </anchor>
              </controlPr>
            </control>
          </mc:Choice>
        </mc:AlternateContent>
        <mc:AlternateContent xmlns:mc="http://schemas.openxmlformats.org/markup-compatibility/2006">
          <mc:Choice Requires="x14">
            <control shapeId="2061" r:id="rId14" name="Check Box 13">
              <controlPr defaultSize="0" autoFill="0" autoLine="0" autoPict="0">
                <anchor moveWithCells="1">
                  <from>
                    <xdr:col>4</xdr:col>
                    <xdr:colOff>409575</xdr:colOff>
                    <xdr:row>16</xdr:row>
                    <xdr:rowOff>114300</xdr:rowOff>
                  </from>
                  <to>
                    <xdr:col>5</xdr:col>
                    <xdr:colOff>200025</xdr:colOff>
                    <xdr:row>18</xdr:row>
                    <xdr:rowOff>0</xdr:rowOff>
                  </to>
                </anchor>
              </controlPr>
            </control>
          </mc:Choice>
        </mc:AlternateContent>
        <mc:AlternateContent xmlns:mc="http://schemas.openxmlformats.org/markup-compatibility/2006">
          <mc:Choice Requires="x14">
            <control shapeId="2062" r:id="rId15" name="Check Box 14">
              <controlPr defaultSize="0" autoFill="0" autoLine="0" autoPict="0">
                <anchor moveWithCells="1">
                  <from>
                    <xdr:col>4</xdr:col>
                    <xdr:colOff>409575</xdr:colOff>
                    <xdr:row>17</xdr:row>
                    <xdr:rowOff>114300</xdr:rowOff>
                  </from>
                  <to>
                    <xdr:col>5</xdr:col>
                    <xdr:colOff>200025</xdr:colOff>
                    <xdr:row>18</xdr:row>
                    <xdr:rowOff>123825</xdr:rowOff>
                  </to>
                </anchor>
              </controlPr>
            </control>
          </mc:Choice>
        </mc:AlternateContent>
        <mc:AlternateContent xmlns:mc="http://schemas.openxmlformats.org/markup-compatibility/2006">
          <mc:Choice Requires="x14">
            <control shapeId="2063" r:id="rId16" name="Check Box 15">
              <controlPr defaultSize="0" autoFill="0" autoLine="0" autoPict="0">
                <anchor moveWithCells="1">
                  <from>
                    <xdr:col>4</xdr:col>
                    <xdr:colOff>409575</xdr:colOff>
                    <xdr:row>18</xdr:row>
                    <xdr:rowOff>104775</xdr:rowOff>
                  </from>
                  <to>
                    <xdr:col>5</xdr:col>
                    <xdr:colOff>200025</xdr:colOff>
                    <xdr:row>19</xdr:row>
                    <xdr:rowOff>95250</xdr:rowOff>
                  </to>
                </anchor>
              </controlPr>
            </control>
          </mc:Choice>
        </mc:AlternateContent>
        <mc:AlternateContent xmlns:mc="http://schemas.openxmlformats.org/markup-compatibility/2006">
          <mc:Choice Requires="x14">
            <control shapeId="2065" r:id="rId17" name="Check Box 17">
              <controlPr defaultSize="0" autoFill="0" autoLine="0" autoPict="0">
                <anchor moveWithCells="1">
                  <from>
                    <xdr:col>3</xdr:col>
                    <xdr:colOff>495300</xdr:colOff>
                    <xdr:row>10</xdr:row>
                    <xdr:rowOff>114300</xdr:rowOff>
                  </from>
                  <to>
                    <xdr:col>4</xdr:col>
                    <xdr:colOff>295275</xdr:colOff>
                    <xdr:row>12</xdr:row>
                    <xdr:rowOff>9525</xdr:rowOff>
                  </to>
                </anchor>
              </controlPr>
            </control>
          </mc:Choice>
        </mc:AlternateContent>
        <mc:AlternateContent xmlns:mc="http://schemas.openxmlformats.org/markup-compatibility/2006">
          <mc:Choice Requires="x14">
            <control shapeId="2066" r:id="rId18" name="Check Box 18">
              <controlPr defaultSize="0" autoFill="0" autoLine="0" autoPict="0">
                <anchor moveWithCells="1">
                  <from>
                    <xdr:col>3</xdr:col>
                    <xdr:colOff>495300</xdr:colOff>
                    <xdr:row>11</xdr:row>
                    <xdr:rowOff>114300</xdr:rowOff>
                  </from>
                  <to>
                    <xdr:col>4</xdr:col>
                    <xdr:colOff>295275</xdr:colOff>
                    <xdr:row>13</xdr:row>
                    <xdr:rowOff>9525</xdr:rowOff>
                  </to>
                </anchor>
              </controlPr>
            </control>
          </mc:Choice>
        </mc:AlternateContent>
        <mc:AlternateContent xmlns:mc="http://schemas.openxmlformats.org/markup-compatibility/2006">
          <mc:Choice Requires="x14">
            <control shapeId="2067" r:id="rId19" name="Check Box 19">
              <controlPr defaultSize="0" autoFill="0" autoLine="0" autoPict="0">
                <anchor moveWithCells="1">
                  <from>
                    <xdr:col>3</xdr:col>
                    <xdr:colOff>504825</xdr:colOff>
                    <xdr:row>12</xdr:row>
                    <xdr:rowOff>114300</xdr:rowOff>
                  </from>
                  <to>
                    <xdr:col>4</xdr:col>
                    <xdr:colOff>295275</xdr:colOff>
                    <xdr:row>13</xdr:row>
                    <xdr:rowOff>133350</xdr:rowOff>
                  </to>
                </anchor>
              </controlPr>
            </control>
          </mc:Choice>
        </mc:AlternateContent>
        <mc:AlternateContent xmlns:mc="http://schemas.openxmlformats.org/markup-compatibility/2006">
          <mc:Choice Requires="x14">
            <control shapeId="2068" r:id="rId20" name="Check Box 20">
              <controlPr defaultSize="0" autoFill="0" autoLine="0" autoPict="0">
                <anchor moveWithCells="1">
                  <from>
                    <xdr:col>3</xdr:col>
                    <xdr:colOff>504825</xdr:colOff>
                    <xdr:row>13</xdr:row>
                    <xdr:rowOff>123825</xdr:rowOff>
                  </from>
                  <to>
                    <xdr:col>4</xdr:col>
                    <xdr:colOff>295275</xdr:colOff>
                    <xdr:row>14</xdr:row>
                    <xdr:rowOff>171450</xdr:rowOff>
                  </to>
                </anchor>
              </controlPr>
            </control>
          </mc:Choice>
        </mc:AlternateContent>
        <mc:AlternateContent xmlns:mc="http://schemas.openxmlformats.org/markup-compatibility/2006">
          <mc:Choice Requires="x14">
            <control shapeId="2069" r:id="rId21" name="Check Box 21">
              <controlPr defaultSize="0" autoFill="0" autoLine="0" autoPict="0">
                <anchor moveWithCells="1">
                  <from>
                    <xdr:col>3</xdr:col>
                    <xdr:colOff>504825</xdr:colOff>
                    <xdr:row>14</xdr:row>
                    <xdr:rowOff>123825</xdr:rowOff>
                  </from>
                  <to>
                    <xdr:col>4</xdr:col>
                    <xdr:colOff>295275</xdr:colOff>
                    <xdr:row>16</xdr:row>
                    <xdr:rowOff>9525</xdr:rowOff>
                  </to>
                </anchor>
              </controlPr>
            </control>
          </mc:Choice>
        </mc:AlternateContent>
        <mc:AlternateContent xmlns:mc="http://schemas.openxmlformats.org/markup-compatibility/2006">
          <mc:Choice Requires="x14">
            <control shapeId="2070" r:id="rId22" name="Check Box 22">
              <controlPr defaultSize="0" autoFill="0" autoLine="0" autoPict="0">
                <anchor moveWithCells="1">
                  <from>
                    <xdr:col>4</xdr:col>
                    <xdr:colOff>0</xdr:colOff>
                    <xdr:row>15</xdr:row>
                    <xdr:rowOff>114300</xdr:rowOff>
                  </from>
                  <to>
                    <xdr:col>4</xdr:col>
                    <xdr:colOff>304800</xdr:colOff>
                    <xdr:row>17</xdr:row>
                    <xdr:rowOff>9525</xdr:rowOff>
                  </to>
                </anchor>
              </controlPr>
            </control>
          </mc:Choice>
        </mc:AlternateContent>
        <mc:AlternateContent xmlns:mc="http://schemas.openxmlformats.org/markup-compatibility/2006">
          <mc:Choice Requires="x14">
            <control shapeId="2071" r:id="rId23" name="Check Box 23">
              <controlPr defaultSize="0" autoFill="0" autoLine="0" autoPict="0">
                <anchor moveWithCells="1">
                  <from>
                    <xdr:col>4</xdr:col>
                    <xdr:colOff>9525</xdr:colOff>
                    <xdr:row>16</xdr:row>
                    <xdr:rowOff>114300</xdr:rowOff>
                  </from>
                  <to>
                    <xdr:col>4</xdr:col>
                    <xdr:colOff>314325</xdr:colOff>
                    <xdr:row>18</xdr:row>
                    <xdr:rowOff>0</xdr:rowOff>
                  </to>
                </anchor>
              </controlPr>
            </control>
          </mc:Choice>
        </mc:AlternateContent>
        <mc:AlternateContent xmlns:mc="http://schemas.openxmlformats.org/markup-compatibility/2006">
          <mc:Choice Requires="x14">
            <control shapeId="2072" r:id="rId24" name="Check Box 24">
              <controlPr defaultSize="0" autoFill="0" autoLine="0" autoPict="0">
                <anchor moveWithCells="1">
                  <from>
                    <xdr:col>4</xdr:col>
                    <xdr:colOff>9525</xdr:colOff>
                    <xdr:row>17</xdr:row>
                    <xdr:rowOff>114300</xdr:rowOff>
                  </from>
                  <to>
                    <xdr:col>4</xdr:col>
                    <xdr:colOff>314325</xdr:colOff>
                    <xdr:row>18</xdr:row>
                    <xdr:rowOff>123825</xdr:rowOff>
                  </to>
                </anchor>
              </controlPr>
            </control>
          </mc:Choice>
        </mc:AlternateContent>
        <mc:AlternateContent xmlns:mc="http://schemas.openxmlformats.org/markup-compatibility/2006">
          <mc:Choice Requires="x14">
            <control shapeId="2073" r:id="rId25" name="Check Box 25">
              <controlPr defaultSize="0" autoFill="0" autoLine="0" autoPict="0">
                <anchor moveWithCells="1">
                  <from>
                    <xdr:col>4</xdr:col>
                    <xdr:colOff>9525</xdr:colOff>
                    <xdr:row>18</xdr:row>
                    <xdr:rowOff>114300</xdr:rowOff>
                  </from>
                  <to>
                    <xdr:col>4</xdr:col>
                    <xdr:colOff>314325</xdr:colOff>
                    <xdr:row>19</xdr:row>
                    <xdr:rowOff>104775</xdr:rowOff>
                  </to>
                </anchor>
              </controlPr>
            </control>
          </mc:Choice>
        </mc:AlternateContent>
        <mc:AlternateContent xmlns:mc="http://schemas.openxmlformats.org/markup-compatibility/2006">
          <mc:Choice Requires="x14">
            <control shapeId="2084" r:id="rId26" name="Group Box 36">
              <controlPr defaultSize="0" autoFill="0" autoPict="0">
                <anchor moveWithCells="1">
                  <from>
                    <xdr:col>0</xdr:col>
                    <xdr:colOff>409575</xdr:colOff>
                    <xdr:row>63</xdr:row>
                    <xdr:rowOff>38100</xdr:rowOff>
                  </from>
                  <to>
                    <xdr:col>5</xdr:col>
                    <xdr:colOff>352425</xdr:colOff>
                    <xdr:row>70</xdr:row>
                    <xdr:rowOff>0</xdr:rowOff>
                  </to>
                </anchor>
              </controlPr>
            </control>
          </mc:Choice>
        </mc:AlternateContent>
        <mc:AlternateContent xmlns:mc="http://schemas.openxmlformats.org/markup-compatibility/2006">
          <mc:Choice Requires="x14">
            <control shapeId="2085" r:id="rId27" name="Option Button 37">
              <controlPr defaultSize="0" autoFill="0" autoLine="0" autoPict="0" macro="[0]!Pulgadas">
                <anchor moveWithCells="1">
                  <from>
                    <xdr:col>1</xdr:col>
                    <xdr:colOff>95250</xdr:colOff>
                    <xdr:row>65</xdr:row>
                    <xdr:rowOff>104775</xdr:rowOff>
                  </from>
                  <to>
                    <xdr:col>2</xdr:col>
                    <xdr:colOff>200025</xdr:colOff>
                    <xdr:row>67</xdr:row>
                    <xdr:rowOff>57150</xdr:rowOff>
                  </to>
                </anchor>
              </controlPr>
            </control>
          </mc:Choice>
        </mc:AlternateContent>
        <mc:AlternateContent xmlns:mc="http://schemas.openxmlformats.org/markup-compatibility/2006">
          <mc:Choice Requires="x14">
            <control shapeId="2086" r:id="rId28" name="Option Button 38">
              <controlPr defaultSize="0" autoFill="0" autoLine="0" autoPict="0" macro="[0]!Milimetros">
                <anchor moveWithCells="1">
                  <from>
                    <xdr:col>1</xdr:col>
                    <xdr:colOff>104775</xdr:colOff>
                    <xdr:row>64</xdr:row>
                    <xdr:rowOff>66675</xdr:rowOff>
                  </from>
                  <to>
                    <xdr:col>2</xdr:col>
                    <xdr:colOff>152400</xdr:colOff>
                    <xdr:row>65</xdr:row>
                    <xdr:rowOff>104775</xdr:rowOff>
                  </to>
                </anchor>
              </controlPr>
            </control>
          </mc:Choice>
        </mc:AlternateContent>
        <mc:AlternateContent xmlns:mc="http://schemas.openxmlformats.org/markup-compatibility/2006">
          <mc:Choice Requires="x14">
            <control shapeId="2087" r:id="rId29" name="Option Button 39">
              <controlPr defaultSize="0" autoFill="0" autoLine="0" autoPict="0" macro="[0]!Ambos">
                <anchor moveWithCells="1">
                  <from>
                    <xdr:col>1</xdr:col>
                    <xdr:colOff>104775</xdr:colOff>
                    <xdr:row>67</xdr:row>
                    <xdr:rowOff>47625</xdr:rowOff>
                  </from>
                  <to>
                    <xdr:col>2</xdr:col>
                    <xdr:colOff>257175</xdr:colOff>
                    <xdr:row>68</xdr:row>
                    <xdr:rowOff>104775</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displayEmptyCellsAs="gap">
          <x14:colorSeries rgb="FF376092"/>
          <x14:colorNegative rgb="FFD00000"/>
          <x14:colorAxis rgb="FF000000"/>
          <x14:colorMarkers rgb="FFD00000"/>
          <x14:colorFirst rgb="FFD00000"/>
          <x14:colorLast rgb="FFD00000"/>
          <x14:colorHigh rgb="FFD00000"/>
          <x14:colorLow rgb="FFD00000"/>
          <x14:sparklines>
            <x14:sparkline>
              <xm:f>Datos!A74:Q74</xm:f>
              <xm:sqref>D87</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N181"/>
  <sheetViews>
    <sheetView showGridLines="0" tabSelected="1" zoomScale="70" zoomScaleNormal="70" workbookViewId="0">
      <selection activeCell="P26" sqref="P26"/>
    </sheetView>
  </sheetViews>
  <sheetFormatPr baseColWidth="10" defaultColWidth="11.42578125" defaultRowHeight="15" x14ac:dyDescent="0.25"/>
  <cols>
    <col min="1" max="1" width="6.28515625" style="1" customWidth="1"/>
    <col min="2" max="2" width="23" style="1" customWidth="1"/>
    <col min="3" max="3" width="13.85546875" style="1" customWidth="1"/>
    <col min="4" max="4" width="10.5703125" style="1" customWidth="1"/>
    <col min="5" max="5" width="19.28515625" style="1" customWidth="1"/>
    <col min="6" max="6" width="6.85546875" style="1" customWidth="1"/>
    <col min="7" max="7" width="8.85546875" style="1" customWidth="1"/>
    <col min="8" max="8" width="13.85546875" style="1" customWidth="1"/>
    <col min="9" max="9" width="14.42578125" style="1" customWidth="1"/>
    <col min="10" max="10" width="17.7109375" style="1" customWidth="1"/>
    <col min="11" max="11" width="10.85546875" style="1" customWidth="1"/>
    <col min="12" max="12" width="17.140625" style="1" customWidth="1"/>
    <col min="13" max="13" width="9.28515625" style="1" customWidth="1"/>
    <col min="14" max="14" width="24.7109375" style="1" customWidth="1"/>
    <col min="15" max="16384" width="11.42578125" style="1"/>
  </cols>
  <sheetData>
    <row r="1" spans="1:14" ht="30.75" customHeight="1" x14ac:dyDescent="0.25">
      <c r="A1" s="401" t="s">
        <v>24</v>
      </c>
      <c r="B1" s="401"/>
      <c r="C1" s="401"/>
      <c r="D1" s="401"/>
      <c r="E1" s="401"/>
      <c r="F1" s="401"/>
      <c r="G1" s="401"/>
      <c r="H1" s="401"/>
      <c r="I1" s="401"/>
      <c r="J1" s="401"/>
      <c r="K1" s="145"/>
      <c r="L1" s="145"/>
      <c r="M1" s="146"/>
      <c r="N1" s="146"/>
    </row>
    <row r="2" spans="1:14" ht="43.5" customHeight="1" thickBot="1" x14ac:dyDescent="0.3">
      <c r="A2" s="493"/>
      <c r="B2" s="493"/>
      <c r="C2" s="493"/>
      <c r="D2" s="493"/>
      <c r="E2" s="493"/>
      <c r="F2" s="493"/>
      <c r="G2" s="493"/>
      <c r="H2" s="493"/>
      <c r="I2" s="493"/>
      <c r="J2" s="493"/>
      <c r="K2" s="145"/>
      <c r="L2" s="145"/>
      <c r="M2" s="146"/>
      <c r="N2" s="146"/>
    </row>
    <row r="3" spans="1:14" ht="38.25" customHeight="1" thickTop="1" thickBot="1" x14ac:dyDescent="0.3">
      <c r="A3" s="404" t="s">
        <v>159</v>
      </c>
      <c r="B3" s="404"/>
      <c r="C3" s="404"/>
      <c r="D3" s="404"/>
      <c r="E3" s="404"/>
      <c r="F3" s="404"/>
      <c r="G3" s="404"/>
      <c r="H3" s="404"/>
      <c r="I3" s="404"/>
      <c r="J3" s="404"/>
      <c r="K3" s="147"/>
      <c r="L3" s="148"/>
      <c r="M3" s="149"/>
      <c r="N3" s="149"/>
    </row>
    <row r="4" spans="1:14" ht="39" customHeight="1" thickBot="1" x14ac:dyDescent="0.3">
      <c r="A4" s="404"/>
      <c r="B4" s="404"/>
      <c r="C4" s="404"/>
      <c r="D4" s="404"/>
      <c r="E4" s="404"/>
      <c r="F4" s="404"/>
      <c r="G4" s="404"/>
      <c r="H4" s="404"/>
      <c r="I4" s="404"/>
      <c r="J4" s="404"/>
      <c r="K4" s="405" t="s">
        <v>175</v>
      </c>
      <c r="L4" s="494"/>
      <c r="M4" s="495"/>
      <c r="N4" s="496"/>
    </row>
    <row r="5" spans="1:14" ht="37.5" customHeight="1" thickBot="1" x14ac:dyDescent="0.3">
      <c r="A5" s="497" t="s">
        <v>157</v>
      </c>
      <c r="B5" s="497"/>
      <c r="C5" s="497"/>
      <c r="D5" s="497"/>
      <c r="E5" s="497"/>
      <c r="F5" s="497"/>
      <c r="G5" s="497"/>
      <c r="H5" s="497"/>
      <c r="I5" s="497"/>
      <c r="J5" s="497"/>
      <c r="K5" s="146"/>
      <c r="L5" s="146"/>
      <c r="M5" s="498" t="s">
        <v>176</v>
      </c>
      <c r="N5" s="499"/>
    </row>
    <row r="6" spans="1:14" ht="27" customHeight="1" thickBot="1" x14ac:dyDescent="0.3">
      <c r="A6" s="150"/>
      <c r="B6" s="150"/>
      <c r="C6" s="151"/>
      <c r="D6" s="150"/>
      <c r="E6" s="150"/>
      <c r="F6" s="150"/>
      <c r="G6" s="150"/>
      <c r="H6" s="150"/>
      <c r="I6" s="150"/>
      <c r="J6" s="150"/>
      <c r="K6" s="150"/>
      <c r="L6" s="150"/>
      <c r="M6" s="152"/>
      <c r="N6" s="153"/>
    </row>
    <row r="7" spans="1:14" ht="75.95" customHeight="1" thickTop="1" thickBot="1" x14ac:dyDescent="0.3">
      <c r="A7" s="488" t="s">
        <v>177</v>
      </c>
      <c r="B7" s="488"/>
      <c r="C7" s="488"/>
      <c r="D7" s="488"/>
      <c r="E7" s="488"/>
      <c r="F7" s="488"/>
      <c r="G7" s="488"/>
      <c r="H7" s="488"/>
      <c r="I7" s="488"/>
      <c r="J7" s="488"/>
      <c r="K7" s="488"/>
      <c r="L7" s="488"/>
      <c r="M7" s="488"/>
      <c r="N7" s="488"/>
    </row>
    <row r="8" spans="1:14" s="154" customFormat="1" ht="42.75" customHeight="1" thickBot="1" x14ac:dyDescent="0.3">
      <c r="A8" s="489" t="s">
        <v>178</v>
      </c>
      <c r="B8" s="489"/>
      <c r="C8" s="489"/>
      <c r="D8" s="490"/>
      <c r="E8" s="490"/>
      <c r="F8" s="490"/>
      <c r="G8" s="490"/>
      <c r="H8" s="490"/>
      <c r="I8" s="490"/>
      <c r="J8" s="490"/>
      <c r="K8" s="490"/>
      <c r="L8" s="490"/>
      <c r="M8" s="490"/>
      <c r="N8" s="490"/>
    </row>
    <row r="9" spans="1:14" ht="57" customHeight="1" thickBot="1" x14ac:dyDescent="0.3">
      <c r="A9" s="491" t="s">
        <v>179</v>
      </c>
      <c r="B9" s="491"/>
      <c r="C9" s="491"/>
      <c r="D9" s="464"/>
      <c r="E9" s="464"/>
      <c r="F9" s="464"/>
      <c r="G9" s="464"/>
      <c r="H9" s="464"/>
      <c r="I9" s="464"/>
      <c r="J9" s="464"/>
      <c r="K9" s="464"/>
      <c r="L9" s="464"/>
      <c r="M9" s="464"/>
      <c r="N9" s="464"/>
    </row>
    <row r="10" spans="1:14" ht="60" customHeight="1" thickBot="1" x14ac:dyDescent="0.3">
      <c r="A10" s="155"/>
      <c r="B10" s="155"/>
      <c r="C10" s="156"/>
      <c r="D10" s="156"/>
      <c r="E10" s="156"/>
      <c r="F10" s="156"/>
      <c r="G10" s="156"/>
      <c r="H10" s="156"/>
      <c r="I10" s="156"/>
      <c r="J10" s="156"/>
      <c r="K10" s="156"/>
      <c r="L10" s="156"/>
      <c r="M10" s="156"/>
      <c r="N10" s="156"/>
    </row>
    <row r="11" spans="1:14" ht="75.95" customHeight="1" thickTop="1" thickBot="1" x14ac:dyDescent="0.3">
      <c r="A11" s="492" t="s">
        <v>180</v>
      </c>
      <c r="B11" s="492"/>
      <c r="C11" s="492"/>
      <c r="D11" s="492"/>
      <c r="E11" s="492"/>
      <c r="F11" s="492"/>
      <c r="G11" s="492"/>
      <c r="H11" s="492"/>
      <c r="I11" s="492"/>
      <c r="J11" s="492"/>
      <c r="K11" s="492"/>
      <c r="L11" s="492"/>
      <c r="M11" s="492"/>
      <c r="N11" s="492"/>
    </row>
    <row r="12" spans="1:14" ht="20.100000000000001" customHeight="1" thickBot="1" x14ac:dyDescent="0.3">
      <c r="A12" s="462" t="s">
        <v>0</v>
      </c>
      <c r="B12" s="463"/>
      <c r="C12" s="464"/>
      <c r="D12" s="464"/>
      <c r="E12" s="464"/>
      <c r="F12" s="464"/>
      <c r="G12" s="464"/>
      <c r="H12" s="481"/>
      <c r="I12" s="462" t="s">
        <v>8</v>
      </c>
      <c r="J12" s="465"/>
      <c r="K12" s="463"/>
      <c r="L12" s="482"/>
      <c r="M12" s="483"/>
      <c r="N12" s="484"/>
    </row>
    <row r="13" spans="1:14" ht="20.100000000000001" customHeight="1" thickBot="1" x14ac:dyDescent="0.3">
      <c r="A13" s="472" t="s">
        <v>1</v>
      </c>
      <c r="B13" s="473"/>
      <c r="C13" s="464"/>
      <c r="D13" s="464"/>
      <c r="E13" s="464"/>
      <c r="F13" s="464"/>
      <c r="G13" s="464"/>
      <c r="H13" s="481"/>
      <c r="I13" s="472" t="s">
        <v>9</v>
      </c>
      <c r="J13" s="474"/>
      <c r="K13" s="473"/>
      <c r="L13" s="485"/>
      <c r="M13" s="486"/>
      <c r="N13" s="487"/>
    </row>
    <row r="14" spans="1:14" ht="20.100000000000001" customHeight="1" thickBot="1" x14ac:dyDescent="0.3">
      <c r="A14" s="462" t="s">
        <v>181</v>
      </c>
      <c r="B14" s="463"/>
      <c r="C14" s="464"/>
      <c r="D14" s="464"/>
      <c r="E14" s="464"/>
      <c r="F14" s="464"/>
      <c r="G14" s="464"/>
      <c r="H14" s="481"/>
      <c r="I14" s="462" t="s">
        <v>2</v>
      </c>
      <c r="J14" s="465"/>
      <c r="K14" s="463"/>
      <c r="L14" s="475"/>
      <c r="M14" s="476"/>
      <c r="N14" s="477"/>
    </row>
    <row r="15" spans="1:14" ht="20.100000000000001" customHeight="1" thickBot="1" x14ac:dyDescent="0.3">
      <c r="A15" s="472" t="s">
        <v>158</v>
      </c>
      <c r="B15" s="473"/>
      <c r="C15" s="464"/>
      <c r="D15" s="464"/>
      <c r="E15" s="464"/>
      <c r="F15" s="464"/>
      <c r="G15" s="464"/>
      <c r="H15" s="481"/>
      <c r="I15" s="472" t="s">
        <v>3</v>
      </c>
      <c r="J15" s="474"/>
      <c r="K15" s="473"/>
      <c r="L15" s="478"/>
      <c r="M15" s="479"/>
      <c r="N15" s="480"/>
    </row>
    <row r="16" spans="1:14" ht="20.100000000000001" customHeight="1" thickBot="1" x14ac:dyDescent="0.3">
      <c r="A16" s="462" t="s">
        <v>6</v>
      </c>
      <c r="B16" s="463"/>
      <c r="C16" s="464"/>
      <c r="D16" s="464"/>
      <c r="E16" s="464"/>
      <c r="F16" s="464"/>
      <c r="G16" s="464"/>
      <c r="H16" s="481"/>
      <c r="I16" s="462" t="s">
        <v>4</v>
      </c>
      <c r="J16" s="465"/>
      <c r="K16" s="463"/>
      <c r="L16" s="466"/>
      <c r="M16" s="467"/>
      <c r="N16" s="468"/>
    </row>
    <row r="17" spans="1:14" ht="20.100000000000001" customHeight="1" thickBot="1" x14ac:dyDescent="0.3">
      <c r="A17" s="472" t="s">
        <v>7</v>
      </c>
      <c r="B17" s="473"/>
      <c r="C17" s="464"/>
      <c r="D17" s="464"/>
      <c r="E17" s="464"/>
      <c r="F17" s="464"/>
      <c r="G17" s="464"/>
      <c r="H17" s="481"/>
      <c r="I17" s="472" t="s">
        <v>5</v>
      </c>
      <c r="J17" s="474"/>
      <c r="K17" s="473"/>
      <c r="L17" s="469"/>
      <c r="M17" s="470"/>
      <c r="N17" s="471"/>
    </row>
    <row r="18" spans="1:14" ht="20.100000000000001" customHeight="1" thickBot="1" x14ac:dyDescent="0.3">
      <c r="A18" s="462" t="s">
        <v>156</v>
      </c>
      <c r="B18" s="463"/>
      <c r="C18" s="464"/>
      <c r="D18" s="464"/>
      <c r="E18" s="464"/>
      <c r="F18" s="464"/>
      <c r="G18" s="464"/>
      <c r="H18" s="481"/>
      <c r="I18" s="462" t="s">
        <v>10</v>
      </c>
      <c r="J18" s="465"/>
      <c r="K18" s="463"/>
      <c r="L18" s="466"/>
      <c r="M18" s="467"/>
      <c r="N18" s="468"/>
    </row>
    <row r="19" spans="1:14" ht="20.100000000000001" customHeight="1" thickBot="1" x14ac:dyDescent="0.3">
      <c r="A19" s="472" t="s">
        <v>182</v>
      </c>
      <c r="B19" s="473"/>
      <c r="C19" s="464"/>
      <c r="D19" s="464"/>
      <c r="E19" s="464"/>
      <c r="F19" s="464"/>
      <c r="G19" s="464"/>
      <c r="H19" s="481"/>
      <c r="I19" s="472" t="s">
        <v>11</v>
      </c>
      <c r="J19" s="474"/>
      <c r="K19" s="473"/>
      <c r="L19" s="469"/>
      <c r="M19" s="470"/>
      <c r="N19" s="471"/>
    </row>
    <row r="20" spans="1:14" ht="60" customHeight="1" thickBot="1" x14ac:dyDescent="0.3">
      <c r="A20" s="157"/>
      <c r="B20" s="157"/>
      <c r="C20" s="150"/>
      <c r="D20" s="150"/>
      <c r="E20" s="150"/>
      <c r="F20" s="150"/>
      <c r="G20" s="150"/>
      <c r="H20" s="150"/>
      <c r="I20" s="150"/>
      <c r="J20" s="150"/>
      <c r="K20" s="150"/>
      <c r="L20" s="150"/>
      <c r="M20" s="150"/>
      <c r="N20" s="150"/>
    </row>
    <row r="21" spans="1:14" ht="75.95" customHeight="1" thickTop="1" thickBot="1" x14ac:dyDescent="0.3">
      <c r="A21" s="445" t="s">
        <v>183</v>
      </c>
      <c r="B21" s="445"/>
      <c r="C21" s="445"/>
      <c r="D21" s="445"/>
      <c r="E21" s="445"/>
      <c r="F21" s="445"/>
      <c r="G21" s="445"/>
      <c r="H21" s="445"/>
      <c r="I21" s="445"/>
      <c r="J21" s="445"/>
      <c r="K21" s="445"/>
      <c r="L21" s="445"/>
      <c r="M21" s="445"/>
      <c r="N21" s="445"/>
    </row>
    <row r="22" spans="1:14" ht="21.75" customHeight="1" x14ac:dyDescent="0.25">
      <c r="A22" s="446" t="s">
        <v>12</v>
      </c>
      <c r="B22" s="447"/>
      <c r="C22" s="447"/>
      <c r="D22" s="448"/>
      <c r="E22" s="449"/>
      <c r="F22" s="447" t="s">
        <v>14</v>
      </c>
      <c r="G22" s="447"/>
      <c r="H22" s="447"/>
      <c r="I22" s="452"/>
      <c r="J22" s="453"/>
      <c r="K22" s="456" t="s">
        <v>184</v>
      </c>
      <c r="L22" s="456"/>
      <c r="M22" s="456"/>
      <c r="N22" s="457"/>
    </row>
    <row r="23" spans="1:14" ht="18" customHeight="1" thickBot="1" x14ac:dyDescent="0.3">
      <c r="A23" s="459" t="s">
        <v>13</v>
      </c>
      <c r="B23" s="460"/>
      <c r="C23" s="460"/>
      <c r="D23" s="450"/>
      <c r="E23" s="451"/>
      <c r="F23" s="460" t="s">
        <v>25</v>
      </c>
      <c r="G23" s="460"/>
      <c r="H23" s="460"/>
      <c r="I23" s="454"/>
      <c r="J23" s="455"/>
      <c r="K23" s="461" t="s">
        <v>185</v>
      </c>
      <c r="L23" s="461"/>
      <c r="M23" s="461"/>
      <c r="N23" s="458"/>
    </row>
    <row r="24" spans="1:14" ht="60" customHeight="1" thickBot="1" x14ac:dyDescent="0.3">
      <c r="A24" s="158"/>
      <c r="B24" s="158"/>
      <c r="C24" s="437"/>
      <c r="D24" s="437"/>
      <c r="E24" s="437"/>
      <c r="F24" s="437"/>
      <c r="G24" s="437"/>
      <c r="H24" s="438"/>
      <c r="I24" s="438"/>
      <c r="J24" s="159"/>
      <c r="K24" s="160"/>
      <c r="L24" s="160"/>
      <c r="M24" s="160"/>
      <c r="N24" s="160"/>
    </row>
    <row r="25" spans="1:14" ht="75.95" customHeight="1" thickTop="1" thickBot="1" x14ac:dyDescent="0.3">
      <c r="A25" s="439" t="s">
        <v>186</v>
      </c>
      <c r="B25" s="439"/>
      <c r="C25" s="439"/>
      <c r="D25" s="439"/>
      <c r="E25" s="439"/>
      <c r="F25" s="439"/>
      <c r="G25" s="439"/>
      <c r="H25" s="439"/>
      <c r="I25" s="439"/>
      <c r="J25" s="439"/>
      <c r="K25" s="439"/>
      <c r="L25" s="439"/>
      <c r="M25" s="439"/>
      <c r="N25" s="439"/>
    </row>
    <row r="26" spans="1:14" ht="24" customHeight="1" x14ac:dyDescent="0.25">
      <c r="A26" s="440" t="s">
        <v>15</v>
      </c>
      <c r="B26" s="441"/>
      <c r="C26" s="441"/>
      <c r="D26" s="442"/>
      <c r="E26" s="443" t="s">
        <v>16</v>
      </c>
      <c r="F26" s="441"/>
      <c r="G26" s="441"/>
      <c r="H26" s="441"/>
      <c r="I26" s="442"/>
      <c r="J26" s="443" t="s">
        <v>187</v>
      </c>
      <c r="K26" s="441"/>
      <c r="L26" s="442"/>
      <c r="M26" s="441" t="s">
        <v>18</v>
      </c>
      <c r="N26" s="444"/>
    </row>
    <row r="27" spans="1:14" ht="24" customHeight="1" x14ac:dyDescent="0.25">
      <c r="A27" s="433" t="s">
        <v>68</v>
      </c>
      <c r="B27" s="434"/>
      <c r="C27" s="434"/>
      <c r="D27" s="435"/>
      <c r="E27" s="414" t="s">
        <v>17</v>
      </c>
      <c r="F27" s="414"/>
      <c r="G27" s="414"/>
      <c r="H27" s="414"/>
      <c r="I27" s="414"/>
      <c r="J27" s="436" t="s">
        <v>188</v>
      </c>
      <c r="K27" s="434"/>
      <c r="L27" s="435"/>
      <c r="M27" s="414" t="s">
        <v>19</v>
      </c>
      <c r="N27" s="415"/>
    </row>
    <row r="28" spans="1:14" ht="45" customHeight="1" x14ac:dyDescent="0.25">
      <c r="A28" s="424"/>
      <c r="B28" s="425"/>
      <c r="C28" s="425"/>
      <c r="D28" s="426"/>
      <c r="E28" s="427"/>
      <c r="F28" s="425"/>
      <c r="G28" s="425"/>
      <c r="H28" s="425"/>
      <c r="I28" s="426"/>
      <c r="J28" s="427"/>
      <c r="K28" s="425"/>
      <c r="L28" s="426"/>
      <c r="M28" s="425"/>
      <c r="N28" s="428"/>
    </row>
    <row r="29" spans="1:14" ht="45" customHeight="1" x14ac:dyDescent="0.25">
      <c r="A29" s="424"/>
      <c r="B29" s="425"/>
      <c r="C29" s="425"/>
      <c r="D29" s="426"/>
      <c r="E29" s="427"/>
      <c r="F29" s="425"/>
      <c r="G29" s="425"/>
      <c r="H29" s="425"/>
      <c r="I29" s="426"/>
      <c r="J29" s="425"/>
      <c r="K29" s="425"/>
      <c r="L29" s="425"/>
      <c r="M29" s="427"/>
      <c r="N29" s="428"/>
    </row>
    <row r="30" spans="1:14" ht="45" customHeight="1" thickBot="1" x14ac:dyDescent="0.3">
      <c r="A30" s="429"/>
      <c r="B30" s="430"/>
      <c r="C30" s="430"/>
      <c r="D30" s="430"/>
      <c r="E30" s="431"/>
      <c r="F30" s="430"/>
      <c r="G30" s="430"/>
      <c r="H30" s="430"/>
      <c r="I30" s="430"/>
      <c r="J30" s="431"/>
      <c r="K30" s="430"/>
      <c r="L30" s="430"/>
      <c r="M30" s="431"/>
      <c r="N30" s="432"/>
    </row>
    <row r="31" spans="1:14" ht="17.25" x14ac:dyDescent="0.3">
      <c r="A31" s="423"/>
      <c r="B31" s="423"/>
      <c r="C31" s="423"/>
      <c r="D31" s="161"/>
      <c r="E31" s="162"/>
      <c r="F31" s="162"/>
      <c r="G31" s="162"/>
      <c r="H31" s="161"/>
      <c r="I31" s="423"/>
      <c r="J31" s="423"/>
      <c r="K31" s="423"/>
      <c r="L31" s="161"/>
      <c r="M31" s="162"/>
      <c r="N31" s="163"/>
    </row>
    <row r="32" spans="1:14" ht="54" hidden="1" customHeight="1" x14ac:dyDescent="0.25">
      <c r="A32" s="421" t="s">
        <v>189</v>
      </c>
      <c r="B32" s="421"/>
      <c r="C32" s="421"/>
      <c r="D32" s="421"/>
      <c r="E32" s="421" t="s">
        <v>190</v>
      </c>
      <c r="F32" s="421"/>
      <c r="G32" s="421"/>
      <c r="H32" s="421"/>
      <c r="I32" s="421" t="s">
        <v>191</v>
      </c>
      <c r="J32" s="421"/>
      <c r="K32" s="421"/>
      <c r="L32" s="421"/>
      <c r="M32" s="422">
        <v>43252</v>
      </c>
      <c r="N32" s="422"/>
    </row>
    <row r="33" spans="1:14" ht="15" customHeight="1" x14ac:dyDescent="0.25">
      <c r="A33" s="421"/>
      <c r="B33" s="421"/>
      <c r="C33" s="421"/>
      <c r="D33" s="421"/>
      <c r="E33" s="421"/>
      <c r="F33" s="421"/>
      <c r="G33" s="421"/>
      <c r="H33" s="421"/>
      <c r="I33" s="421"/>
      <c r="J33" s="421"/>
      <c r="K33" s="421"/>
      <c r="L33" s="421"/>
      <c r="M33" s="422"/>
      <c r="N33" s="422"/>
    </row>
    <row r="34" spans="1:14" ht="49.5" customHeight="1" x14ac:dyDescent="0.25"/>
    <row r="38" spans="1:14" ht="15.75" thickBot="1" x14ac:dyDescent="0.3"/>
    <row r="39" spans="1:14" s="169" customFormat="1" ht="27" customHeight="1" thickBot="1" x14ac:dyDescent="0.3">
      <c r="A39" s="418" t="s">
        <v>192</v>
      </c>
      <c r="B39" s="419"/>
      <c r="C39" s="420"/>
      <c r="D39" s="396"/>
      <c r="E39" s="396"/>
      <c r="F39" s="164"/>
      <c r="G39" s="419" t="s">
        <v>193</v>
      </c>
      <c r="H39" s="419"/>
      <c r="I39" s="419"/>
      <c r="J39" s="165"/>
      <c r="K39" s="166"/>
      <c r="L39" s="167"/>
      <c r="M39" s="166"/>
      <c r="N39" s="168"/>
    </row>
    <row r="40" spans="1:14" s="169" customFormat="1" ht="27" customHeight="1" thickBot="1" x14ac:dyDescent="0.3">
      <c r="A40" s="397" t="s">
        <v>194</v>
      </c>
      <c r="B40" s="398"/>
      <c r="C40" s="399"/>
      <c r="D40" s="396"/>
      <c r="E40" s="396"/>
      <c r="F40" s="170"/>
      <c r="G40" s="414" t="s">
        <v>195</v>
      </c>
      <c r="H40" s="414"/>
      <c r="I40" s="414"/>
      <c r="J40" s="407" t="s">
        <v>196</v>
      </c>
      <c r="K40" s="407"/>
      <c r="L40" s="407"/>
      <c r="M40" s="407" t="s">
        <v>22</v>
      </c>
      <c r="N40" s="408"/>
    </row>
    <row r="41" spans="1:14" s="169" customFormat="1" ht="27" customHeight="1" thickBot="1" x14ac:dyDescent="0.35">
      <c r="A41" s="409" t="s">
        <v>197</v>
      </c>
      <c r="B41" s="410"/>
      <c r="C41" s="411"/>
      <c r="D41" s="396"/>
      <c r="E41" s="396"/>
      <c r="F41" s="170"/>
      <c r="G41" s="412"/>
      <c r="H41" s="412"/>
      <c r="J41" s="414" t="s">
        <v>198</v>
      </c>
      <c r="K41" s="414"/>
      <c r="L41" s="414"/>
      <c r="M41" s="414" t="s">
        <v>23</v>
      </c>
      <c r="N41" s="415"/>
    </row>
    <row r="42" spans="1:14" s="169" customFormat="1" ht="27" customHeight="1" thickBot="1" x14ac:dyDescent="0.25">
      <c r="A42" s="397" t="s">
        <v>199</v>
      </c>
      <c r="B42" s="398"/>
      <c r="C42" s="399"/>
      <c r="D42" s="396"/>
      <c r="E42" s="396"/>
      <c r="F42" s="170"/>
      <c r="G42" s="412"/>
      <c r="H42" s="412"/>
      <c r="J42" s="416"/>
      <c r="K42" s="416"/>
      <c r="L42" s="416"/>
      <c r="M42" s="416"/>
      <c r="N42" s="417"/>
    </row>
    <row r="43" spans="1:14" s="169" customFormat="1" ht="27" customHeight="1" thickBot="1" x14ac:dyDescent="0.35">
      <c r="A43" s="418" t="s">
        <v>20</v>
      </c>
      <c r="B43" s="419"/>
      <c r="C43" s="420"/>
      <c r="D43" s="396"/>
      <c r="E43" s="396"/>
      <c r="F43" s="170"/>
      <c r="G43" s="412"/>
      <c r="H43" s="412"/>
      <c r="I43" s="171"/>
      <c r="J43" s="171"/>
      <c r="K43" s="171"/>
      <c r="L43" s="172"/>
      <c r="M43" s="133"/>
      <c r="N43" s="173"/>
    </row>
    <row r="44" spans="1:14" s="169" customFormat="1" ht="27" customHeight="1" thickBot="1" x14ac:dyDescent="0.25">
      <c r="A44" s="397" t="s">
        <v>21</v>
      </c>
      <c r="B44" s="398"/>
      <c r="C44" s="399"/>
      <c r="D44" s="396"/>
      <c r="E44" s="396"/>
      <c r="F44" s="174"/>
      <c r="G44" s="413"/>
      <c r="H44" s="413"/>
      <c r="I44" s="175"/>
      <c r="J44" s="175"/>
      <c r="K44" s="175"/>
      <c r="L44" s="175"/>
      <c r="M44" s="175"/>
      <c r="N44" s="176"/>
    </row>
    <row r="45" spans="1:14" ht="16.5" x14ac:dyDescent="0.25">
      <c r="A45" s="400" t="s">
        <v>200</v>
      </c>
      <c r="B45" s="400"/>
      <c r="C45" s="400"/>
      <c r="D45" s="400"/>
      <c r="E45" s="146"/>
      <c r="F45" s="146"/>
      <c r="G45" s="177"/>
      <c r="H45" s="146"/>
      <c r="I45" s="146"/>
      <c r="J45" s="146"/>
      <c r="K45" s="146"/>
      <c r="L45" s="146"/>
      <c r="M45" s="146"/>
      <c r="N45" s="146"/>
    </row>
    <row r="46" spans="1:14" ht="30.75" customHeight="1" x14ac:dyDescent="0.25">
      <c r="A46" s="401" t="s">
        <v>24</v>
      </c>
      <c r="B46" s="401"/>
      <c r="C46" s="401"/>
      <c r="D46" s="401"/>
      <c r="E46" s="401"/>
      <c r="F46" s="401"/>
      <c r="G46" s="401"/>
      <c r="H46" s="401"/>
      <c r="I46" s="401"/>
      <c r="J46" s="178"/>
      <c r="K46" s="145"/>
      <c r="L46" s="146"/>
      <c r="M46" s="146"/>
      <c r="N46" s="146"/>
    </row>
    <row r="47" spans="1:14" ht="43.5" customHeight="1" thickBot="1" x14ac:dyDescent="0.3">
      <c r="A47" s="402"/>
      <c r="B47" s="402"/>
      <c r="C47" s="402"/>
      <c r="D47" s="402"/>
      <c r="E47" s="402"/>
      <c r="F47" s="402"/>
      <c r="G47" s="402"/>
      <c r="H47" s="402"/>
      <c r="I47" s="402"/>
      <c r="J47" s="178"/>
      <c r="K47" s="145"/>
      <c r="L47" s="146"/>
      <c r="M47" s="146"/>
      <c r="N47" s="146"/>
    </row>
    <row r="48" spans="1:14" ht="39" customHeight="1" thickBot="1" x14ac:dyDescent="0.55000000000000004">
      <c r="A48" s="403" t="s">
        <v>159</v>
      </c>
      <c r="B48" s="403"/>
      <c r="C48" s="403"/>
      <c r="D48" s="403"/>
      <c r="E48" s="403"/>
      <c r="F48" s="403"/>
      <c r="G48" s="403"/>
      <c r="H48" s="403"/>
      <c r="I48" s="403"/>
      <c r="J48" s="179"/>
      <c r="K48" s="147"/>
      <c r="L48" s="146"/>
      <c r="M48" s="146"/>
      <c r="N48" s="146"/>
    </row>
    <row r="49" spans="1:14" ht="39" customHeight="1" thickBot="1" x14ac:dyDescent="0.55000000000000004">
      <c r="A49" s="404"/>
      <c r="B49" s="404"/>
      <c r="C49" s="404"/>
      <c r="D49" s="404"/>
      <c r="E49" s="404"/>
      <c r="F49" s="404"/>
      <c r="G49" s="404"/>
      <c r="H49" s="404"/>
      <c r="I49" s="404"/>
      <c r="J49" s="179"/>
      <c r="K49" s="405" t="s">
        <v>201</v>
      </c>
      <c r="L49" s="406"/>
      <c r="M49" s="388">
        <f>M4</f>
        <v>0</v>
      </c>
      <c r="N49" s="389"/>
    </row>
    <row r="50" spans="1:14" ht="37.5" customHeight="1" thickBot="1" x14ac:dyDescent="0.3">
      <c r="A50" s="390" t="s">
        <v>157</v>
      </c>
      <c r="B50" s="390"/>
      <c r="C50" s="391"/>
      <c r="D50" s="391"/>
      <c r="E50" s="391"/>
      <c r="F50" s="391"/>
      <c r="G50" s="391"/>
      <c r="H50" s="391"/>
      <c r="I50" s="391"/>
      <c r="J50" s="180"/>
      <c r="K50" s="147"/>
      <c r="L50" s="177"/>
      <c r="M50" s="392" t="s">
        <v>202</v>
      </c>
      <c r="N50" s="393"/>
    </row>
    <row r="51" spans="1:14" ht="13.5" customHeight="1" x14ac:dyDescent="0.25">
      <c r="A51" s="181"/>
      <c r="B51" s="181"/>
      <c r="C51" s="182"/>
      <c r="D51" s="146"/>
      <c r="E51" s="146"/>
      <c r="F51" s="146"/>
      <c r="G51" s="146"/>
      <c r="H51" s="146"/>
      <c r="I51" s="146"/>
      <c r="J51" s="146"/>
      <c r="K51" s="146"/>
      <c r="L51" s="183"/>
      <c r="M51" s="177"/>
      <c r="N51" s="184"/>
    </row>
    <row r="52" spans="1:14" ht="36.75" customHeight="1" thickBot="1" x14ac:dyDescent="0.3">
      <c r="A52" s="185"/>
      <c r="B52" s="185"/>
      <c r="C52" s="150"/>
      <c r="D52" s="150"/>
      <c r="E52" s="150"/>
      <c r="F52" s="150"/>
      <c r="G52" s="150"/>
      <c r="H52" s="150"/>
      <c r="I52" s="150"/>
      <c r="J52" s="150"/>
      <c r="K52" s="150"/>
      <c r="L52" s="150"/>
      <c r="M52" s="150"/>
      <c r="N52" s="150"/>
    </row>
    <row r="53" spans="1:14" ht="24" customHeight="1" thickTop="1" x14ac:dyDescent="0.25">
      <c r="A53" s="357" t="s">
        <v>203</v>
      </c>
      <c r="B53" s="357"/>
      <c r="C53" s="357"/>
      <c r="D53" s="357"/>
      <c r="E53" s="357"/>
      <c r="F53" s="357"/>
      <c r="G53" s="357"/>
      <c r="H53" s="357"/>
      <c r="I53" s="357"/>
      <c r="J53" s="357"/>
      <c r="K53" s="357"/>
      <c r="L53" s="357"/>
      <c r="M53" s="357"/>
      <c r="N53" s="357"/>
    </row>
    <row r="54" spans="1:14" ht="24" customHeight="1" x14ac:dyDescent="0.25">
      <c r="A54" s="394" t="s">
        <v>58</v>
      </c>
      <c r="B54" s="394"/>
      <c r="C54" s="394"/>
      <c r="D54" s="394"/>
      <c r="E54" s="394"/>
      <c r="F54" s="394"/>
      <c r="G54" s="394"/>
      <c r="H54" s="394"/>
      <c r="I54" s="394"/>
      <c r="J54" s="394"/>
      <c r="K54" s="394"/>
      <c r="L54" s="394"/>
      <c r="M54" s="394"/>
      <c r="N54" s="394"/>
    </row>
    <row r="55" spans="1:14" ht="21" customHeight="1" x14ac:dyDescent="0.25">
      <c r="A55" s="395" t="s">
        <v>59</v>
      </c>
      <c r="B55" s="395"/>
      <c r="C55" s="395"/>
      <c r="D55" s="395"/>
      <c r="E55" s="395"/>
      <c r="F55" s="395"/>
      <c r="G55" s="395"/>
      <c r="H55" s="395"/>
      <c r="I55" s="395"/>
      <c r="J55" s="395"/>
      <c r="K55" s="395"/>
      <c r="L55" s="395"/>
      <c r="M55" s="395"/>
      <c r="N55" s="395"/>
    </row>
    <row r="56" spans="1:14" ht="24" hidden="1" customHeight="1" x14ac:dyDescent="0.25">
      <c r="A56" s="186"/>
      <c r="B56" s="186"/>
      <c r="C56" s="186"/>
      <c r="D56" s="186"/>
      <c r="E56" s="186"/>
      <c r="F56" s="186"/>
      <c r="G56" s="186"/>
      <c r="H56" s="186"/>
      <c r="I56" s="186"/>
      <c r="J56" s="186"/>
      <c r="K56" s="186"/>
      <c r="L56" s="186"/>
      <c r="M56" s="186"/>
      <c r="N56" s="186"/>
    </row>
    <row r="57" spans="1:14" ht="24" hidden="1" customHeight="1" x14ac:dyDescent="0.25">
      <c r="A57" s="186"/>
      <c r="B57" s="186"/>
      <c r="C57" s="381" t="s">
        <v>204</v>
      </c>
      <c r="D57" s="187" t="e">
        <f xml:space="preserve"> IF(#REF!=1,#REF!* 25.4,#REF!)</f>
        <v>#REF!</v>
      </c>
      <c r="E57" s="187" t="e">
        <f xml:space="preserve"> IF(#REF!=1,#REF!* 25.4,#REF!)</f>
        <v>#REF!</v>
      </c>
      <c r="F57" s="187"/>
      <c r="G57" s="187" t="e">
        <f xml:space="preserve"> IF(#REF!=1,#REF!* 25.4,#REF!)</f>
        <v>#REF!</v>
      </c>
      <c r="H57" s="187" t="e">
        <f xml:space="preserve"> IF(#REF!=1,#REF!* 25.4,#REF!)</f>
        <v>#REF!</v>
      </c>
      <c r="I57" s="187" t="e">
        <f xml:space="preserve"> IF(#REF!=1,#REF!* 25.4,#REF!)</f>
        <v>#REF!</v>
      </c>
      <c r="J57" s="188"/>
      <c r="K57" s="189" t="e">
        <f xml:space="preserve"> IF(#REF!=1,#REF!* 25.4,#REF!)</f>
        <v>#REF!</v>
      </c>
      <c r="L57" s="190"/>
      <c r="M57" s="186"/>
      <c r="N57" s="186"/>
    </row>
    <row r="58" spans="1:14" ht="24" hidden="1" customHeight="1" x14ac:dyDescent="0.25">
      <c r="A58" s="186"/>
      <c r="B58" s="186"/>
      <c r="C58" s="382"/>
      <c r="D58" s="191" t="e">
        <f>IF(#REF!=1,#REF!,#REF!/ 25.4)</f>
        <v>#REF!</v>
      </c>
      <c r="E58" s="192" t="e">
        <f>IF(#REF!=1,#REF!,#REF!/ 25.4)</f>
        <v>#REF!</v>
      </c>
      <c r="F58" s="192"/>
      <c r="G58" s="192" t="e">
        <f>IF(#REF!=1,#REF!,#REF!/ 25.4)</f>
        <v>#REF!</v>
      </c>
      <c r="H58" s="192" t="e">
        <f>IF(#REF!=1,#REF!,#REF!/ 25.4)</f>
        <v>#REF!</v>
      </c>
      <c r="I58" s="192" t="e">
        <f>IF(#REF!=1,#REF!,#REF!/ 25.4)</f>
        <v>#REF!</v>
      </c>
      <c r="J58" s="193"/>
      <c r="K58" s="194" t="e">
        <f>IF(#REF!=1,#REF!,#REF!/ 25.4)</f>
        <v>#REF!</v>
      </c>
      <c r="L58" s="195"/>
      <c r="M58" s="186"/>
      <c r="N58" s="186"/>
    </row>
    <row r="59" spans="1:14" s="202" customFormat="1" ht="24" hidden="1" customHeight="1" x14ac:dyDescent="0.25">
      <c r="A59" s="383"/>
      <c r="B59" s="196"/>
      <c r="C59" s="384" t="s">
        <v>205</v>
      </c>
      <c r="D59" s="197" t="e">
        <f xml:space="preserve"> IF(#REF!=1,#REF!* 25.4,#REF!)</f>
        <v>#REF!</v>
      </c>
      <c r="E59" s="197" t="e">
        <f xml:space="preserve"> IF(#REF!=1,#REF!* 25.4,#REF!)</f>
        <v>#REF!</v>
      </c>
      <c r="F59" s="197"/>
      <c r="G59" s="197" t="e">
        <f xml:space="preserve"> IF(#REF!=1,#REF!* 25.4,#REF!)</f>
        <v>#REF!</v>
      </c>
      <c r="H59" s="197" t="e">
        <f xml:space="preserve"> IF(#REF!=1,#REF!* 25.4,#REF!)</f>
        <v>#REF!</v>
      </c>
      <c r="I59" s="197" t="e">
        <f xml:space="preserve"> IF(#REF!=1,#REF!* 25.4,#REF!)</f>
        <v>#REF!</v>
      </c>
      <c r="J59" s="198"/>
      <c r="K59" s="199" t="e">
        <f xml:space="preserve"> IF(#REF!=1,#REF!* 25.4,#REF!)</f>
        <v>#REF!</v>
      </c>
      <c r="L59" s="200"/>
      <c r="M59" s="201"/>
      <c r="N59" s="201"/>
    </row>
    <row r="60" spans="1:14" s="202" customFormat="1" ht="24" hidden="1" customHeight="1" thickBot="1" x14ac:dyDescent="0.3">
      <c r="A60" s="383"/>
      <c r="B60" s="196"/>
      <c r="C60" s="385"/>
      <c r="D60" s="203" t="e">
        <f>IF(#REF!=1,#REF!,#REF!/ 25.4)</f>
        <v>#REF!</v>
      </c>
      <c r="E60" s="203" t="e">
        <f>IF(#REF!=1,#REF!,#REF!/ 25.4)</f>
        <v>#REF!</v>
      </c>
      <c r="F60" s="203"/>
      <c r="G60" s="203" t="e">
        <f>IF(#REF!=1,#REF!,#REF!/ 25.4)</f>
        <v>#REF!</v>
      </c>
      <c r="H60" s="203" t="e">
        <f>IF(#REF!=1,#REF!,#REF!/ 25.4)</f>
        <v>#REF!</v>
      </c>
      <c r="I60" s="203" t="e">
        <f>IF(#REF!=1,#REF!,#REF!/ 25.4)</f>
        <v>#REF!</v>
      </c>
      <c r="J60" s="204"/>
      <c r="K60" s="204" t="e">
        <f>IF(#REF!=1,#REF!,#REF!/ 25.4)</f>
        <v>#REF!</v>
      </c>
      <c r="L60" s="205"/>
      <c r="M60" s="206"/>
      <c r="N60" s="206"/>
    </row>
    <row r="61" spans="1:14" s="202" customFormat="1" ht="24" hidden="1" customHeight="1" thickBot="1" x14ac:dyDescent="0.3">
      <c r="A61" s="383"/>
      <c r="B61" s="196"/>
      <c r="C61" s="207"/>
      <c r="D61" s="200"/>
      <c r="E61" s="200"/>
      <c r="F61" s="200"/>
      <c r="G61" s="200"/>
      <c r="H61" s="200"/>
      <c r="I61" s="200"/>
      <c r="J61" s="200"/>
      <c r="K61" s="200"/>
      <c r="L61" s="200"/>
      <c r="M61" s="200"/>
      <c r="N61" s="200"/>
    </row>
    <row r="62" spans="1:14" s="202" customFormat="1" ht="24" hidden="1" customHeight="1" x14ac:dyDescent="0.25">
      <c r="A62" s="383"/>
      <c r="B62" s="196"/>
      <c r="C62" s="386" t="s">
        <v>204</v>
      </c>
      <c r="D62" s="187" t="e">
        <f xml:space="preserve"> IF(#REF!=1,#REF!* 25.4,#REF!)</f>
        <v>#REF!</v>
      </c>
      <c r="E62" s="187" t="e">
        <f xml:space="preserve"> IF(#REF!=1,#REF!* 25.4,#REF!)</f>
        <v>#REF!</v>
      </c>
      <c r="F62" s="187"/>
      <c r="G62" s="187" t="e">
        <f xml:space="preserve"> IF(#REF!=1,#REF!* 25.4,#REF!)</f>
        <v>#REF!</v>
      </c>
      <c r="H62" s="189" t="e">
        <f xml:space="preserve"> IF(#REF!=1,#REF!* 25.4,#REF!)</f>
        <v>#REF!</v>
      </c>
      <c r="I62" s="208" t="e">
        <f xml:space="preserve"> IF(#REF!=1,#REF!* 25.4,#REF!)</f>
        <v>#REF!</v>
      </c>
      <c r="J62" s="209"/>
      <c r="K62" s="200"/>
      <c r="L62" s="200"/>
      <c r="M62" s="200"/>
      <c r="N62" s="200"/>
    </row>
    <row r="63" spans="1:14" s="202" customFormat="1" ht="24" hidden="1" customHeight="1" x14ac:dyDescent="0.25">
      <c r="A63" s="383"/>
      <c r="B63" s="196"/>
      <c r="C63" s="387"/>
      <c r="D63" s="192" t="e">
        <f>IF(#REF!=1,#REF!,#REF!/ 25.4)</f>
        <v>#REF!</v>
      </c>
      <c r="E63" s="192" t="e">
        <f>IF(#REF!=1,#REF!,#REF!/ 25.4)</f>
        <v>#REF!</v>
      </c>
      <c r="F63" s="192"/>
      <c r="G63" s="192" t="e">
        <f>IF(#REF!=1,#REF!,#REF!/ 25.4)</f>
        <v>#REF!</v>
      </c>
      <c r="H63" s="193" t="e">
        <f>IF(#REF!=1,#REF!,#REF!/ 25.4)</f>
        <v>#REF!</v>
      </c>
      <c r="I63" s="194" t="e">
        <f>IF(#REF!=1,#REF!,#REF!/ 25.4)</f>
        <v>#REF!</v>
      </c>
      <c r="J63" s="210"/>
      <c r="K63" s="200"/>
      <c r="L63" s="200"/>
      <c r="M63" s="200"/>
      <c r="N63" s="200"/>
    </row>
    <row r="64" spans="1:14" s="202" customFormat="1" ht="24" hidden="1" customHeight="1" x14ac:dyDescent="0.25">
      <c r="A64" s="383"/>
      <c r="B64" s="196"/>
      <c r="C64" s="384" t="s">
        <v>205</v>
      </c>
      <c r="D64" s="197" t="e">
        <f xml:space="preserve"> IF(#REF!=1,#REF!* 25.4,#REF!)</f>
        <v>#REF!</v>
      </c>
      <c r="E64" s="197" t="e">
        <f xml:space="preserve"> IF(#REF!=1,#REF!* 25.4,#REF!)</f>
        <v>#REF!</v>
      </c>
      <c r="F64" s="197"/>
      <c r="G64" s="197" t="e">
        <f xml:space="preserve"> IF(#REF!=1,#REF!* 25.4,#REF!)</f>
        <v>#REF!</v>
      </c>
      <c r="H64" s="197" t="e">
        <f xml:space="preserve"> IF(#REF!=1,#REF!* 25.4,#REF!)</f>
        <v>#REF!</v>
      </c>
      <c r="I64" s="199" t="e">
        <f xml:space="preserve"> IF(#REF!=1,#REF!* 25.4,#REF!)</f>
        <v>#REF!</v>
      </c>
      <c r="J64" s="211"/>
      <c r="K64" s="200"/>
      <c r="L64" s="200"/>
      <c r="M64" s="200"/>
      <c r="N64" s="200"/>
    </row>
    <row r="65" spans="1:14" s="202" customFormat="1" ht="24" hidden="1" customHeight="1" thickBot="1" x14ac:dyDescent="0.3">
      <c r="A65" s="383"/>
      <c r="B65" s="196"/>
      <c r="C65" s="385"/>
      <c r="D65" s="203" t="e">
        <f>IF(#REF!=1,#REF!,#REF!/ 25.4)</f>
        <v>#REF!</v>
      </c>
      <c r="E65" s="203" t="e">
        <f>IF(#REF!=1,#REF!,#REF!/ 25.4)</f>
        <v>#REF!</v>
      </c>
      <c r="F65" s="203"/>
      <c r="G65" s="203" t="e">
        <f>IF(#REF!=1,#REF!,#REF!/ 25.4)</f>
        <v>#REF!</v>
      </c>
      <c r="H65" s="204" t="e">
        <f>IF(#REF!=1,#REF!,#REF!/ 25.4)</f>
        <v>#REF!</v>
      </c>
      <c r="I65" s="212" t="e">
        <f>IF(#REF!=1,#REF!,#REF!/ 25.4)</f>
        <v>#REF!</v>
      </c>
      <c r="J65" s="213"/>
      <c r="K65" s="200"/>
      <c r="L65" s="200"/>
      <c r="M65" s="200"/>
      <c r="N65" s="200"/>
    </row>
    <row r="66" spans="1:14" s="202" customFormat="1" ht="24" hidden="1" customHeight="1" x14ac:dyDescent="0.25">
      <c r="A66" s="383"/>
      <c r="B66" s="196"/>
      <c r="C66" s="206"/>
      <c r="D66" s="206"/>
      <c r="E66" s="206"/>
      <c r="F66" s="206"/>
      <c r="G66" s="206"/>
      <c r="H66" s="206"/>
      <c r="I66" s="206"/>
      <c r="J66" s="206"/>
      <c r="K66" s="206"/>
      <c r="L66" s="206"/>
      <c r="M66" s="206"/>
      <c r="N66" s="206"/>
    </row>
    <row r="67" spans="1:14" ht="24" hidden="1" customHeight="1" x14ac:dyDescent="0.25">
      <c r="A67" s="186"/>
      <c r="B67" s="186"/>
      <c r="C67" s="186"/>
      <c r="D67" s="195"/>
      <c r="E67" s="214"/>
      <c r="F67" s="214"/>
      <c r="G67" s="214"/>
      <c r="H67" s="214"/>
      <c r="I67" s="214"/>
      <c r="J67" s="214"/>
      <c r="K67" s="214"/>
      <c r="L67" s="214"/>
      <c r="M67" s="186"/>
      <c r="N67" s="186"/>
    </row>
    <row r="68" spans="1:14" ht="24" hidden="1" customHeight="1" thickBot="1" x14ac:dyDescent="0.3">
      <c r="A68" s="375"/>
      <c r="B68" s="375"/>
      <c r="C68" s="375"/>
      <c r="D68" s="375"/>
      <c r="E68" s="215" t="s">
        <v>206</v>
      </c>
      <c r="F68" s="215"/>
      <c r="G68" s="215" t="s">
        <v>207</v>
      </c>
      <c r="H68" s="214"/>
      <c r="I68" s="214"/>
      <c r="J68" s="214"/>
      <c r="K68" s="214"/>
      <c r="L68" s="214"/>
      <c r="M68" s="186"/>
      <c r="N68" s="186"/>
    </row>
    <row r="69" spans="1:14" ht="24" hidden="1" customHeight="1" thickTop="1" thickBot="1" x14ac:dyDescent="0.3">
      <c r="A69" s="376" t="s">
        <v>208</v>
      </c>
      <c r="B69" s="376"/>
      <c r="C69" s="376"/>
      <c r="D69" s="376"/>
      <c r="E69" s="216" t="e">
        <f>MAX(#REF!)</f>
        <v>#REF!</v>
      </c>
      <c r="F69" s="217"/>
      <c r="G69" s="218" t="e">
        <f>E69/25400</f>
        <v>#REF!</v>
      </c>
      <c r="H69" s="219"/>
      <c r="I69" s="377" t="s">
        <v>209</v>
      </c>
      <c r="J69" s="378"/>
      <c r="K69" s="379"/>
      <c r="L69" s="220" t="e">
        <f>#REF!*9.81/1000</f>
        <v>#REF!</v>
      </c>
    </row>
    <row r="70" spans="1:14" ht="24" hidden="1" customHeight="1" thickTop="1" thickBot="1" x14ac:dyDescent="0.3">
      <c r="A70" s="376" t="s">
        <v>210</v>
      </c>
      <c r="B70" s="376"/>
      <c r="C70" s="376"/>
      <c r="D70" s="376"/>
      <c r="E70" s="216" t="e">
        <f>MAX(#REF!,#REF!)</f>
        <v>#REF!</v>
      </c>
      <c r="F70" s="217"/>
      <c r="G70" s="218" t="e">
        <f>E70/25400</f>
        <v>#REF!</v>
      </c>
      <c r="H70" s="219"/>
      <c r="I70" s="219"/>
      <c r="J70" s="219"/>
      <c r="K70" s="219"/>
      <c r="L70" s="219"/>
    </row>
    <row r="71" spans="1:14" ht="24" hidden="1" customHeight="1" thickTop="1" x14ac:dyDescent="0.25">
      <c r="A71" s="186"/>
      <c r="B71" s="186"/>
      <c r="C71" s="186"/>
      <c r="D71" s="186"/>
      <c r="E71" s="186"/>
      <c r="F71" s="186"/>
      <c r="G71" s="186"/>
      <c r="H71" s="186"/>
      <c r="I71" s="186"/>
      <c r="J71" s="186"/>
      <c r="K71" s="186"/>
      <c r="L71" s="186"/>
      <c r="M71" s="186"/>
      <c r="N71" s="186"/>
    </row>
    <row r="72" spans="1:14" s="146" customFormat="1" ht="12" customHeight="1" thickBot="1" x14ac:dyDescent="0.3">
      <c r="A72" s="380"/>
      <c r="B72" s="380"/>
      <c r="C72" s="380"/>
      <c r="D72" s="380"/>
      <c r="E72" s="380"/>
      <c r="F72" s="380"/>
      <c r="G72" s="380"/>
      <c r="H72" s="380"/>
      <c r="I72" s="380"/>
      <c r="J72" s="380"/>
      <c r="K72" s="380"/>
      <c r="L72" s="380"/>
      <c r="M72" s="380"/>
      <c r="N72" s="380"/>
    </row>
    <row r="73" spans="1:14" ht="24" customHeight="1" thickTop="1" x14ac:dyDescent="0.25">
      <c r="A73" s="357" t="s">
        <v>211</v>
      </c>
      <c r="B73" s="357"/>
      <c r="C73" s="357"/>
      <c r="D73" s="357"/>
      <c r="E73" s="357"/>
      <c r="F73" s="357"/>
      <c r="G73" s="357"/>
      <c r="H73" s="357"/>
      <c r="I73" s="357"/>
      <c r="J73" s="357"/>
      <c r="K73" s="357"/>
      <c r="L73" s="357"/>
      <c r="M73" s="357"/>
      <c r="N73" s="357"/>
    </row>
    <row r="74" spans="1:14" ht="25.5" hidden="1" customHeight="1" x14ac:dyDescent="0.25">
      <c r="A74" s="221"/>
      <c r="B74" s="371"/>
      <c r="C74" s="372"/>
      <c r="D74" s="373"/>
      <c r="E74" s="373"/>
      <c r="F74" s="373"/>
      <c r="G74" s="373"/>
      <c r="H74" s="373"/>
      <c r="I74" s="373"/>
      <c r="J74" s="373"/>
      <c r="K74" s="373"/>
      <c r="L74" s="372"/>
      <c r="M74" s="374"/>
      <c r="N74" s="221"/>
    </row>
    <row r="75" spans="1:14" ht="25.5" hidden="1" customHeight="1" x14ac:dyDescent="0.25">
      <c r="A75" s="221"/>
      <c r="B75" s="371"/>
      <c r="C75" s="372"/>
      <c r="D75" s="373"/>
      <c r="E75" s="373"/>
      <c r="F75" s="373"/>
      <c r="G75" s="373"/>
      <c r="H75" s="373"/>
      <c r="I75" s="373"/>
      <c r="J75" s="373"/>
      <c r="K75" s="373"/>
      <c r="L75" s="372"/>
      <c r="M75" s="374"/>
      <c r="N75" s="221"/>
    </row>
    <row r="76" spans="1:14" ht="31.5" hidden="1" customHeight="1" x14ac:dyDescent="0.25">
      <c r="A76" s="221"/>
      <c r="B76" s="371"/>
      <c r="C76" s="372"/>
      <c r="D76" s="373"/>
      <c r="E76" s="373"/>
      <c r="F76" s="373"/>
      <c r="G76" s="373"/>
      <c r="H76" s="373"/>
      <c r="I76" s="373"/>
      <c r="J76" s="373"/>
      <c r="K76" s="373"/>
      <c r="L76" s="372"/>
      <c r="M76" s="374"/>
      <c r="N76" s="221"/>
    </row>
    <row r="77" spans="1:14" ht="20.25" hidden="1" x14ac:dyDescent="0.25">
      <c r="A77" s="221"/>
      <c r="B77" s="371"/>
      <c r="C77" s="372"/>
      <c r="D77" s="373"/>
      <c r="E77" s="373"/>
      <c r="F77" s="373"/>
      <c r="G77" s="373"/>
      <c r="H77" s="373"/>
      <c r="I77" s="373"/>
      <c r="J77" s="373"/>
      <c r="K77" s="373"/>
      <c r="L77" s="372"/>
      <c r="M77" s="374"/>
      <c r="N77" s="221"/>
    </row>
    <row r="78" spans="1:14" ht="20.25" hidden="1" customHeight="1" x14ac:dyDescent="0.25">
      <c r="A78" s="221"/>
      <c r="B78" s="371"/>
      <c r="C78" s="372"/>
      <c r="D78" s="373"/>
      <c r="E78" s="373"/>
      <c r="F78" s="373"/>
      <c r="G78" s="373"/>
      <c r="H78" s="373"/>
      <c r="I78" s="373"/>
      <c r="J78" s="373"/>
      <c r="K78" s="373"/>
      <c r="L78" s="372"/>
      <c r="M78" s="374"/>
      <c r="N78" s="221"/>
    </row>
    <row r="79" spans="1:14" ht="20.25" hidden="1" customHeight="1" x14ac:dyDescent="0.25">
      <c r="A79" s="221"/>
      <c r="B79" s="371"/>
      <c r="C79" s="372"/>
      <c r="D79" s="373"/>
      <c r="E79" s="373"/>
      <c r="F79" s="373"/>
      <c r="G79" s="373"/>
      <c r="H79" s="373"/>
      <c r="I79" s="373"/>
      <c r="J79" s="373"/>
      <c r="K79" s="373"/>
      <c r="L79" s="372"/>
      <c r="M79" s="374"/>
      <c r="N79" s="221"/>
    </row>
    <row r="80" spans="1:14" ht="20.25" hidden="1" customHeight="1" x14ac:dyDescent="0.25">
      <c r="A80" s="221"/>
      <c r="B80" s="371"/>
      <c r="C80" s="372"/>
      <c r="D80" s="373"/>
      <c r="E80" s="373"/>
      <c r="F80" s="373"/>
      <c r="G80" s="373"/>
      <c r="H80" s="373"/>
      <c r="I80" s="373"/>
      <c r="J80" s="373"/>
      <c r="K80" s="373"/>
      <c r="L80" s="372"/>
      <c r="M80" s="374"/>
      <c r="N80" s="221"/>
    </row>
    <row r="81" spans="1:14" ht="20.100000000000001" hidden="1" customHeight="1" thickBot="1" x14ac:dyDescent="0.3">
      <c r="A81" s="221"/>
      <c r="B81" s="365"/>
      <c r="C81" s="366"/>
      <c r="D81" s="367"/>
      <c r="E81" s="367"/>
      <c r="F81" s="367"/>
      <c r="G81" s="367"/>
      <c r="H81" s="367"/>
      <c r="I81" s="367"/>
      <c r="J81" s="367"/>
      <c r="K81" s="367"/>
      <c r="L81" s="366"/>
      <c r="M81" s="368"/>
      <c r="N81" s="221"/>
    </row>
    <row r="82" spans="1:14" ht="20.100000000000001" customHeight="1" thickBot="1" x14ac:dyDescent="0.3">
      <c r="A82" s="221"/>
      <c r="B82" s="222"/>
      <c r="C82" s="222"/>
      <c r="D82" s="524"/>
      <c r="E82" s="524"/>
      <c r="F82" s="524"/>
      <c r="G82" s="524"/>
      <c r="H82" s="524"/>
      <c r="I82" s="524"/>
      <c r="J82" s="524"/>
      <c r="K82" s="524"/>
      <c r="L82" s="222"/>
      <c r="M82" s="222"/>
      <c r="N82" s="221"/>
    </row>
    <row r="83" spans="1:14" ht="33.75" customHeight="1" x14ac:dyDescent="0.25">
      <c r="A83" s="221"/>
      <c r="B83" s="526" t="s">
        <v>280</v>
      </c>
      <c r="C83" s="527"/>
      <c r="D83" s="527"/>
      <c r="E83" s="528"/>
      <c r="F83" s="524"/>
      <c r="G83" s="524"/>
      <c r="H83" s="524"/>
      <c r="I83" s="524"/>
      <c r="J83" s="524"/>
      <c r="K83" s="524"/>
      <c r="L83" s="222"/>
      <c r="M83" s="222"/>
      <c r="N83" s="221"/>
    </row>
    <row r="84" spans="1:14" ht="41.25" customHeight="1" x14ac:dyDescent="0.25">
      <c r="A84" s="221"/>
      <c r="B84" s="529" t="s">
        <v>281</v>
      </c>
      <c r="C84" s="530"/>
      <c r="D84" s="530"/>
      <c r="E84" s="531"/>
      <c r="F84" s="524"/>
      <c r="G84" s="524"/>
      <c r="H84" s="524"/>
      <c r="I84" s="524"/>
      <c r="J84" s="524"/>
      <c r="K84" s="524"/>
      <c r="L84" s="222"/>
      <c r="M84" s="222"/>
      <c r="N84" s="221"/>
    </row>
    <row r="85" spans="1:14" ht="42.75" customHeight="1" thickBot="1" x14ac:dyDescent="0.3">
      <c r="A85" s="221"/>
      <c r="B85" s="532" t="s">
        <v>282</v>
      </c>
      <c r="C85" s="533"/>
      <c r="D85" s="533"/>
      <c r="E85" s="534"/>
      <c r="F85" s="524"/>
      <c r="G85" s="524"/>
      <c r="H85" s="524"/>
      <c r="I85" s="524"/>
      <c r="J85" s="524"/>
      <c r="K85" s="524"/>
      <c r="L85" s="222"/>
      <c r="M85" s="222"/>
      <c r="N85" s="221"/>
    </row>
    <row r="86" spans="1:14" ht="18.75" customHeight="1" x14ac:dyDescent="0.25">
      <c r="A86" s="221"/>
      <c r="B86" s="369"/>
      <c r="C86" s="369"/>
      <c r="D86" s="370"/>
      <c r="E86" s="370"/>
      <c r="F86" s="370"/>
      <c r="G86" s="370"/>
      <c r="H86" s="370"/>
      <c r="I86" s="370"/>
      <c r="J86" s="370"/>
      <c r="K86" s="370"/>
      <c r="L86" s="369"/>
      <c r="M86" s="369"/>
      <c r="N86" s="221"/>
    </row>
    <row r="87" spans="1:14" ht="42.75" customHeight="1" thickBot="1" x14ac:dyDescent="0.3">
      <c r="A87" s="221"/>
      <c r="B87" s="312" t="s">
        <v>237</v>
      </c>
      <c r="C87" s="312"/>
      <c r="D87" s="312"/>
      <c r="E87" s="312"/>
      <c r="F87" s="312"/>
      <c r="G87" s="288"/>
      <c r="H87"/>
      <c r="I87"/>
      <c r="J87"/>
      <c r="K87"/>
      <c r="L87" s="221"/>
      <c r="M87" s="221"/>
      <c r="N87" s="221"/>
    </row>
    <row r="88" spans="1:14" ht="77.25" customHeight="1" x14ac:dyDescent="0.25">
      <c r="A88" s="221"/>
      <c r="B88" s="327" t="s">
        <v>274</v>
      </c>
      <c r="C88" s="328"/>
      <c r="D88" s="347" t="s">
        <v>275</v>
      </c>
      <c r="E88" s="328"/>
      <c r="F88" s="347" t="s">
        <v>273</v>
      </c>
      <c r="G88" s="347"/>
      <c r="H88" s="347"/>
      <c r="I88" s="347" t="s">
        <v>276</v>
      </c>
      <c r="J88" s="347"/>
      <c r="K88" s="348"/>
      <c r="L88" s="221"/>
      <c r="M88" s="221"/>
      <c r="N88" s="221"/>
    </row>
    <row r="89" spans="1:14" ht="20.100000000000001" customHeight="1" x14ac:dyDescent="0.25">
      <c r="A89" s="221"/>
      <c r="B89" s="353"/>
      <c r="C89" s="354"/>
      <c r="D89" s="352"/>
      <c r="E89" s="352"/>
      <c r="F89" s="343"/>
      <c r="G89" s="343"/>
      <c r="H89" s="343"/>
      <c r="I89" s="343"/>
      <c r="J89" s="343"/>
      <c r="K89" s="344"/>
      <c r="L89" s="221"/>
      <c r="M89" s="221"/>
      <c r="N89" s="221"/>
    </row>
    <row r="90" spans="1:14" ht="20.100000000000001" customHeight="1" x14ac:dyDescent="0.25">
      <c r="A90" s="221"/>
      <c r="B90" s="353"/>
      <c r="C90" s="354"/>
      <c r="D90" s="352"/>
      <c r="E90" s="352"/>
      <c r="F90" s="343"/>
      <c r="G90" s="343"/>
      <c r="H90" s="343"/>
      <c r="I90" s="343"/>
      <c r="J90" s="343"/>
      <c r="K90" s="344"/>
      <c r="L90" s="221"/>
      <c r="M90" s="221"/>
      <c r="N90" s="221"/>
    </row>
    <row r="91" spans="1:14" ht="20.100000000000001" customHeight="1" x14ac:dyDescent="0.25">
      <c r="A91" s="221"/>
      <c r="B91" s="353"/>
      <c r="C91" s="354"/>
      <c r="D91" s="352"/>
      <c r="E91" s="352"/>
      <c r="F91" s="343"/>
      <c r="G91" s="343"/>
      <c r="H91" s="343"/>
      <c r="I91" s="343"/>
      <c r="J91" s="343"/>
      <c r="K91" s="344"/>
      <c r="L91" s="221"/>
      <c r="M91" s="221"/>
      <c r="N91" s="221"/>
    </row>
    <row r="92" spans="1:14" ht="20.100000000000001" customHeight="1" x14ac:dyDescent="0.25">
      <c r="A92" s="221"/>
      <c r="B92" s="353"/>
      <c r="C92" s="354"/>
      <c r="D92" s="352"/>
      <c r="E92" s="352"/>
      <c r="F92" s="343"/>
      <c r="G92" s="343"/>
      <c r="H92" s="343"/>
      <c r="I92" s="343"/>
      <c r="J92" s="343"/>
      <c r="K92" s="344"/>
      <c r="L92" s="221"/>
      <c r="M92" s="221"/>
      <c r="N92" s="221"/>
    </row>
    <row r="93" spans="1:14" ht="20.100000000000001" customHeight="1" x14ac:dyDescent="0.25">
      <c r="A93" s="221"/>
      <c r="B93" s="353"/>
      <c r="C93" s="354"/>
      <c r="D93" s="352"/>
      <c r="E93" s="352"/>
      <c r="F93" s="343"/>
      <c r="G93" s="343"/>
      <c r="H93" s="343"/>
      <c r="I93" s="343"/>
      <c r="J93" s="343"/>
      <c r="K93" s="344"/>
      <c r="L93" s="221"/>
      <c r="M93" s="221"/>
      <c r="N93" s="221"/>
    </row>
    <row r="94" spans="1:14" ht="20.100000000000001" customHeight="1" x14ac:dyDescent="0.25">
      <c r="A94" s="221"/>
      <c r="B94" s="351"/>
      <c r="C94" s="352"/>
      <c r="D94" s="352"/>
      <c r="E94" s="352"/>
      <c r="F94" s="343"/>
      <c r="G94" s="343"/>
      <c r="H94" s="343"/>
      <c r="I94" s="343"/>
      <c r="J94" s="343"/>
      <c r="K94" s="344"/>
      <c r="L94" s="221"/>
      <c r="M94" s="221"/>
      <c r="N94" s="221"/>
    </row>
    <row r="95" spans="1:14" ht="20.100000000000001" customHeight="1" x14ac:dyDescent="0.25">
      <c r="A95" s="221"/>
      <c r="B95" s="351"/>
      <c r="C95" s="352"/>
      <c r="D95" s="352"/>
      <c r="E95" s="352"/>
      <c r="F95" s="343"/>
      <c r="G95" s="343"/>
      <c r="H95" s="343"/>
      <c r="I95" s="343"/>
      <c r="J95" s="343"/>
      <c r="K95" s="344"/>
      <c r="L95" s="221"/>
      <c r="M95" s="221"/>
      <c r="N95" s="221"/>
    </row>
    <row r="96" spans="1:14" ht="20.100000000000001" customHeight="1" thickBot="1" x14ac:dyDescent="0.3">
      <c r="A96" s="221"/>
      <c r="B96" s="349"/>
      <c r="C96" s="350"/>
      <c r="D96" s="350"/>
      <c r="E96" s="350"/>
      <c r="F96" s="345"/>
      <c r="G96" s="345"/>
      <c r="H96" s="345"/>
      <c r="I96" s="345"/>
      <c r="J96" s="345"/>
      <c r="K96" s="346"/>
      <c r="L96" s="221"/>
      <c r="M96" s="221"/>
      <c r="N96" s="221"/>
    </row>
    <row r="97" spans="1:14" s="272" customFormat="1" ht="20.100000000000001" customHeight="1" x14ac:dyDescent="0.25">
      <c r="A97" s="270"/>
      <c r="B97" s="271"/>
      <c r="D97" s="273"/>
      <c r="E97" s="273"/>
      <c r="F97" s="273"/>
      <c r="G97" s="273"/>
      <c r="H97" s="273"/>
      <c r="I97" s="273"/>
      <c r="J97" s="273"/>
      <c r="K97" s="270"/>
      <c r="L97" s="270"/>
      <c r="M97" s="270"/>
      <c r="N97" s="270"/>
    </row>
    <row r="98" spans="1:14" s="272" customFormat="1" ht="20.100000000000001" customHeight="1" x14ac:dyDescent="0.25">
      <c r="A98" s="270"/>
      <c r="B98" s="271"/>
      <c r="C98" s="273"/>
      <c r="D98" s="273"/>
      <c r="E98" s="273"/>
      <c r="F98" s="273"/>
      <c r="G98" s="273"/>
      <c r="H98" s="273"/>
      <c r="I98" s="273"/>
      <c r="J98" s="273"/>
      <c r="K98" s="270"/>
      <c r="L98" s="270"/>
      <c r="M98" s="270"/>
      <c r="N98" s="270"/>
    </row>
    <row r="99" spans="1:14" ht="53.25" customHeight="1" thickBot="1" x14ac:dyDescent="0.3">
      <c r="A99" s="221"/>
      <c r="B99" s="355" t="s">
        <v>236</v>
      </c>
      <c r="C99" s="356"/>
      <c r="D99" s="356"/>
      <c r="E99" s="356"/>
      <c r="F99" s="356"/>
      <c r="G99"/>
      <c r="H99"/>
      <c r="I99" s="269"/>
      <c r="J99" s="269"/>
      <c r="K99" s="221"/>
      <c r="L99" s="221"/>
      <c r="M99" s="221"/>
      <c r="N99" s="221"/>
    </row>
    <row r="100" spans="1:14" ht="62.25" customHeight="1" x14ac:dyDescent="0.25">
      <c r="A100" s="221"/>
      <c r="B100" s="327" t="s">
        <v>274</v>
      </c>
      <c r="C100" s="328"/>
      <c r="D100" s="347" t="s">
        <v>275</v>
      </c>
      <c r="E100" s="328"/>
      <c r="F100" s="347" t="s">
        <v>273</v>
      </c>
      <c r="G100" s="347"/>
      <c r="H100" s="347"/>
      <c r="I100" s="347" t="s">
        <v>276</v>
      </c>
      <c r="J100" s="347"/>
      <c r="K100" s="348"/>
      <c r="L100" s="221"/>
      <c r="M100" s="221"/>
      <c r="N100" s="221"/>
    </row>
    <row r="101" spans="1:14" ht="20.100000000000001" customHeight="1" x14ac:dyDescent="0.25">
      <c r="A101" s="221"/>
      <c r="B101" s="353"/>
      <c r="C101" s="354"/>
      <c r="D101" s="352"/>
      <c r="E101" s="352"/>
      <c r="F101" s="343"/>
      <c r="G101" s="343"/>
      <c r="H101" s="343"/>
      <c r="I101" s="343"/>
      <c r="J101" s="343"/>
      <c r="K101" s="344"/>
      <c r="L101" s="221"/>
      <c r="M101" s="221"/>
      <c r="N101" s="221"/>
    </row>
    <row r="102" spans="1:14" ht="20.100000000000001" customHeight="1" x14ac:dyDescent="0.25">
      <c r="A102" s="221"/>
      <c r="B102" s="353"/>
      <c r="C102" s="354"/>
      <c r="D102" s="352"/>
      <c r="E102" s="352"/>
      <c r="F102" s="343"/>
      <c r="G102" s="343"/>
      <c r="H102" s="343"/>
      <c r="I102" s="343"/>
      <c r="J102" s="343"/>
      <c r="K102" s="344"/>
      <c r="L102" s="221"/>
      <c r="M102" s="221"/>
      <c r="N102" s="221"/>
    </row>
    <row r="103" spans="1:14" ht="20.100000000000001" customHeight="1" x14ac:dyDescent="0.25">
      <c r="A103" s="221"/>
      <c r="B103" s="353"/>
      <c r="C103" s="354"/>
      <c r="D103" s="352"/>
      <c r="E103" s="352"/>
      <c r="F103" s="343"/>
      <c r="G103" s="343"/>
      <c r="H103" s="343"/>
      <c r="I103" s="343"/>
      <c r="J103" s="343"/>
      <c r="K103" s="344"/>
      <c r="L103" s="221"/>
      <c r="M103" s="221"/>
      <c r="N103" s="221"/>
    </row>
    <row r="104" spans="1:14" ht="20.100000000000001" customHeight="1" x14ac:dyDescent="0.25">
      <c r="A104" s="221"/>
      <c r="B104" s="353"/>
      <c r="C104" s="354"/>
      <c r="D104" s="352"/>
      <c r="E104" s="352"/>
      <c r="F104" s="343"/>
      <c r="G104" s="343"/>
      <c r="H104" s="343"/>
      <c r="I104" s="343"/>
      <c r="J104" s="343"/>
      <c r="K104" s="344"/>
      <c r="L104" s="221"/>
      <c r="M104" s="221"/>
      <c r="N104" s="221"/>
    </row>
    <row r="105" spans="1:14" ht="18.75" customHeight="1" x14ac:dyDescent="0.25">
      <c r="A105" s="221"/>
      <c r="B105" s="353"/>
      <c r="C105" s="354"/>
      <c r="D105" s="352"/>
      <c r="E105" s="352"/>
      <c r="F105" s="343"/>
      <c r="G105" s="343"/>
      <c r="H105" s="343"/>
      <c r="I105" s="343"/>
      <c r="J105" s="343"/>
      <c r="K105" s="344"/>
      <c r="L105" s="221"/>
      <c r="M105" s="221"/>
      <c r="N105" s="221"/>
    </row>
    <row r="106" spans="1:14" ht="20.100000000000001" customHeight="1" x14ac:dyDescent="0.25">
      <c r="A106" s="221"/>
      <c r="B106" s="351"/>
      <c r="C106" s="352"/>
      <c r="D106" s="352"/>
      <c r="E106" s="352"/>
      <c r="F106" s="343"/>
      <c r="G106" s="343"/>
      <c r="H106" s="343"/>
      <c r="I106" s="343"/>
      <c r="J106" s="343"/>
      <c r="K106" s="344"/>
      <c r="L106" s="221"/>
      <c r="M106" s="221"/>
      <c r="N106" s="221"/>
    </row>
    <row r="107" spans="1:14" ht="20.100000000000001" customHeight="1" x14ac:dyDescent="0.25">
      <c r="A107" s="221"/>
      <c r="B107" s="351"/>
      <c r="C107" s="352"/>
      <c r="D107" s="352"/>
      <c r="E107" s="352"/>
      <c r="F107" s="343"/>
      <c r="G107" s="343"/>
      <c r="H107" s="343"/>
      <c r="I107" s="343"/>
      <c r="J107" s="343"/>
      <c r="K107" s="344"/>
      <c r="L107" s="221"/>
      <c r="M107" s="221"/>
      <c r="N107" s="221"/>
    </row>
    <row r="108" spans="1:14" ht="20.100000000000001" customHeight="1" thickBot="1" x14ac:dyDescent="0.3">
      <c r="A108" s="221"/>
      <c r="B108" s="349"/>
      <c r="C108" s="350"/>
      <c r="D108" s="350"/>
      <c r="E108" s="350"/>
      <c r="F108" s="345"/>
      <c r="G108" s="345"/>
      <c r="H108" s="345"/>
      <c r="I108" s="345"/>
      <c r="J108" s="345"/>
      <c r="K108" s="346"/>
      <c r="L108" s="221"/>
      <c r="M108" s="221"/>
      <c r="N108" s="221"/>
    </row>
    <row r="109" spans="1:14" s="272" customFormat="1" ht="20.100000000000001" customHeight="1" x14ac:dyDescent="0.25">
      <c r="A109" s="270"/>
      <c r="B109" s="271"/>
      <c r="C109" s="273"/>
      <c r="D109" s="273"/>
      <c r="E109" s="273"/>
      <c r="F109" s="273"/>
      <c r="G109" s="273"/>
      <c r="H109" s="273"/>
      <c r="I109" s="273"/>
      <c r="J109" s="273"/>
      <c r="K109" s="270"/>
      <c r="L109" s="270"/>
      <c r="M109" s="270"/>
      <c r="N109" s="270"/>
    </row>
    <row r="110" spans="1:14" s="272" customFormat="1" ht="44.25" customHeight="1" thickBot="1" x14ac:dyDescent="0.3">
      <c r="A110" s="270"/>
      <c r="B110" s="313" t="s">
        <v>238</v>
      </c>
      <c r="C110" s="314"/>
      <c r="D110" s="314"/>
      <c r="E110" s="314"/>
      <c r="F110" s="314"/>
      <c r="G110" s="314"/>
      <c r="H110" s="314"/>
      <c r="I110" s="273"/>
      <c r="J110" s="273"/>
      <c r="K110" s="270"/>
      <c r="L110" s="270"/>
      <c r="M110" s="270"/>
      <c r="N110" s="270"/>
    </row>
    <row r="111" spans="1:14" s="277" customFormat="1" ht="39.75" customHeight="1" x14ac:dyDescent="0.25">
      <c r="A111" s="275"/>
      <c r="B111" s="276"/>
      <c r="C111" s="327" t="s">
        <v>277</v>
      </c>
      <c r="D111" s="328"/>
      <c r="E111" s="335" t="s">
        <v>278</v>
      </c>
      <c r="F111" s="335"/>
      <c r="G111" s="335"/>
      <c r="H111" s="336"/>
      <c r="I111" s="275"/>
      <c r="J111" s="275"/>
      <c r="K111" s="275"/>
      <c r="L111" s="275"/>
      <c r="M111" s="275"/>
      <c r="N111" s="275"/>
    </row>
    <row r="112" spans="1:14" s="277" customFormat="1" ht="38.25" customHeight="1" thickBot="1" x14ac:dyDescent="0.3">
      <c r="A112" s="275"/>
      <c r="B112" s="285"/>
      <c r="C112" s="329"/>
      <c r="D112" s="330"/>
      <c r="E112" s="337" t="s">
        <v>232</v>
      </c>
      <c r="F112" s="337"/>
      <c r="G112" s="337" t="s">
        <v>233</v>
      </c>
      <c r="H112" s="338"/>
      <c r="I112" s="275"/>
      <c r="J112" s="275"/>
      <c r="K112" s="275"/>
      <c r="L112" s="275"/>
      <c r="M112" s="275"/>
      <c r="N112" s="275"/>
    </row>
    <row r="113" spans="1:14" s="277" customFormat="1" ht="24.75" customHeight="1" x14ac:dyDescent="0.25">
      <c r="A113" s="275"/>
      <c r="B113" s="286" t="s">
        <v>234</v>
      </c>
      <c r="C113" s="331"/>
      <c r="D113" s="332"/>
      <c r="E113" s="339"/>
      <c r="F113" s="339"/>
      <c r="G113" s="341"/>
      <c r="H113" s="342"/>
      <c r="I113" s="275"/>
      <c r="J113" s="275"/>
      <c r="K113" s="275"/>
      <c r="L113" s="275"/>
      <c r="M113" s="275"/>
      <c r="N113" s="275"/>
    </row>
    <row r="114" spans="1:14" s="277" customFormat="1" ht="24.75" customHeight="1" thickBot="1" x14ac:dyDescent="0.3">
      <c r="A114" s="275"/>
      <c r="B114" s="287" t="s">
        <v>235</v>
      </c>
      <c r="C114" s="333"/>
      <c r="D114" s="334"/>
      <c r="E114" s="340"/>
      <c r="F114" s="340"/>
      <c r="G114" s="325"/>
      <c r="H114" s="326"/>
      <c r="I114" s="275"/>
      <c r="J114" s="275"/>
      <c r="K114" s="275"/>
      <c r="L114" s="275"/>
      <c r="M114" s="275"/>
      <c r="N114" s="275"/>
    </row>
    <row r="115" spans="1:14" s="284" customFormat="1" ht="24.75" customHeight="1" x14ac:dyDescent="0.25">
      <c r="A115" s="280"/>
      <c r="B115" s="281"/>
      <c r="C115" s="282"/>
      <c r="D115" s="282"/>
      <c r="E115" s="282"/>
      <c r="F115" s="282"/>
      <c r="G115" s="283"/>
      <c r="H115" s="283"/>
      <c r="I115" s="280"/>
      <c r="J115" s="280"/>
      <c r="K115" s="280"/>
      <c r="L115" s="280"/>
      <c r="M115" s="280"/>
      <c r="N115" s="280"/>
    </row>
    <row r="116" spans="1:14" s="284" customFormat="1" ht="24.75" customHeight="1" thickBot="1" x14ac:dyDescent="0.3">
      <c r="A116" s="280"/>
      <c r="B116" s="315" t="s">
        <v>239</v>
      </c>
      <c r="C116" s="315"/>
      <c r="D116" s="315"/>
      <c r="E116" s="315"/>
      <c r="F116" s="315"/>
      <c r="G116" s="283"/>
      <c r="H116" s="525" t="s">
        <v>240</v>
      </c>
      <c r="I116" s="525"/>
      <c r="J116" s="525"/>
      <c r="K116" s="525"/>
      <c r="L116" s="280"/>
      <c r="M116" s="280"/>
      <c r="N116" s="280"/>
    </row>
    <row r="117" spans="1:14" s="277" customFormat="1" ht="36" customHeight="1" x14ac:dyDescent="0.25">
      <c r="A117" s="275"/>
      <c r="B117" s="321" t="s">
        <v>274</v>
      </c>
      <c r="C117" s="322"/>
      <c r="D117" s="323" t="s">
        <v>279</v>
      </c>
      <c r="E117" s="324"/>
      <c r="F117" s="278"/>
      <c r="G117" s="279"/>
      <c r="H117" s="321" t="s">
        <v>274</v>
      </c>
      <c r="I117" s="322"/>
      <c r="J117" s="323" t="s">
        <v>279</v>
      </c>
      <c r="K117" s="324"/>
      <c r="L117" s="275"/>
      <c r="M117" s="275"/>
      <c r="N117" s="275"/>
    </row>
    <row r="118" spans="1:14" s="277" customFormat="1" ht="24.75" customHeight="1" thickBot="1" x14ac:dyDescent="0.3">
      <c r="A118" s="275"/>
      <c r="B118" s="317"/>
      <c r="C118" s="318"/>
      <c r="D118" s="319"/>
      <c r="E118" s="320"/>
      <c r="F118" s="278"/>
      <c r="G118" s="279"/>
      <c r="H118" s="317"/>
      <c r="I118" s="318"/>
      <c r="J118" s="319"/>
      <c r="K118" s="320"/>
      <c r="L118" s="275"/>
      <c r="M118" s="275"/>
      <c r="N118" s="275"/>
    </row>
    <row r="119" spans="1:14" s="284" customFormat="1" ht="24.75" customHeight="1" x14ac:dyDescent="0.25">
      <c r="A119" s="280"/>
      <c r="B119" s="281"/>
      <c r="C119" s="282"/>
      <c r="D119" s="282"/>
      <c r="E119" s="282"/>
      <c r="F119" s="282"/>
      <c r="G119" s="283"/>
      <c r="H119" s="283"/>
      <c r="I119" s="280"/>
      <c r="J119" s="280"/>
      <c r="K119" s="280"/>
      <c r="L119" s="280"/>
      <c r="M119" s="280"/>
      <c r="N119" s="280"/>
    </row>
    <row r="120" spans="1:14" ht="21.75" customHeight="1" thickBot="1" x14ac:dyDescent="0.35">
      <c r="A120" s="223"/>
      <c r="B120" s="223"/>
      <c r="C120" s="224"/>
      <c r="D120" s="224"/>
      <c r="E120" s="224"/>
      <c r="F120" s="224"/>
      <c r="G120" s="224"/>
      <c r="H120" s="224"/>
      <c r="I120" s="224"/>
      <c r="J120" s="224"/>
      <c r="K120" s="224"/>
      <c r="L120" s="224"/>
      <c r="M120" s="224"/>
      <c r="N120" s="224"/>
    </row>
    <row r="121" spans="1:14" ht="44.25" customHeight="1" thickTop="1" x14ac:dyDescent="0.25">
      <c r="A121" s="357" t="s">
        <v>212</v>
      </c>
      <c r="B121" s="357"/>
      <c r="C121" s="357"/>
      <c r="D121" s="357"/>
      <c r="E121" s="357"/>
      <c r="F121" s="357"/>
      <c r="G121" s="357"/>
      <c r="H121" s="357"/>
      <c r="I121" s="357"/>
      <c r="J121" s="357"/>
      <c r="K121" s="357"/>
      <c r="L121" s="357"/>
      <c r="M121" s="357"/>
      <c r="N121" s="357"/>
    </row>
    <row r="122" spans="1:14" ht="15.75" customHeight="1" x14ac:dyDescent="0.35">
      <c r="A122" s="361"/>
      <c r="B122" s="361"/>
      <c r="C122" s="361"/>
      <c r="D122" s="361"/>
      <c r="E122" s="5"/>
      <c r="F122" s="5"/>
      <c r="G122" s="225"/>
      <c r="H122" s="226"/>
      <c r="I122" s="227"/>
      <c r="J122" s="227"/>
      <c r="K122" s="228"/>
      <c r="L122" s="5"/>
      <c r="M122" s="5"/>
      <c r="N122" s="5"/>
    </row>
    <row r="123" spans="1:14" ht="45" customHeight="1" x14ac:dyDescent="0.35">
      <c r="A123" s="362" t="s">
        <v>213</v>
      </c>
      <c r="B123" s="362"/>
      <c r="C123" s="362"/>
      <c r="D123" s="362"/>
      <c r="E123" s="274"/>
      <c r="F123" s="363"/>
      <c r="G123" s="363"/>
      <c r="H123" s="362" t="s">
        <v>214</v>
      </c>
      <c r="I123" s="362"/>
      <c r="J123" s="362"/>
      <c r="K123" s="364"/>
      <c r="L123" s="364"/>
      <c r="M123" s="5"/>
      <c r="N123" s="5"/>
    </row>
    <row r="124" spans="1:14" ht="21.75" customHeight="1" thickBot="1" x14ac:dyDescent="0.3">
      <c r="A124" s="229"/>
      <c r="B124" s="229"/>
      <c r="C124" s="150"/>
      <c r="D124" s="150"/>
      <c r="E124" s="150"/>
      <c r="F124" s="150"/>
      <c r="G124" s="150"/>
      <c r="H124" s="150"/>
      <c r="I124" s="150"/>
      <c r="J124" s="150"/>
      <c r="K124" s="150"/>
      <c r="L124" s="150"/>
      <c r="M124" s="150"/>
      <c r="N124" s="150"/>
    </row>
    <row r="125" spans="1:14" customFormat="1" ht="21" customHeight="1" thickTop="1" x14ac:dyDescent="0.25">
      <c r="A125" s="357" t="s">
        <v>215</v>
      </c>
      <c r="B125" s="357"/>
      <c r="C125" s="357"/>
      <c r="D125" s="357"/>
      <c r="E125" s="357"/>
      <c r="F125" s="357"/>
      <c r="G125" s="357"/>
      <c r="H125" s="357"/>
      <c r="I125" s="357"/>
      <c r="J125" s="357"/>
      <c r="K125" s="357"/>
      <c r="L125" s="357"/>
      <c r="M125" s="357"/>
      <c r="N125" s="357"/>
    </row>
    <row r="126" spans="1:14" customFormat="1" x14ac:dyDescent="0.25">
      <c r="A126" s="230"/>
      <c r="B126" s="230"/>
      <c r="C126" s="230"/>
      <c r="D126" s="146"/>
      <c r="E126" s="146"/>
      <c r="F126" s="146"/>
      <c r="G126" s="146"/>
      <c r="H126" s="1"/>
      <c r="I126" s="1"/>
      <c r="J126" s="1"/>
      <c r="K126" s="1"/>
      <c r="L126" s="1"/>
      <c r="M126" s="1"/>
      <c r="N126" s="1"/>
    </row>
    <row r="127" spans="1:14" customFormat="1" ht="96.75" customHeight="1" x14ac:dyDescent="0.25">
      <c r="A127" s="231" t="s">
        <v>216</v>
      </c>
      <c r="B127" s="358" t="s">
        <v>217</v>
      </c>
      <c r="C127" s="358"/>
      <c r="D127" s="358"/>
      <c r="E127" s="358"/>
      <c r="F127" s="358"/>
      <c r="G127" s="358"/>
      <c r="H127" s="358"/>
      <c r="I127" s="358"/>
      <c r="J127" s="358"/>
      <c r="K127" s="358"/>
      <c r="L127" s="358"/>
      <c r="M127" s="358"/>
      <c r="N127" s="358"/>
    </row>
    <row r="128" spans="1:14" customFormat="1" ht="78.75" customHeight="1" x14ac:dyDescent="0.25">
      <c r="A128" s="231" t="s">
        <v>216</v>
      </c>
      <c r="B128" s="359" t="s">
        <v>218</v>
      </c>
      <c r="C128" s="359"/>
      <c r="D128" s="359"/>
      <c r="E128" s="359"/>
      <c r="F128" s="359"/>
      <c r="G128" s="359"/>
      <c r="H128" s="359"/>
      <c r="I128" s="359"/>
      <c r="J128" s="359"/>
      <c r="K128" s="359"/>
      <c r="L128" s="359"/>
      <c r="M128" s="359"/>
      <c r="N128" s="359"/>
    </row>
    <row r="129" spans="1:14" customFormat="1" ht="39.75" customHeight="1" x14ac:dyDescent="0.25">
      <c r="A129" s="231" t="s">
        <v>216</v>
      </c>
      <c r="B129" s="316" t="s">
        <v>219</v>
      </c>
      <c r="C129" s="316"/>
      <c r="D129" s="316"/>
      <c r="E129" s="316"/>
      <c r="F129" s="360"/>
      <c r="G129" s="360"/>
      <c r="H129" s="360"/>
      <c r="I129" s="360"/>
      <c r="J129" s="232"/>
      <c r="K129" s="232"/>
      <c r="L129" s="233"/>
      <c r="M129" s="234"/>
      <c r="N129" s="235"/>
    </row>
    <row r="130" spans="1:14" customFormat="1" ht="48.75" customHeight="1" x14ac:dyDescent="0.25">
      <c r="A130" s="231" t="s">
        <v>216</v>
      </c>
      <c r="B130" s="316" t="s">
        <v>220</v>
      </c>
      <c r="C130" s="316"/>
      <c r="D130" s="316"/>
      <c r="E130" s="316"/>
      <c r="F130" s="316" t="s">
        <v>221</v>
      </c>
      <c r="G130" s="316"/>
      <c r="H130" s="316"/>
      <c r="I130" s="316"/>
      <c r="J130" s="316"/>
      <c r="K130" s="316"/>
      <c r="L130" s="316"/>
      <c r="M130" s="316"/>
      <c r="N130" s="316"/>
    </row>
    <row r="131" spans="1:14" customFormat="1" ht="43.5" customHeight="1" x14ac:dyDescent="0.25">
      <c r="A131" s="231" t="s">
        <v>216</v>
      </c>
      <c r="B131" s="316" t="s">
        <v>222</v>
      </c>
      <c r="C131" s="316"/>
      <c r="D131" s="316"/>
      <c r="E131" s="316"/>
      <c r="F131" s="316" t="s">
        <v>223</v>
      </c>
      <c r="G131" s="316"/>
      <c r="H131" s="236"/>
      <c r="I131" s="236"/>
      <c r="J131" s="236"/>
      <c r="K131" s="236"/>
      <c r="L131" s="236"/>
      <c r="M131" s="233"/>
      <c r="N131" s="236"/>
    </row>
    <row r="132" spans="1:14" customFormat="1" ht="49.5" customHeight="1" x14ac:dyDescent="0.25">
      <c r="A132" s="231" t="s">
        <v>216</v>
      </c>
      <c r="B132" s="316" t="s">
        <v>224</v>
      </c>
      <c r="C132" s="316"/>
      <c r="D132" s="316"/>
      <c r="E132" s="316"/>
      <c r="F132" s="316"/>
      <c r="G132" s="316"/>
      <c r="H132" s="316"/>
      <c r="I132" s="316"/>
      <c r="J132" s="316"/>
      <c r="K132" s="316"/>
      <c r="L132" s="316"/>
      <c r="M132" s="316"/>
      <c r="N132" s="316"/>
    </row>
    <row r="133" spans="1:14" customFormat="1" ht="49.5" customHeight="1" x14ac:dyDescent="0.25">
      <c r="A133" s="231" t="s">
        <v>216</v>
      </c>
      <c r="B133" s="316" t="s">
        <v>272</v>
      </c>
      <c r="C133" s="316"/>
      <c r="D133" s="316"/>
      <c r="E133" s="316"/>
      <c r="F133" s="316"/>
      <c r="G133" s="316"/>
      <c r="H133" s="316"/>
      <c r="I133" s="316"/>
      <c r="J133" s="316"/>
      <c r="K133" s="316"/>
      <c r="L133" s="316"/>
      <c r="M133" s="316"/>
      <c r="N133" s="316"/>
    </row>
    <row r="134" spans="1:14" customFormat="1" ht="49.5" customHeight="1" x14ac:dyDescent="0.25">
      <c r="A134" s="231"/>
      <c r="B134" s="234"/>
      <c r="C134" s="234"/>
      <c r="D134" s="234"/>
      <c r="E134" s="234"/>
      <c r="F134" s="234"/>
      <c r="G134" s="234"/>
      <c r="H134" s="234"/>
      <c r="I134" s="234"/>
      <c r="J134" s="234"/>
      <c r="K134" s="234"/>
      <c r="L134" s="234"/>
      <c r="M134" s="234"/>
      <c r="N134" s="234"/>
    </row>
    <row r="135" spans="1:14" customFormat="1" ht="49.5" customHeight="1" x14ac:dyDescent="0.25">
      <c r="A135" s="231"/>
      <c r="B135" s="234"/>
      <c r="C135" s="234"/>
      <c r="D135" s="234"/>
      <c r="E135" s="234"/>
      <c r="F135" s="234"/>
      <c r="G135" s="234"/>
      <c r="H135" s="234"/>
      <c r="I135" s="234"/>
      <c r="J135" s="234"/>
      <c r="K135" s="234"/>
      <c r="L135" s="234"/>
      <c r="M135" s="234"/>
      <c r="N135" s="234"/>
    </row>
    <row r="136" spans="1:14" customFormat="1" ht="49.5" customHeight="1" x14ac:dyDescent="0.25">
      <c r="A136" s="231"/>
      <c r="B136" s="234"/>
      <c r="C136" s="234"/>
      <c r="D136" s="234"/>
      <c r="E136" s="234"/>
      <c r="F136" s="234"/>
      <c r="G136" s="234"/>
      <c r="H136" s="234"/>
      <c r="I136" s="234"/>
      <c r="J136" s="234"/>
      <c r="K136" s="234"/>
      <c r="L136" s="234"/>
      <c r="M136" s="234"/>
      <c r="N136" s="234"/>
    </row>
    <row r="137" spans="1:14" ht="45" customHeight="1" x14ac:dyDescent="0.3">
      <c r="A137" s="237"/>
      <c r="B137" s="237"/>
      <c r="C137" s="238"/>
      <c r="D137" s="238"/>
      <c r="E137" s="238"/>
      <c r="F137" s="238"/>
      <c r="G137" s="239"/>
      <c r="H137" s="239"/>
      <c r="I137" s="239"/>
      <c r="J137" s="239"/>
      <c r="K137" s="239"/>
      <c r="L137" s="239"/>
      <c r="M137" s="240"/>
      <c r="N137" s="241"/>
    </row>
    <row r="138" spans="1:14" ht="59.25" customHeight="1" x14ac:dyDescent="0.3">
      <c r="A138" s="242"/>
      <c r="B138" s="242"/>
      <c r="C138" s="242"/>
      <c r="D138" s="242"/>
      <c r="E138" s="143"/>
      <c r="F138" s="143"/>
      <c r="G138" s="243"/>
      <c r="H138" s="244"/>
      <c r="I138" s="143"/>
      <c r="J138" s="143"/>
      <c r="K138" s="143"/>
      <c r="L138" s="143"/>
      <c r="M138" s="143"/>
      <c r="N138" s="143"/>
    </row>
    <row r="139" spans="1:14" ht="59.25" customHeight="1" x14ac:dyDescent="0.3">
      <c r="A139" s="242"/>
      <c r="B139" s="242"/>
      <c r="C139" s="242"/>
      <c r="D139" s="242"/>
      <c r="E139" s="143"/>
      <c r="F139" s="143"/>
      <c r="G139" s="243"/>
      <c r="H139" s="244"/>
      <c r="I139" s="143"/>
      <c r="J139" s="143"/>
      <c r="K139" s="143"/>
      <c r="L139" s="143"/>
      <c r="M139" s="143"/>
      <c r="N139" s="143"/>
    </row>
    <row r="140" spans="1:14" s="3" customFormat="1" ht="30.75" customHeight="1" x14ac:dyDescent="0.3">
      <c r="A140"/>
      <c r="B140"/>
      <c r="C140"/>
      <c r="D140"/>
      <c r="E140"/>
      <c r="F140"/>
      <c r="G140"/>
      <c r="H140"/>
      <c r="I140"/>
      <c r="J140"/>
      <c r="K140"/>
      <c r="L140"/>
      <c r="M140"/>
      <c r="N140"/>
    </row>
    <row r="141" spans="1:14" s="3" customFormat="1" ht="43.5" customHeight="1" x14ac:dyDescent="0.3">
      <c r="A141"/>
      <c r="B141"/>
      <c r="C141"/>
      <c r="D141"/>
      <c r="E141"/>
      <c r="F141"/>
      <c r="G141"/>
      <c r="H141"/>
      <c r="I141"/>
      <c r="J141"/>
      <c r="K141"/>
      <c r="L141"/>
      <c r="M141"/>
      <c r="N141"/>
    </row>
    <row r="142" spans="1:14" ht="39" customHeight="1" x14ac:dyDescent="0.25">
      <c r="A142"/>
      <c r="B142"/>
      <c r="C142"/>
      <c r="D142"/>
      <c r="E142"/>
      <c r="F142"/>
      <c r="G142"/>
      <c r="H142"/>
      <c r="I142"/>
      <c r="J142"/>
      <c r="K142"/>
      <c r="L142"/>
      <c r="M142"/>
      <c r="N142"/>
    </row>
    <row r="143" spans="1:14" ht="39" customHeight="1" x14ac:dyDescent="0.25">
      <c r="A143"/>
      <c r="B143"/>
      <c r="C143"/>
      <c r="D143"/>
      <c r="E143"/>
      <c r="F143"/>
      <c r="G143"/>
      <c r="H143"/>
      <c r="I143"/>
      <c r="J143"/>
      <c r="K143"/>
      <c r="L143"/>
      <c r="M143"/>
      <c r="N143"/>
    </row>
    <row r="144" spans="1:14" ht="37.5" customHeight="1" x14ac:dyDescent="0.25">
      <c r="A144"/>
      <c r="B144"/>
      <c r="C144"/>
      <c r="D144"/>
      <c r="E144"/>
      <c r="F144"/>
      <c r="G144"/>
      <c r="H144"/>
      <c r="I144"/>
      <c r="J144"/>
      <c r="K144"/>
      <c r="L144"/>
      <c r="M144"/>
      <c r="N144"/>
    </row>
    <row r="145" spans="1:14" x14ac:dyDescent="0.25">
      <c r="A145"/>
      <c r="B145"/>
      <c r="C145"/>
      <c r="D145"/>
      <c r="E145"/>
      <c r="F145"/>
      <c r="G145"/>
      <c r="H145"/>
      <c r="I145"/>
      <c r="J145"/>
      <c r="K145"/>
      <c r="L145"/>
      <c r="M145"/>
      <c r="N145"/>
    </row>
    <row r="146" spans="1:14" ht="15" customHeight="1" x14ac:dyDescent="0.25">
      <c r="A146"/>
      <c r="B146"/>
      <c r="C146"/>
      <c r="D146"/>
      <c r="E146"/>
      <c r="F146"/>
      <c r="G146"/>
      <c r="H146"/>
      <c r="I146"/>
      <c r="J146"/>
      <c r="K146"/>
      <c r="L146"/>
      <c r="M146"/>
      <c r="N146"/>
    </row>
    <row r="147" spans="1:14" ht="24" customHeight="1" x14ac:dyDescent="0.25">
      <c r="A147"/>
      <c r="B147"/>
      <c r="C147"/>
      <c r="D147"/>
      <c r="E147"/>
      <c r="F147"/>
      <c r="G147"/>
      <c r="H147"/>
      <c r="I147"/>
      <c r="J147"/>
      <c r="K147"/>
      <c r="L147"/>
      <c r="M147"/>
      <c r="N147"/>
    </row>
    <row r="148" spans="1:14" ht="15" customHeight="1" x14ac:dyDescent="0.25">
      <c r="A148"/>
      <c r="B148"/>
      <c r="C148"/>
      <c r="D148"/>
      <c r="E148"/>
      <c r="F148"/>
      <c r="G148"/>
      <c r="H148"/>
      <c r="I148"/>
      <c r="J148"/>
      <c r="K148"/>
      <c r="L148"/>
      <c r="M148"/>
      <c r="N148"/>
    </row>
    <row r="149" spans="1:14" ht="24.75" customHeight="1" x14ac:dyDescent="0.25">
      <c r="A149"/>
      <c r="B149"/>
      <c r="C149"/>
      <c r="D149"/>
      <c r="E149"/>
      <c r="F149"/>
      <c r="G149"/>
      <c r="H149"/>
      <c r="I149"/>
      <c r="J149"/>
      <c r="K149"/>
      <c r="L149"/>
      <c r="M149"/>
      <c r="N149"/>
    </row>
    <row r="150" spans="1:14" ht="15" customHeight="1" x14ac:dyDescent="0.25">
      <c r="A150"/>
      <c r="B150"/>
      <c r="C150"/>
      <c r="D150"/>
      <c r="E150"/>
      <c r="F150"/>
      <c r="G150"/>
      <c r="H150"/>
      <c r="I150"/>
      <c r="J150"/>
      <c r="K150"/>
      <c r="L150"/>
      <c r="M150"/>
      <c r="N150"/>
    </row>
    <row r="151" spans="1:14" ht="38.25" customHeight="1" x14ac:dyDescent="0.25">
      <c r="A151"/>
      <c r="B151"/>
      <c r="C151"/>
      <c r="D151"/>
      <c r="E151"/>
      <c r="F151"/>
      <c r="G151"/>
      <c r="H151"/>
      <c r="I151"/>
      <c r="J151"/>
      <c r="K151"/>
      <c r="L151"/>
      <c r="M151"/>
      <c r="N151"/>
    </row>
    <row r="152" spans="1:14" ht="38.25" customHeight="1" x14ac:dyDescent="0.25">
      <c r="A152"/>
      <c r="B152"/>
      <c r="C152"/>
      <c r="D152"/>
      <c r="E152"/>
      <c r="F152"/>
      <c r="G152"/>
      <c r="H152"/>
      <c r="I152"/>
      <c r="J152"/>
      <c r="K152"/>
      <c r="L152"/>
      <c r="M152"/>
      <c r="N152"/>
    </row>
    <row r="153" spans="1:14" ht="38.25" customHeight="1" x14ac:dyDescent="0.25">
      <c r="A153"/>
      <c r="B153"/>
      <c r="C153"/>
      <c r="D153"/>
      <c r="E153"/>
      <c r="F153"/>
      <c r="G153"/>
      <c r="H153"/>
      <c r="I153"/>
      <c r="J153"/>
      <c r="K153"/>
      <c r="L153"/>
      <c r="M153"/>
      <c r="N153"/>
    </row>
    <row r="154" spans="1:14" ht="38.25" customHeight="1" x14ac:dyDescent="0.25">
      <c r="A154"/>
      <c r="B154"/>
      <c r="C154"/>
      <c r="D154"/>
      <c r="E154"/>
      <c r="F154"/>
      <c r="G154"/>
      <c r="H154"/>
      <c r="I154"/>
      <c r="J154"/>
      <c r="K154"/>
      <c r="L154"/>
      <c r="M154"/>
      <c r="N154"/>
    </row>
    <row r="155" spans="1:14" ht="38.25" customHeight="1" x14ac:dyDescent="0.25">
      <c r="A155"/>
      <c r="B155"/>
      <c r="C155"/>
      <c r="D155"/>
      <c r="E155"/>
      <c r="F155"/>
      <c r="G155"/>
      <c r="H155"/>
      <c r="I155"/>
      <c r="J155"/>
      <c r="K155"/>
      <c r="L155"/>
      <c r="M155"/>
      <c r="N155"/>
    </row>
    <row r="156" spans="1:14" ht="38.25" customHeight="1" x14ac:dyDescent="0.25">
      <c r="A156"/>
      <c r="B156"/>
      <c r="C156"/>
      <c r="D156"/>
      <c r="E156"/>
      <c r="F156"/>
      <c r="G156"/>
      <c r="H156"/>
      <c r="I156"/>
      <c r="J156"/>
      <c r="K156"/>
      <c r="L156"/>
      <c r="M156"/>
      <c r="N156"/>
    </row>
    <row r="157" spans="1:14" ht="15" customHeight="1" x14ac:dyDescent="0.25">
      <c r="A157"/>
      <c r="B157"/>
      <c r="C157"/>
      <c r="D157"/>
      <c r="E157"/>
      <c r="F157"/>
      <c r="G157"/>
      <c r="H157"/>
      <c r="I157"/>
      <c r="J157"/>
      <c r="K157"/>
      <c r="L157"/>
      <c r="M157"/>
      <c r="N157"/>
    </row>
    <row r="158" spans="1:14" ht="15" customHeight="1" x14ac:dyDescent="0.25">
      <c r="A158"/>
      <c r="B158"/>
      <c r="C158"/>
      <c r="D158"/>
      <c r="E158"/>
      <c r="F158"/>
      <c r="G158"/>
      <c r="H158"/>
      <c r="I158"/>
      <c r="J158"/>
      <c r="K158"/>
      <c r="L158"/>
      <c r="M158"/>
      <c r="N158"/>
    </row>
    <row r="159" spans="1:14" ht="15" customHeight="1" x14ac:dyDescent="0.25">
      <c r="A159"/>
      <c r="B159"/>
      <c r="C159"/>
      <c r="D159"/>
      <c r="E159"/>
      <c r="F159"/>
      <c r="G159"/>
      <c r="H159"/>
      <c r="I159"/>
      <c r="J159"/>
      <c r="K159"/>
      <c r="L159"/>
      <c r="M159"/>
      <c r="N159"/>
    </row>
    <row r="160" spans="1:14" ht="74.25" customHeight="1" x14ac:dyDescent="0.25">
      <c r="A160"/>
      <c r="B160"/>
      <c r="C160"/>
      <c r="D160"/>
      <c r="E160"/>
      <c r="F160"/>
      <c r="G160"/>
      <c r="H160"/>
      <c r="I160"/>
      <c r="J160"/>
      <c r="K160"/>
      <c r="L160"/>
      <c r="M160"/>
      <c r="N160"/>
    </row>
    <row r="161" spans="1:14" ht="74.25" customHeight="1" x14ac:dyDescent="0.25">
      <c r="A161"/>
      <c r="B161"/>
      <c r="C161"/>
      <c r="D161"/>
      <c r="E161"/>
      <c r="F161"/>
      <c r="G161"/>
      <c r="H161"/>
      <c r="I161"/>
      <c r="J161"/>
      <c r="K161"/>
      <c r="L161"/>
      <c r="M161"/>
      <c r="N161"/>
    </row>
    <row r="162" spans="1:14" ht="74.25" customHeight="1" x14ac:dyDescent="0.25">
      <c r="A162"/>
      <c r="B162"/>
      <c r="C162"/>
      <c r="D162"/>
      <c r="E162"/>
      <c r="F162"/>
      <c r="G162"/>
      <c r="H162"/>
      <c r="I162"/>
      <c r="J162"/>
      <c r="K162"/>
      <c r="L162"/>
      <c r="M162"/>
      <c r="N162"/>
    </row>
    <row r="163" spans="1:14" ht="74.25" customHeight="1" x14ac:dyDescent="0.25">
      <c r="A163"/>
      <c r="B163"/>
      <c r="C163"/>
      <c r="D163"/>
      <c r="E163"/>
      <c r="F163"/>
      <c r="G163"/>
      <c r="H163"/>
      <c r="I163"/>
      <c r="J163"/>
      <c r="K163"/>
      <c r="L163"/>
      <c r="M163"/>
      <c r="N163"/>
    </row>
    <row r="164" spans="1:14" ht="74.25" customHeight="1" x14ac:dyDescent="0.25">
      <c r="A164"/>
      <c r="B164"/>
      <c r="C164"/>
      <c r="D164"/>
      <c r="E164"/>
      <c r="F164"/>
      <c r="G164"/>
      <c r="H164"/>
      <c r="I164"/>
      <c r="J164"/>
      <c r="K164"/>
      <c r="L164"/>
      <c r="M164"/>
      <c r="N164"/>
    </row>
    <row r="165" spans="1:14" ht="74.25" customHeight="1" x14ac:dyDescent="0.25">
      <c r="A165"/>
      <c r="B165"/>
      <c r="C165"/>
      <c r="D165"/>
      <c r="E165"/>
      <c r="F165"/>
      <c r="G165"/>
      <c r="H165"/>
      <c r="I165"/>
      <c r="J165"/>
      <c r="K165"/>
      <c r="L165"/>
      <c r="M165"/>
      <c r="N165"/>
    </row>
    <row r="166" spans="1:14" x14ac:dyDescent="0.25">
      <c r="A166"/>
      <c r="B166"/>
      <c r="C166"/>
      <c r="D166"/>
      <c r="E166"/>
      <c r="F166"/>
      <c r="G166"/>
      <c r="H166"/>
      <c r="I166"/>
      <c r="J166"/>
      <c r="K166"/>
      <c r="L166"/>
      <c r="M166"/>
      <c r="N166"/>
    </row>
    <row r="167" spans="1:14" x14ac:dyDescent="0.25">
      <c r="A167"/>
      <c r="B167"/>
      <c r="C167"/>
      <c r="D167"/>
      <c r="E167"/>
      <c r="F167"/>
      <c r="G167"/>
      <c r="H167"/>
      <c r="I167"/>
      <c r="J167"/>
      <c r="K167"/>
      <c r="L167"/>
      <c r="M167"/>
      <c r="N167"/>
    </row>
    <row r="168" spans="1:14" hidden="1" x14ac:dyDescent="0.25">
      <c r="A168"/>
      <c r="B168"/>
      <c r="C168"/>
      <c r="D168"/>
      <c r="E168"/>
      <c r="F168"/>
      <c r="G168"/>
      <c r="H168"/>
      <c r="I168"/>
      <c r="J168"/>
      <c r="K168"/>
      <c r="L168"/>
      <c r="M168"/>
      <c r="N168"/>
    </row>
    <row r="169" spans="1:14" hidden="1" x14ac:dyDescent="0.25">
      <c r="A169"/>
      <c r="B169"/>
      <c r="C169"/>
      <c r="D169"/>
      <c r="E169"/>
      <c r="F169"/>
      <c r="G169"/>
      <c r="H169"/>
      <c r="I169"/>
      <c r="J169"/>
      <c r="K169"/>
      <c r="L169"/>
      <c r="M169"/>
      <c r="N169"/>
    </row>
    <row r="170" spans="1:14" hidden="1" x14ac:dyDescent="0.25">
      <c r="A170"/>
      <c r="B170"/>
      <c r="C170"/>
      <c r="D170"/>
      <c r="E170"/>
      <c r="F170"/>
      <c r="G170"/>
      <c r="H170"/>
      <c r="I170"/>
      <c r="J170"/>
      <c r="K170"/>
      <c r="L170"/>
      <c r="M170"/>
      <c r="N170"/>
    </row>
    <row r="171" spans="1:14" ht="24.75" customHeight="1" x14ac:dyDescent="0.25">
      <c r="A171"/>
      <c r="B171"/>
      <c r="C171"/>
      <c r="D171"/>
      <c r="E171"/>
      <c r="F171"/>
      <c r="G171"/>
      <c r="H171"/>
      <c r="I171"/>
      <c r="J171"/>
      <c r="K171"/>
      <c r="L171"/>
      <c r="M171"/>
      <c r="N171"/>
    </row>
    <row r="172" spans="1:14" ht="232.5" customHeight="1" x14ac:dyDescent="0.25">
      <c r="A172"/>
      <c r="B172"/>
      <c r="C172"/>
      <c r="D172"/>
      <c r="E172"/>
      <c r="F172"/>
      <c r="G172"/>
      <c r="H172"/>
      <c r="I172"/>
      <c r="J172"/>
      <c r="K172"/>
      <c r="L172"/>
      <c r="M172"/>
      <c r="N172"/>
    </row>
    <row r="173" spans="1:14" x14ac:dyDescent="0.25">
      <c r="A173"/>
      <c r="B173"/>
      <c r="C173"/>
      <c r="D173"/>
      <c r="E173"/>
      <c r="F173"/>
      <c r="G173"/>
      <c r="H173"/>
      <c r="I173"/>
      <c r="J173"/>
      <c r="K173"/>
      <c r="L173"/>
      <c r="M173"/>
      <c r="N173"/>
    </row>
    <row r="174" spans="1:14" x14ac:dyDescent="0.25">
      <c r="A174"/>
      <c r="B174"/>
      <c r="C174"/>
      <c r="D174"/>
      <c r="E174"/>
      <c r="F174"/>
      <c r="G174"/>
      <c r="H174"/>
      <c r="I174"/>
      <c r="J174"/>
      <c r="K174"/>
      <c r="L174"/>
      <c r="M174"/>
      <c r="N174"/>
    </row>
    <row r="175" spans="1:14" x14ac:dyDescent="0.25">
      <c r="A175"/>
      <c r="B175"/>
      <c r="C175"/>
      <c r="D175"/>
      <c r="E175"/>
      <c r="F175"/>
      <c r="G175"/>
      <c r="H175"/>
      <c r="I175"/>
      <c r="J175"/>
      <c r="K175"/>
      <c r="L175"/>
      <c r="M175"/>
      <c r="N175"/>
    </row>
    <row r="176" spans="1:14" x14ac:dyDescent="0.25">
      <c r="A176"/>
      <c r="B176"/>
      <c r="C176"/>
      <c r="D176"/>
      <c r="E176"/>
      <c r="F176"/>
      <c r="G176"/>
      <c r="H176"/>
      <c r="I176"/>
      <c r="J176"/>
      <c r="K176"/>
      <c r="L176"/>
      <c r="M176"/>
      <c r="N176"/>
    </row>
    <row r="177" spans="1:14" x14ac:dyDescent="0.25">
      <c r="A177"/>
      <c r="B177"/>
      <c r="C177"/>
      <c r="D177"/>
      <c r="E177"/>
      <c r="F177"/>
      <c r="G177"/>
      <c r="H177"/>
      <c r="I177"/>
      <c r="J177"/>
      <c r="K177"/>
      <c r="L177"/>
      <c r="M177"/>
      <c r="N177"/>
    </row>
    <row r="178" spans="1:14" x14ac:dyDescent="0.25">
      <c r="A178"/>
      <c r="B178"/>
      <c r="C178"/>
      <c r="D178"/>
      <c r="E178"/>
      <c r="F178"/>
      <c r="G178"/>
      <c r="H178"/>
      <c r="I178"/>
      <c r="J178"/>
      <c r="K178"/>
      <c r="L178"/>
      <c r="M178"/>
      <c r="N178"/>
    </row>
    <row r="179" spans="1:14" x14ac:dyDescent="0.25">
      <c r="A179"/>
      <c r="B179"/>
      <c r="C179"/>
      <c r="D179"/>
      <c r="E179"/>
      <c r="F179"/>
      <c r="G179"/>
      <c r="H179"/>
      <c r="I179"/>
      <c r="J179"/>
      <c r="K179"/>
      <c r="L179"/>
      <c r="M179"/>
      <c r="N179"/>
    </row>
    <row r="180" spans="1:14" s="169" customFormat="1" x14ac:dyDescent="0.25">
      <c r="A180"/>
      <c r="B180"/>
      <c r="C180"/>
      <c r="D180"/>
      <c r="E180"/>
      <c r="F180"/>
      <c r="G180"/>
      <c r="H180"/>
      <c r="I180"/>
      <c r="J180"/>
      <c r="K180"/>
      <c r="L180"/>
      <c r="M180"/>
      <c r="N180"/>
    </row>
    <row r="181" spans="1:14" x14ac:dyDescent="0.25">
      <c r="A181"/>
      <c r="B181"/>
      <c r="C181"/>
      <c r="D181"/>
      <c r="E181"/>
      <c r="F181"/>
      <c r="G181"/>
      <c r="H181"/>
      <c r="I181"/>
      <c r="J181"/>
      <c r="K181"/>
      <c r="L181"/>
      <c r="M181"/>
      <c r="N181"/>
    </row>
  </sheetData>
  <protectedRanges>
    <protectedRange sqref="M4 C12 K22 M49 A54:N72 M19 F123 K123 N143 M17 G113:G119 A157:N172 A120:N120 E113:F113 C114:D116 L87:N119 C119:D119 A137:N137 A33:N34 M42:N42 G44 J42 D44 D8:J9 M8:N9 C14:D19 L12 H14:H19 N12:N19 L14 M13 L16 M15 L18 D97 A97:B98 A88:A96 D88:D89 A87:C87 B88:B89 C98 A99:A119 C109:C113 B99:C99 D117:D118 I116:J116 J117:J118 H114:H118 H119:K119 B109:B119 I113:K115 D100:D101 B100:B101" name="Datos"/>
    <protectedRange sqref="I130:L131 N131 I127:N127 H129:H130 M129:N129 K129 I132:N136 A127:B127 D127:F127 A129:F130 A131:E131 D132:F136 A132:B136" name="Datos_1"/>
    <protectedRange sqref="I128:N128 A128:B128 D128:F128" name="Datos_1_1"/>
  </protectedRanges>
  <mergeCells count="279">
    <mergeCell ref="A7:N7"/>
    <mergeCell ref="A8:C8"/>
    <mergeCell ref="D8:N8"/>
    <mergeCell ref="A9:C9"/>
    <mergeCell ref="D9:N9"/>
    <mergeCell ref="A11:N11"/>
    <mergeCell ref="A1:J2"/>
    <mergeCell ref="A3:J4"/>
    <mergeCell ref="K4:L4"/>
    <mergeCell ref="M4:N4"/>
    <mergeCell ref="A5:J5"/>
    <mergeCell ref="M5:N5"/>
    <mergeCell ref="A12:B12"/>
    <mergeCell ref="C12:G13"/>
    <mergeCell ref="H12:H19"/>
    <mergeCell ref="I12:K12"/>
    <mergeCell ref="L12:N13"/>
    <mergeCell ref="A13:B13"/>
    <mergeCell ref="I13:K13"/>
    <mergeCell ref="A14:B14"/>
    <mergeCell ref="C14:G15"/>
    <mergeCell ref="I14:K14"/>
    <mergeCell ref="A18:B18"/>
    <mergeCell ref="C18:G19"/>
    <mergeCell ref="I18:K18"/>
    <mergeCell ref="L18:N19"/>
    <mergeCell ref="A19:B19"/>
    <mergeCell ref="I19:K19"/>
    <mergeCell ref="L14:N15"/>
    <mergeCell ref="A15:B15"/>
    <mergeCell ref="I15:K15"/>
    <mergeCell ref="A16:B16"/>
    <mergeCell ref="C16:G17"/>
    <mergeCell ref="I16:K16"/>
    <mergeCell ref="L16:N17"/>
    <mergeCell ref="A17:B17"/>
    <mergeCell ref="I17:K17"/>
    <mergeCell ref="A21:N21"/>
    <mergeCell ref="A22:C22"/>
    <mergeCell ref="D22:E23"/>
    <mergeCell ref="F22:H22"/>
    <mergeCell ref="I22:J23"/>
    <mergeCell ref="K22:M22"/>
    <mergeCell ref="N22:N23"/>
    <mergeCell ref="A23:C23"/>
    <mergeCell ref="F23:H23"/>
    <mergeCell ref="K23:M23"/>
    <mergeCell ref="A27:D27"/>
    <mergeCell ref="E27:I27"/>
    <mergeCell ref="J27:L27"/>
    <mergeCell ref="M27:N27"/>
    <mergeCell ref="A28:D28"/>
    <mergeCell ref="E28:I28"/>
    <mergeCell ref="J28:L28"/>
    <mergeCell ref="M28:N28"/>
    <mergeCell ref="C24:D24"/>
    <mergeCell ref="E24:G24"/>
    <mergeCell ref="H24:I24"/>
    <mergeCell ref="A25:N25"/>
    <mergeCell ref="A26:D26"/>
    <mergeCell ref="E26:I26"/>
    <mergeCell ref="J26:L26"/>
    <mergeCell ref="M26:N26"/>
    <mergeCell ref="A31:C31"/>
    <mergeCell ref="I31:K31"/>
    <mergeCell ref="A32:D32"/>
    <mergeCell ref="E32:H32"/>
    <mergeCell ref="I32:L32"/>
    <mergeCell ref="M32:N32"/>
    <mergeCell ref="A29:D29"/>
    <mergeCell ref="E29:I29"/>
    <mergeCell ref="J29:L29"/>
    <mergeCell ref="M29:N29"/>
    <mergeCell ref="A30:D30"/>
    <mergeCell ref="E30:I30"/>
    <mergeCell ref="J30:L30"/>
    <mergeCell ref="M30:N30"/>
    <mergeCell ref="A33:D33"/>
    <mergeCell ref="E33:H33"/>
    <mergeCell ref="I33:L33"/>
    <mergeCell ref="M33:N33"/>
    <mergeCell ref="A39:C39"/>
    <mergeCell ref="D39:E40"/>
    <mergeCell ref="G39:I39"/>
    <mergeCell ref="A40:C40"/>
    <mergeCell ref="G40:I40"/>
    <mergeCell ref="J40:L40"/>
    <mergeCell ref="D43:E44"/>
    <mergeCell ref="A44:C44"/>
    <mergeCell ref="A45:D45"/>
    <mergeCell ref="A46:I47"/>
    <mergeCell ref="A48:I49"/>
    <mergeCell ref="K49:L49"/>
    <mergeCell ref="M40:N40"/>
    <mergeCell ref="A41:C41"/>
    <mergeCell ref="D41:E42"/>
    <mergeCell ref="G41:H44"/>
    <mergeCell ref="J41:L41"/>
    <mergeCell ref="M41:N41"/>
    <mergeCell ref="A42:C42"/>
    <mergeCell ref="J42:L42"/>
    <mergeCell ref="M42:N42"/>
    <mergeCell ref="A43:C43"/>
    <mergeCell ref="C57:C58"/>
    <mergeCell ref="A59:A60"/>
    <mergeCell ref="C59:C60"/>
    <mergeCell ref="A61:A66"/>
    <mergeCell ref="C62:C63"/>
    <mergeCell ref="C64:C65"/>
    <mergeCell ref="M49:N49"/>
    <mergeCell ref="A50:I50"/>
    <mergeCell ref="M50:N50"/>
    <mergeCell ref="A53:N53"/>
    <mergeCell ref="A54:N54"/>
    <mergeCell ref="A55:N55"/>
    <mergeCell ref="B74:C74"/>
    <mergeCell ref="D74:F74"/>
    <mergeCell ref="G74:I74"/>
    <mergeCell ref="J74:K74"/>
    <mergeCell ref="L74:M74"/>
    <mergeCell ref="A68:D68"/>
    <mergeCell ref="A69:D69"/>
    <mergeCell ref="I69:K69"/>
    <mergeCell ref="A70:D70"/>
    <mergeCell ref="A72:N72"/>
    <mergeCell ref="A73:N73"/>
    <mergeCell ref="B75:C75"/>
    <mergeCell ref="D75:F75"/>
    <mergeCell ref="G75:I75"/>
    <mergeCell ref="J75:K75"/>
    <mergeCell ref="L75:M75"/>
    <mergeCell ref="B76:C76"/>
    <mergeCell ref="D76:F76"/>
    <mergeCell ref="G76:I76"/>
    <mergeCell ref="J76:K76"/>
    <mergeCell ref="L76:M76"/>
    <mergeCell ref="B77:C77"/>
    <mergeCell ref="D77:F77"/>
    <mergeCell ref="G77:I77"/>
    <mergeCell ref="J77:K77"/>
    <mergeCell ref="L77:M77"/>
    <mergeCell ref="B78:C78"/>
    <mergeCell ref="D78:F78"/>
    <mergeCell ref="G78:I78"/>
    <mergeCell ref="J78:K78"/>
    <mergeCell ref="L78:M78"/>
    <mergeCell ref="B79:C79"/>
    <mergeCell ref="D79:F79"/>
    <mergeCell ref="G79:I79"/>
    <mergeCell ref="J79:K79"/>
    <mergeCell ref="L79:M79"/>
    <mergeCell ref="B80:C80"/>
    <mergeCell ref="D80:F80"/>
    <mergeCell ref="G80:I80"/>
    <mergeCell ref="J80:K80"/>
    <mergeCell ref="L80:M80"/>
    <mergeCell ref="B81:C81"/>
    <mergeCell ref="D81:F81"/>
    <mergeCell ref="G81:I81"/>
    <mergeCell ref="J81:K81"/>
    <mergeCell ref="L81:M81"/>
    <mergeCell ref="B86:C86"/>
    <mergeCell ref="D86:F86"/>
    <mergeCell ref="G86:I86"/>
    <mergeCell ref="J86:K86"/>
    <mergeCell ref="L86:M86"/>
    <mergeCell ref="B83:D83"/>
    <mergeCell ref="B84:D84"/>
    <mergeCell ref="B85:D85"/>
    <mergeCell ref="B131:E131"/>
    <mergeCell ref="F131:G131"/>
    <mergeCell ref="B132:N132"/>
    <mergeCell ref="B88:C88"/>
    <mergeCell ref="B89:C89"/>
    <mergeCell ref="B90:C90"/>
    <mergeCell ref="B91:C91"/>
    <mergeCell ref="B92:C92"/>
    <mergeCell ref="A125:N125"/>
    <mergeCell ref="B127:N127"/>
    <mergeCell ref="B128:N128"/>
    <mergeCell ref="B129:E129"/>
    <mergeCell ref="F129:I129"/>
    <mergeCell ref="B130:E130"/>
    <mergeCell ref="F130:N130"/>
    <mergeCell ref="A121:N121"/>
    <mergeCell ref="A122:D122"/>
    <mergeCell ref="A123:D123"/>
    <mergeCell ref="F123:G123"/>
    <mergeCell ref="H123:J123"/>
    <mergeCell ref="K123:L123"/>
    <mergeCell ref="F88:H88"/>
    <mergeCell ref="F89:H89"/>
    <mergeCell ref="F90:H90"/>
    <mergeCell ref="F91:H91"/>
    <mergeCell ref="B93:C93"/>
    <mergeCell ref="B94:C94"/>
    <mergeCell ref="B95:C95"/>
    <mergeCell ref="B96:C96"/>
    <mergeCell ref="D88:E88"/>
    <mergeCell ref="D89:E89"/>
    <mergeCell ref="D90:E90"/>
    <mergeCell ref="D91:E91"/>
    <mergeCell ref="D92:E92"/>
    <mergeCell ref="F92:H92"/>
    <mergeCell ref="F93:H93"/>
    <mergeCell ref="F94:H94"/>
    <mergeCell ref="F95:H95"/>
    <mergeCell ref="F96:H96"/>
    <mergeCell ref="B99:F99"/>
    <mergeCell ref="D93:E93"/>
    <mergeCell ref="D94:E94"/>
    <mergeCell ref="D95:E95"/>
    <mergeCell ref="D96:E96"/>
    <mergeCell ref="B103:C103"/>
    <mergeCell ref="D103:E103"/>
    <mergeCell ref="F103:H103"/>
    <mergeCell ref="B100:C100"/>
    <mergeCell ref="D100:E100"/>
    <mergeCell ref="F100:H100"/>
    <mergeCell ref="B101:C101"/>
    <mergeCell ref="D101:E101"/>
    <mergeCell ref="F101:H101"/>
    <mergeCell ref="B108:C108"/>
    <mergeCell ref="D108:E108"/>
    <mergeCell ref="F108:H108"/>
    <mergeCell ref="I88:K88"/>
    <mergeCell ref="I89:K89"/>
    <mergeCell ref="I90:K90"/>
    <mergeCell ref="I91:K91"/>
    <mergeCell ref="I92:K92"/>
    <mergeCell ref="I93:K93"/>
    <mergeCell ref="B106:C106"/>
    <mergeCell ref="D106:E106"/>
    <mergeCell ref="F106:H106"/>
    <mergeCell ref="B107:C107"/>
    <mergeCell ref="D107:E107"/>
    <mergeCell ref="F107:H107"/>
    <mergeCell ref="B104:C104"/>
    <mergeCell ref="D104:E104"/>
    <mergeCell ref="F104:H104"/>
    <mergeCell ref="B105:C105"/>
    <mergeCell ref="D105:E105"/>
    <mergeCell ref="F105:H105"/>
    <mergeCell ref="B102:C102"/>
    <mergeCell ref="D102:E102"/>
    <mergeCell ref="F102:H102"/>
    <mergeCell ref="I105:K105"/>
    <mergeCell ref="I106:K106"/>
    <mergeCell ref="I107:K107"/>
    <mergeCell ref="I108:K108"/>
    <mergeCell ref="I94:K94"/>
    <mergeCell ref="I95:K95"/>
    <mergeCell ref="I96:K96"/>
    <mergeCell ref="I100:K100"/>
    <mergeCell ref="I101:K101"/>
    <mergeCell ref="I102:K102"/>
    <mergeCell ref="B87:F87"/>
    <mergeCell ref="B110:H110"/>
    <mergeCell ref="B116:F116"/>
    <mergeCell ref="B133:N133"/>
    <mergeCell ref="H118:I118"/>
    <mergeCell ref="J118:K118"/>
    <mergeCell ref="H117:I117"/>
    <mergeCell ref="J117:K117"/>
    <mergeCell ref="B118:C118"/>
    <mergeCell ref="D118:E118"/>
    <mergeCell ref="G114:H114"/>
    <mergeCell ref="B117:C117"/>
    <mergeCell ref="D117:E117"/>
    <mergeCell ref="C111:D112"/>
    <mergeCell ref="C113:D114"/>
    <mergeCell ref="E111:H111"/>
    <mergeCell ref="G112:H112"/>
    <mergeCell ref="E112:F112"/>
    <mergeCell ref="E113:F113"/>
    <mergeCell ref="E114:F114"/>
    <mergeCell ref="G113:H113"/>
    <mergeCell ref="I103:K103"/>
    <mergeCell ref="I104:K104"/>
  </mergeCells>
  <conditionalFormatting sqref="A32:N32">
    <cfRule type="notContainsBlanks" dxfId="1" priority="2">
      <formula>LEN(TRIM(A32))&gt;0</formula>
    </cfRule>
  </conditionalFormatting>
  <conditionalFormatting sqref="A33:N33">
    <cfRule type="notContainsBlanks" dxfId="0" priority="1">
      <formula>LEN(TRIM(A33))&gt;0</formula>
    </cfRule>
  </conditionalFormatting>
  <printOptions horizontalCentered="1" verticalCentered="1"/>
  <pageMargins left="0.70866141732283472" right="0.70866141732283472" top="0.74803149606299213" bottom="0.74803149606299213" header="0.31496062992125984" footer="0.31496062992125984"/>
  <pageSetup scale="46" fitToHeight="0" orientation="portrait" r:id="rId1"/>
  <rowBreaks count="2" manualBreakCount="2">
    <brk id="45" max="16383" man="1"/>
    <brk id="139" max="16383"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108"/>
  <sheetViews>
    <sheetView showGridLines="0" topLeftCell="B23" zoomScaleNormal="100" workbookViewId="0">
      <selection activeCell="G36" sqref="G36:L37"/>
    </sheetView>
  </sheetViews>
  <sheetFormatPr baseColWidth="10" defaultColWidth="11.42578125" defaultRowHeight="12" x14ac:dyDescent="0.25"/>
  <cols>
    <col min="1" max="1" width="19.42578125" style="60" customWidth="1"/>
    <col min="2" max="2" width="17.28515625" style="60" customWidth="1"/>
    <col min="3" max="3" width="13.7109375" style="61" customWidth="1"/>
    <col min="4" max="4" width="15.7109375" style="60" customWidth="1"/>
    <col min="5" max="5" width="11.85546875" style="60" customWidth="1"/>
    <col min="6" max="6" width="7.85546875" style="60" customWidth="1"/>
    <col min="7" max="13" width="11.42578125" style="60"/>
    <col min="14" max="14" width="13.140625" style="60" customWidth="1"/>
    <col min="15" max="15" width="11.42578125" style="60"/>
    <col min="16" max="16" width="12.28515625" style="60" bestFit="1" customWidth="1"/>
    <col min="17" max="256" width="11.42578125" style="60"/>
    <col min="257" max="257" width="19.42578125" style="60" customWidth="1"/>
    <col min="258" max="258" width="17.28515625" style="60" customWidth="1"/>
    <col min="259" max="259" width="13.7109375" style="60" customWidth="1"/>
    <col min="260" max="260" width="15.7109375" style="60" customWidth="1"/>
    <col min="261" max="261" width="11.85546875" style="60" customWidth="1"/>
    <col min="262" max="262" width="7.85546875" style="60" customWidth="1"/>
    <col min="263" max="512" width="11.42578125" style="60"/>
    <col min="513" max="513" width="19.42578125" style="60" customWidth="1"/>
    <col min="514" max="514" width="17.28515625" style="60" customWidth="1"/>
    <col min="515" max="515" width="13.7109375" style="60" customWidth="1"/>
    <col min="516" max="516" width="15.7109375" style="60" customWidth="1"/>
    <col min="517" max="517" width="11.85546875" style="60" customWidth="1"/>
    <col min="518" max="518" width="7.85546875" style="60" customWidth="1"/>
    <col min="519" max="768" width="11.42578125" style="60"/>
    <col min="769" max="769" width="19.42578125" style="60" customWidth="1"/>
    <col min="770" max="770" width="17.28515625" style="60" customWidth="1"/>
    <col min="771" max="771" width="13.7109375" style="60" customWidth="1"/>
    <col min="772" max="772" width="15.7109375" style="60" customWidth="1"/>
    <col min="773" max="773" width="11.85546875" style="60" customWidth="1"/>
    <col min="774" max="774" width="7.85546875" style="60" customWidth="1"/>
    <col min="775" max="1024" width="11.42578125" style="60"/>
    <col min="1025" max="1025" width="19.42578125" style="60" customWidth="1"/>
    <col min="1026" max="1026" width="17.28515625" style="60" customWidth="1"/>
    <col min="1027" max="1027" width="13.7109375" style="60" customWidth="1"/>
    <col min="1028" max="1028" width="15.7109375" style="60" customWidth="1"/>
    <col min="1029" max="1029" width="11.85546875" style="60" customWidth="1"/>
    <col min="1030" max="1030" width="7.85546875" style="60" customWidth="1"/>
    <col min="1031" max="1280" width="11.42578125" style="60"/>
    <col min="1281" max="1281" width="19.42578125" style="60" customWidth="1"/>
    <col min="1282" max="1282" width="17.28515625" style="60" customWidth="1"/>
    <col min="1283" max="1283" width="13.7109375" style="60" customWidth="1"/>
    <col min="1284" max="1284" width="15.7109375" style="60" customWidth="1"/>
    <col min="1285" max="1285" width="11.85546875" style="60" customWidth="1"/>
    <col min="1286" max="1286" width="7.85546875" style="60" customWidth="1"/>
    <col min="1287" max="1536" width="11.42578125" style="60"/>
    <col min="1537" max="1537" width="19.42578125" style="60" customWidth="1"/>
    <col min="1538" max="1538" width="17.28515625" style="60" customWidth="1"/>
    <col min="1539" max="1539" width="13.7109375" style="60" customWidth="1"/>
    <col min="1540" max="1540" width="15.7109375" style="60" customWidth="1"/>
    <col min="1541" max="1541" width="11.85546875" style="60" customWidth="1"/>
    <col min="1542" max="1542" width="7.85546875" style="60" customWidth="1"/>
    <col min="1543" max="1792" width="11.42578125" style="60"/>
    <col min="1793" max="1793" width="19.42578125" style="60" customWidth="1"/>
    <col min="1794" max="1794" width="17.28515625" style="60" customWidth="1"/>
    <col min="1795" max="1795" width="13.7109375" style="60" customWidth="1"/>
    <col min="1796" max="1796" width="15.7109375" style="60" customWidth="1"/>
    <col min="1797" max="1797" width="11.85546875" style="60" customWidth="1"/>
    <col min="1798" max="1798" width="7.85546875" style="60" customWidth="1"/>
    <col min="1799" max="2048" width="11.42578125" style="60"/>
    <col min="2049" max="2049" width="19.42578125" style="60" customWidth="1"/>
    <col min="2050" max="2050" width="17.28515625" style="60" customWidth="1"/>
    <col min="2051" max="2051" width="13.7109375" style="60" customWidth="1"/>
    <col min="2052" max="2052" width="15.7109375" style="60" customWidth="1"/>
    <col min="2053" max="2053" width="11.85546875" style="60" customWidth="1"/>
    <col min="2054" max="2054" width="7.85546875" style="60" customWidth="1"/>
    <col min="2055" max="2304" width="11.42578125" style="60"/>
    <col min="2305" max="2305" width="19.42578125" style="60" customWidth="1"/>
    <col min="2306" max="2306" width="17.28515625" style="60" customWidth="1"/>
    <col min="2307" max="2307" width="13.7109375" style="60" customWidth="1"/>
    <col min="2308" max="2308" width="15.7109375" style="60" customWidth="1"/>
    <col min="2309" max="2309" width="11.85546875" style="60" customWidth="1"/>
    <col min="2310" max="2310" width="7.85546875" style="60" customWidth="1"/>
    <col min="2311" max="2560" width="11.42578125" style="60"/>
    <col min="2561" max="2561" width="19.42578125" style="60" customWidth="1"/>
    <col min="2562" max="2562" width="17.28515625" style="60" customWidth="1"/>
    <col min="2563" max="2563" width="13.7109375" style="60" customWidth="1"/>
    <col min="2564" max="2564" width="15.7109375" style="60" customWidth="1"/>
    <col min="2565" max="2565" width="11.85546875" style="60" customWidth="1"/>
    <col min="2566" max="2566" width="7.85546875" style="60" customWidth="1"/>
    <col min="2567" max="2816" width="11.42578125" style="60"/>
    <col min="2817" max="2817" width="19.42578125" style="60" customWidth="1"/>
    <col min="2818" max="2818" width="17.28515625" style="60" customWidth="1"/>
    <col min="2819" max="2819" width="13.7109375" style="60" customWidth="1"/>
    <col min="2820" max="2820" width="15.7109375" style="60" customWidth="1"/>
    <col min="2821" max="2821" width="11.85546875" style="60" customWidth="1"/>
    <col min="2822" max="2822" width="7.85546875" style="60" customWidth="1"/>
    <col min="2823" max="3072" width="11.42578125" style="60"/>
    <col min="3073" max="3073" width="19.42578125" style="60" customWidth="1"/>
    <col min="3074" max="3074" width="17.28515625" style="60" customWidth="1"/>
    <col min="3075" max="3075" width="13.7109375" style="60" customWidth="1"/>
    <col min="3076" max="3076" width="15.7109375" style="60" customWidth="1"/>
    <col min="3077" max="3077" width="11.85546875" style="60" customWidth="1"/>
    <col min="3078" max="3078" width="7.85546875" style="60" customWidth="1"/>
    <col min="3079" max="3328" width="11.42578125" style="60"/>
    <col min="3329" max="3329" width="19.42578125" style="60" customWidth="1"/>
    <col min="3330" max="3330" width="17.28515625" style="60" customWidth="1"/>
    <col min="3331" max="3331" width="13.7109375" style="60" customWidth="1"/>
    <col min="3332" max="3332" width="15.7109375" style="60" customWidth="1"/>
    <col min="3333" max="3333" width="11.85546875" style="60" customWidth="1"/>
    <col min="3334" max="3334" width="7.85546875" style="60" customWidth="1"/>
    <col min="3335" max="3584" width="11.42578125" style="60"/>
    <col min="3585" max="3585" width="19.42578125" style="60" customWidth="1"/>
    <col min="3586" max="3586" width="17.28515625" style="60" customWidth="1"/>
    <col min="3587" max="3587" width="13.7109375" style="60" customWidth="1"/>
    <col min="3588" max="3588" width="15.7109375" style="60" customWidth="1"/>
    <col min="3589" max="3589" width="11.85546875" style="60" customWidth="1"/>
    <col min="3590" max="3590" width="7.85546875" style="60" customWidth="1"/>
    <col min="3591" max="3840" width="11.42578125" style="60"/>
    <col min="3841" max="3841" width="19.42578125" style="60" customWidth="1"/>
    <col min="3842" max="3842" width="17.28515625" style="60" customWidth="1"/>
    <col min="3843" max="3843" width="13.7109375" style="60" customWidth="1"/>
    <col min="3844" max="3844" width="15.7109375" style="60" customWidth="1"/>
    <col min="3845" max="3845" width="11.85546875" style="60" customWidth="1"/>
    <col min="3846" max="3846" width="7.85546875" style="60" customWidth="1"/>
    <col min="3847" max="4096" width="11.42578125" style="60"/>
    <col min="4097" max="4097" width="19.42578125" style="60" customWidth="1"/>
    <col min="4098" max="4098" width="17.28515625" style="60" customWidth="1"/>
    <col min="4099" max="4099" width="13.7109375" style="60" customWidth="1"/>
    <col min="4100" max="4100" width="15.7109375" style="60" customWidth="1"/>
    <col min="4101" max="4101" width="11.85546875" style="60" customWidth="1"/>
    <col min="4102" max="4102" width="7.85546875" style="60" customWidth="1"/>
    <col min="4103" max="4352" width="11.42578125" style="60"/>
    <col min="4353" max="4353" width="19.42578125" style="60" customWidth="1"/>
    <col min="4354" max="4354" width="17.28515625" style="60" customWidth="1"/>
    <col min="4355" max="4355" width="13.7109375" style="60" customWidth="1"/>
    <col min="4356" max="4356" width="15.7109375" style="60" customWidth="1"/>
    <col min="4357" max="4357" width="11.85546875" style="60" customWidth="1"/>
    <col min="4358" max="4358" width="7.85546875" style="60" customWidth="1"/>
    <col min="4359" max="4608" width="11.42578125" style="60"/>
    <col min="4609" max="4609" width="19.42578125" style="60" customWidth="1"/>
    <col min="4610" max="4610" width="17.28515625" style="60" customWidth="1"/>
    <col min="4611" max="4611" width="13.7109375" style="60" customWidth="1"/>
    <col min="4612" max="4612" width="15.7109375" style="60" customWidth="1"/>
    <col min="4613" max="4613" width="11.85546875" style="60" customWidth="1"/>
    <col min="4614" max="4614" width="7.85546875" style="60" customWidth="1"/>
    <col min="4615" max="4864" width="11.42578125" style="60"/>
    <col min="4865" max="4865" width="19.42578125" style="60" customWidth="1"/>
    <col min="4866" max="4866" width="17.28515625" style="60" customWidth="1"/>
    <col min="4867" max="4867" width="13.7109375" style="60" customWidth="1"/>
    <col min="4868" max="4868" width="15.7109375" style="60" customWidth="1"/>
    <col min="4869" max="4869" width="11.85546875" style="60" customWidth="1"/>
    <col min="4870" max="4870" width="7.85546875" style="60" customWidth="1"/>
    <col min="4871" max="5120" width="11.42578125" style="60"/>
    <col min="5121" max="5121" width="19.42578125" style="60" customWidth="1"/>
    <col min="5122" max="5122" width="17.28515625" style="60" customWidth="1"/>
    <col min="5123" max="5123" width="13.7109375" style="60" customWidth="1"/>
    <col min="5124" max="5124" width="15.7109375" style="60" customWidth="1"/>
    <col min="5125" max="5125" width="11.85546875" style="60" customWidth="1"/>
    <col min="5126" max="5126" width="7.85546875" style="60" customWidth="1"/>
    <col min="5127" max="5376" width="11.42578125" style="60"/>
    <col min="5377" max="5377" width="19.42578125" style="60" customWidth="1"/>
    <col min="5378" max="5378" width="17.28515625" style="60" customWidth="1"/>
    <col min="5379" max="5379" width="13.7109375" style="60" customWidth="1"/>
    <col min="5380" max="5380" width="15.7109375" style="60" customWidth="1"/>
    <col min="5381" max="5381" width="11.85546875" style="60" customWidth="1"/>
    <col min="5382" max="5382" width="7.85546875" style="60" customWidth="1"/>
    <col min="5383" max="5632" width="11.42578125" style="60"/>
    <col min="5633" max="5633" width="19.42578125" style="60" customWidth="1"/>
    <col min="5634" max="5634" width="17.28515625" style="60" customWidth="1"/>
    <col min="5635" max="5635" width="13.7109375" style="60" customWidth="1"/>
    <col min="5636" max="5636" width="15.7109375" style="60" customWidth="1"/>
    <col min="5637" max="5637" width="11.85546875" style="60" customWidth="1"/>
    <col min="5638" max="5638" width="7.85546875" style="60" customWidth="1"/>
    <col min="5639" max="5888" width="11.42578125" style="60"/>
    <col min="5889" max="5889" width="19.42578125" style="60" customWidth="1"/>
    <col min="5890" max="5890" width="17.28515625" style="60" customWidth="1"/>
    <col min="5891" max="5891" width="13.7109375" style="60" customWidth="1"/>
    <col min="5892" max="5892" width="15.7109375" style="60" customWidth="1"/>
    <col min="5893" max="5893" width="11.85546875" style="60" customWidth="1"/>
    <col min="5894" max="5894" width="7.85546875" style="60" customWidth="1"/>
    <col min="5895" max="6144" width="11.42578125" style="60"/>
    <col min="6145" max="6145" width="19.42578125" style="60" customWidth="1"/>
    <col min="6146" max="6146" width="17.28515625" style="60" customWidth="1"/>
    <col min="6147" max="6147" width="13.7109375" style="60" customWidth="1"/>
    <col min="6148" max="6148" width="15.7109375" style="60" customWidth="1"/>
    <col min="6149" max="6149" width="11.85546875" style="60" customWidth="1"/>
    <col min="6150" max="6150" width="7.85546875" style="60" customWidth="1"/>
    <col min="6151" max="6400" width="11.42578125" style="60"/>
    <col min="6401" max="6401" width="19.42578125" style="60" customWidth="1"/>
    <col min="6402" max="6402" width="17.28515625" style="60" customWidth="1"/>
    <col min="6403" max="6403" width="13.7109375" style="60" customWidth="1"/>
    <col min="6404" max="6404" width="15.7109375" style="60" customWidth="1"/>
    <col min="6405" max="6405" width="11.85546875" style="60" customWidth="1"/>
    <col min="6406" max="6406" width="7.85546875" style="60" customWidth="1"/>
    <col min="6407" max="6656" width="11.42578125" style="60"/>
    <col min="6657" max="6657" width="19.42578125" style="60" customWidth="1"/>
    <col min="6658" max="6658" width="17.28515625" style="60" customWidth="1"/>
    <col min="6659" max="6659" width="13.7109375" style="60" customWidth="1"/>
    <col min="6660" max="6660" width="15.7109375" style="60" customWidth="1"/>
    <col min="6661" max="6661" width="11.85546875" style="60" customWidth="1"/>
    <col min="6662" max="6662" width="7.85546875" style="60" customWidth="1"/>
    <col min="6663" max="6912" width="11.42578125" style="60"/>
    <col min="6913" max="6913" width="19.42578125" style="60" customWidth="1"/>
    <col min="6914" max="6914" width="17.28515625" style="60" customWidth="1"/>
    <col min="6915" max="6915" width="13.7109375" style="60" customWidth="1"/>
    <col min="6916" max="6916" width="15.7109375" style="60" customWidth="1"/>
    <col min="6917" max="6917" width="11.85546875" style="60" customWidth="1"/>
    <col min="6918" max="6918" width="7.85546875" style="60" customWidth="1"/>
    <col min="6919" max="7168" width="11.42578125" style="60"/>
    <col min="7169" max="7169" width="19.42578125" style="60" customWidth="1"/>
    <col min="7170" max="7170" width="17.28515625" style="60" customWidth="1"/>
    <col min="7171" max="7171" width="13.7109375" style="60" customWidth="1"/>
    <col min="7172" max="7172" width="15.7109375" style="60" customWidth="1"/>
    <col min="7173" max="7173" width="11.85546875" style="60" customWidth="1"/>
    <col min="7174" max="7174" width="7.85546875" style="60" customWidth="1"/>
    <col min="7175" max="7424" width="11.42578125" style="60"/>
    <col min="7425" max="7425" width="19.42578125" style="60" customWidth="1"/>
    <col min="7426" max="7426" width="17.28515625" style="60" customWidth="1"/>
    <col min="7427" max="7427" width="13.7109375" style="60" customWidth="1"/>
    <col min="7428" max="7428" width="15.7109375" style="60" customWidth="1"/>
    <col min="7429" max="7429" width="11.85546875" style="60" customWidth="1"/>
    <col min="7430" max="7430" width="7.85546875" style="60" customWidth="1"/>
    <col min="7431" max="7680" width="11.42578125" style="60"/>
    <col min="7681" max="7681" width="19.42578125" style="60" customWidth="1"/>
    <col min="7682" max="7682" width="17.28515625" style="60" customWidth="1"/>
    <col min="7683" max="7683" width="13.7109375" style="60" customWidth="1"/>
    <col min="7684" max="7684" width="15.7109375" style="60" customWidth="1"/>
    <col min="7685" max="7685" width="11.85546875" style="60" customWidth="1"/>
    <col min="7686" max="7686" width="7.85546875" style="60" customWidth="1"/>
    <col min="7687" max="7936" width="11.42578125" style="60"/>
    <col min="7937" max="7937" width="19.42578125" style="60" customWidth="1"/>
    <col min="7938" max="7938" width="17.28515625" style="60" customWidth="1"/>
    <col min="7939" max="7939" width="13.7109375" style="60" customWidth="1"/>
    <col min="7940" max="7940" width="15.7109375" style="60" customWidth="1"/>
    <col min="7941" max="7941" width="11.85546875" style="60" customWidth="1"/>
    <col min="7942" max="7942" width="7.85546875" style="60" customWidth="1"/>
    <col min="7943" max="8192" width="11.42578125" style="60"/>
    <col min="8193" max="8193" width="19.42578125" style="60" customWidth="1"/>
    <col min="8194" max="8194" width="17.28515625" style="60" customWidth="1"/>
    <col min="8195" max="8195" width="13.7109375" style="60" customWidth="1"/>
    <col min="8196" max="8196" width="15.7109375" style="60" customWidth="1"/>
    <col min="8197" max="8197" width="11.85546875" style="60" customWidth="1"/>
    <col min="8198" max="8198" width="7.85546875" style="60" customWidth="1"/>
    <col min="8199" max="8448" width="11.42578125" style="60"/>
    <col min="8449" max="8449" width="19.42578125" style="60" customWidth="1"/>
    <col min="8450" max="8450" width="17.28515625" style="60" customWidth="1"/>
    <col min="8451" max="8451" width="13.7109375" style="60" customWidth="1"/>
    <col min="8452" max="8452" width="15.7109375" style="60" customWidth="1"/>
    <col min="8453" max="8453" width="11.85546875" style="60" customWidth="1"/>
    <col min="8454" max="8454" width="7.85546875" style="60" customWidth="1"/>
    <col min="8455" max="8704" width="11.42578125" style="60"/>
    <col min="8705" max="8705" width="19.42578125" style="60" customWidth="1"/>
    <col min="8706" max="8706" width="17.28515625" style="60" customWidth="1"/>
    <col min="8707" max="8707" width="13.7109375" style="60" customWidth="1"/>
    <col min="8708" max="8708" width="15.7109375" style="60" customWidth="1"/>
    <col min="8709" max="8709" width="11.85546875" style="60" customWidth="1"/>
    <col min="8710" max="8710" width="7.85546875" style="60" customWidth="1"/>
    <col min="8711" max="8960" width="11.42578125" style="60"/>
    <col min="8961" max="8961" width="19.42578125" style="60" customWidth="1"/>
    <col min="8962" max="8962" width="17.28515625" style="60" customWidth="1"/>
    <col min="8963" max="8963" width="13.7109375" style="60" customWidth="1"/>
    <col min="8964" max="8964" width="15.7109375" style="60" customWidth="1"/>
    <col min="8965" max="8965" width="11.85546875" style="60" customWidth="1"/>
    <col min="8966" max="8966" width="7.85546875" style="60" customWidth="1"/>
    <col min="8967" max="9216" width="11.42578125" style="60"/>
    <col min="9217" max="9217" width="19.42578125" style="60" customWidth="1"/>
    <col min="9218" max="9218" width="17.28515625" style="60" customWidth="1"/>
    <col min="9219" max="9219" width="13.7109375" style="60" customWidth="1"/>
    <col min="9220" max="9220" width="15.7109375" style="60" customWidth="1"/>
    <col min="9221" max="9221" width="11.85546875" style="60" customWidth="1"/>
    <col min="9222" max="9222" width="7.85546875" style="60" customWidth="1"/>
    <col min="9223" max="9472" width="11.42578125" style="60"/>
    <col min="9473" max="9473" width="19.42578125" style="60" customWidth="1"/>
    <col min="9474" max="9474" width="17.28515625" style="60" customWidth="1"/>
    <col min="9475" max="9475" width="13.7109375" style="60" customWidth="1"/>
    <col min="9476" max="9476" width="15.7109375" style="60" customWidth="1"/>
    <col min="9477" max="9477" width="11.85546875" style="60" customWidth="1"/>
    <col min="9478" max="9478" width="7.85546875" style="60" customWidth="1"/>
    <col min="9479" max="9728" width="11.42578125" style="60"/>
    <col min="9729" max="9729" width="19.42578125" style="60" customWidth="1"/>
    <col min="9730" max="9730" width="17.28515625" style="60" customWidth="1"/>
    <col min="9731" max="9731" width="13.7109375" style="60" customWidth="1"/>
    <col min="9732" max="9732" width="15.7109375" style="60" customWidth="1"/>
    <col min="9733" max="9733" width="11.85546875" style="60" customWidth="1"/>
    <col min="9734" max="9734" width="7.85546875" style="60" customWidth="1"/>
    <col min="9735" max="9984" width="11.42578125" style="60"/>
    <col min="9985" max="9985" width="19.42578125" style="60" customWidth="1"/>
    <col min="9986" max="9986" width="17.28515625" style="60" customWidth="1"/>
    <col min="9987" max="9987" width="13.7109375" style="60" customWidth="1"/>
    <col min="9988" max="9988" width="15.7109375" style="60" customWidth="1"/>
    <col min="9989" max="9989" width="11.85546875" style="60" customWidth="1"/>
    <col min="9990" max="9990" width="7.85546875" style="60" customWidth="1"/>
    <col min="9991" max="10240" width="11.42578125" style="60"/>
    <col min="10241" max="10241" width="19.42578125" style="60" customWidth="1"/>
    <col min="10242" max="10242" width="17.28515625" style="60" customWidth="1"/>
    <col min="10243" max="10243" width="13.7109375" style="60" customWidth="1"/>
    <col min="10244" max="10244" width="15.7109375" style="60" customWidth="1"/>
    <col min="10245" max="10245" width="11.85546875" style="60" customWidth="1"/>
    <col min="10246" max="10246" width="7.85546875" style="60" customWidth="1"/>
    <col min="10247" max="10496" width="11.42578125" style="60"/>
    <col min="10497" max="10497" width="19.42578125" style="60" customWidth="1"/>
    <col min="10498" max="10498" width="17.28515625" style="60" customWidth="1"/>
    <col min="10499" max="10499" width="13.7109375" style="60" customWidth="1"/>
    <col min="10500" max="10500" width="15.7109375" style="60" customWidth="1"/>
    <col min="10501" max="10501" width="11.85546875" style="60" customWidth="1"/>
    <col min="10502" max="10502" width="7.85546875" style="60" customWidth="1"/>
    <col min="10503" max="10752" width="11.42578125" style="60"/>
    <col min="10753" max="10753" width="19.42578125" style="60" customWidth="1"/>
    <col min="10754" max="10754" width="17.28515625" style="60" customWidth="1"/>
    <col min="10755" max="10755" width="13.7109375" style="60" customWidth="1"/>
    <col min="10756" max="10756" width="15.7109375" style="60" customWidth="1"/>
    <col min="10757" max="10757" width="11.85546875" style="60" customWidth="1"/>
    <col min="10758" max="10758" width="7.85546875" style="60" customWidth="1"/>
    <col min="10759" max="11008" width="11.42578125" style="60"/>
    <col min="11009" max="11009" width="19.42578125" style="60" customWidth="1"/>
    <col min="11010" max="11010" width="17.28515625" style="60" customWidth="1"/>
    <col min="11011" max="11011" width="13.7109375" style="60" customWidth="1"/>
    <col min="11012" max="11012" width="15.7109375" style="60" customWidth="1"/>
    <col min="11013" max="11013" width="11.85546875" style="60" customWidth="1"/>
    <col min="11014" max="11014" width="7.85546875" style="60" customWidth="1"/>
    <col min="11015" max="11264" width="11.42578125" style="60"/>
    <col min="11265" max="11265" width="19.42578125" style="60" customWidth="1"/>
    <col min="11266" max="11266" width="17.28515625" style="60" customWidth="1"/>
    <col min="11267" max="11267" width="13.7109375" style="60" customWidth="1"/>
    <col min="11268" max="11268" width="15.7109375" style="60" customWidth="1"/>
    <col min="11269" max="11269" width="11.85546875" style="60" customWidth="1"/>
    <col min="11270" max="11270" width="7.85546875" style="60" customWidth="1"/>
    <col min="11271" max="11520" width="11.42578125" style="60"/>
    <col min="11521" max="11521" width="19.42578125" style="60" customWidth="1"/>
    <col min="11522" max="11522" width="17.28515625" style="60" customWidth="1"/>
    <col min="11523" max="11523" width="13.7109375" style="60" customWidth="1"/>
    <col min="11524" max="11524" width="15.7109375" style="60" customWidth="1"/>
    <col min="11525" max="11525" width="11.85546875" style="60" customWidth="1"/>
    <col min="11526" max="11526" width="7.85546875" style="60" customWidth="1"/>
    <col min="11527" max="11776" width="11.42578125" style="60"/>
    <col min="11777" max="11777" width="19.42578125" style="60" customWidth="1"/>
    <col min="11778" max="11778" width="17.28515625" style="60" customWidth="1"/>
    <col min="11779" max="11779" width="13.7109375" style="60" customWidth="1"/>
    <col min="11780" max="11780" width="15.7109375" style="60" customWidth="1"/>
    <col min="11781" max="11781" width="11.85546875" style="60" customWidth="1"/>
    <col min="11782" max="11782" width="7.85546875" style="60" customWidth="1"/>
    <col min="11783" max="12032" width="11.42578125" style="60"/>
    <col min="12033" max="12033" width="19.42578125" style="60" customWidth="1"/>
    <col min="12034" max="12034" width="17.28515625" style="60" customWidth="1"/>
    <col min="12035" max="12035" width="13.7109375" style="60" customWidth="1"/>
    <col min="12036" max="12036" width="15.7109375" style="60" customWidth="1"/>
    <col min="12037" max="12037" width="11.85546875" style="60" customWidth="1"/>
    <col min="12038" max="12038" width="7.85546875" style="60" customWidth="1"/>
    <col min="12039" max="12288" width="11.42578125" style="60"/>
    <col min="12289" max="12289" width="19.42578125" style="60" customWidth="1"/>
    <col min="12290" max="12290" width="17.28515625" style="60" customWidth="1"/>
    <col min="12291" max="12291" width="13.7109375" style="60" customWidth="1"/>
    <col min="12292" max="12292" width="15.7109375" style="60" customWidth="1"/>
    <col min="12293" max="12293" width="11.85546875" style="60" customWidth="1"/>
    <col min="12294" max="12294" width="7.85546875" style="60" customWidth="1"/>
    <col min="12295" max="12544" width="11.42578125" style="60"/>
    <col min="12545" max="12545" width="19.42578125" style="60" customWidth="1"/>
    <col min="12546" max="12546" width="17.28515625" style="60" customWidth="1"/>
    <col min="12547" max="12547" width="13.7109375" style="60" customWidth="1"/>
    <col min="12548" max="12548" width="15.7109375" style="60" customWidth="1"/>
    <col min="12549" max="12549" width="11.85546875" style="60" customWidth="1"/>
    <col min="12550" max="12550" width="7.85546875" style="60" customWidth="1"/>
    <col min="12551" max="12800" width="11.42578125" style="60"/>
    <col min="12801" max="12801" width="19.42578125" style="60" customWidth="1"/>
    <col min="12802" max="12802" width="17.28515625" style="60" customWidth="1"/>
    <col min="12803" max="12803" width="13.7109375" style="60" customWidth="1"/>
    <col min="12804" max="12804" width="15.7109375" style="60" customWidth="1"/>
    <col min="12805" max="12805" width="11.85546875" style="60" customWidth="1"/>
    <col min="12806" max="12806" width="7.85546875" style="60" customWidth="1"/>
    <col min="12807" max="13056" width="11.42578125" style="60"/>
    <col min="13057" max="13057" width="19.42578125" style="60" customWidth="1"/>
    <col min="13058" max="13058" width="17.28515625" style="60" customWidth="1"/>
    <col min="13059" max="13059" width="13.7109375" style="60" customWidth="1"/>
    <col min="13060" max="13060" width="15.7109375" style="60" customWidth="1"/>
    <col min="13061" max="13061" width="11.85546875" style="60" customWidth="1"/>
    <col min="13062" max="13062" width="7.85546875" style="60" customWidth="1"/>
    <col min="13063" max="13312" width="11.42578125" style="60"/>
    <col min="13313" max="13313" width="19.42578125" style="60" customWidth="1"/>
    <col min="13314" max="13314" width="17.28515625" style="60" customWidth="1"/>
    <col min="13315" max="13315" width="13.7109375" style="60" customWidth="1"/>
    <col min="13316" max="13316" width="15.7109375" style="60" customWidth="1"/>
    <col min="13317" max="13317" width="11.85546875" style="60" customWidth="1"/>
    <col min="13318" max="13318" width="7.85546875" style="60" customWidth="1"/>
    <col min="13319" max="13568" width="11.42578125" style="60"/>
    <col min="13569" max="13569" width="19.42578125" style="60" customWidth="1"/>
    <col min="13570" max="13570" width="17.28515625" style="60" customWidth="1"/>
    <col min="13571" max="13571" width="13.7109375" style="60" customWidth="1"/>
    <col min="13572" max="13572" width="15.7109375" style="60" customWidth="1"/>
    <col min="13573" max="13573" width="11.85546875" style="60" customWidth="1"/>
    <col min="13574" max="13574" width="7.85546875" style="60" customWidth="1"/>
    <col min="13575" max="13824" width="11.42578125" style="60"/>
    <col min="13825" max="13825" width="19.42578125" style="60" customWidth="1"/>
    <col min="13826" max="13826" width="17.28515625" style="60" customWidth="1"/>
    <col min="13827" max="13827" width="13.7109375" style="60" customWidth="1"/>
    <col min="13828" max="13828" width="15.7109375" style="60" customWidth="1"/>
    <col min="13829" max="13829" width="11.85546875" style="60" customWidth="1"/>
    <col min="13830" max="13830" width="7.85546875" style="60" customWidth="1"/>
    <col min="13831" max="14080" width="11.42578125" style="60"/>
    <col min="14081" max="14081" width="19.42578125" style="60" customWidth="1"/>
    <col min="14082" max="14082" width="17.28515625" style="60" customWidth="1"/>
    <col min="14083" max="14083" width="13.7109375" style="60" customWidth="1"/>
    <col min="14084" max="14084" width="15.7109375" style="60" customWidth="1"/>
    <col min="14085" max="14085" width="11.85546875" style="60" customWidth="1"/>
    <col min="14086" max="14086" width="7.85546875" style="60" customWidth="1"/>
    <col min="14087" max="14336" width="11.42578125" style="60"/>
    <col min="14337" max="14337" width="19.42578125" style="60" customWidth="1"/>
    <col min="14338" max="14338" width="17.28515625" style="60" customWidth="1"/>
    <col min="14339" max="14339" width="13.7109375" style="60" customWidth="1"/>
    <col min="14340" max="14340" width="15.7109375" style="60" customWidth="1"/>
    <col min="14341" max="14341" width="11.85546875" style="60" customWidth="1"/>
    <col min="14342" max="14342" width="7.85546875" style="60" customWidth="1"/>
    <col min="14343" max="14592" width="11.42578125" style="60"/>
    <col min="14593" max="14593" width="19.42578125" style="60" customWidth="1"/>
    <col min="14594" max="14594" width="17.28515625" style="60" customWidth="1"/>
    <col min="14595" max="14595" width="13.7109375" style="60" customWidth="1"/>
    <col min="14596" max="14596" width="15.7109375" style="60" customWidth="1"/>
    <col min="14597" max="14597" width="11.85546875" style="60" customWidth="1"/>
    <col min="14598" max="14598" width="7.85546875" style="60" customWidth="1"/>
    <col min="14599" max="14848" width="11.42578125" style="60"/>
    <col min="14849" max="14849" width="19.42578125" style="60" customWidth="1"/>
    <col min="14850" max="14850" width="17.28515625" style="60" customWidth="1"/>
    <col min="14851" max="14851" width="13.7109375" style="60" customWidth="1"/>
    <col min="14852" max="14852" width="15.7109375" style="60" customWidth="1"/>
    <col min="14853" max="14853" width="11.85546875" style="60" customWidth="1"/>
    <col min="14854" max="14854" width="7.85546875" style="60" customWidth="1"/>
    <col min="14855" max="15104" width="11.42578125" style="60"/>
    <col min="15105" max="15105" width="19.42578125" style="60" customWidth="1"/>
    <col min="15106" max="15106" width="17.28515625" style="60" customWidth="1"/>
    <col min="15107" max="15107" width="13.7109375" style="60" customWidth="1"/>
    <col min="15108" max="15108" width="15.7109375" style="60" customWidth="1"/>
    <col min="15109" max="15109" width="11.85546875" style="60" customWidth="1"/>
    <col min="15110" max="15110" width="7.85546875" style="60" customWidth="1"/>
    <col min="15111" max="15360" width="11.42578125" style="60"/>
    <col min="15361" max="15361" width="19.42578125" style="60" customWidth="1"/>
    <col min="15362" max="15362" width="17.28515625" style="60" customWidth="1"/>
    <col min="15363" max="15363" width="13.7109375" style="60" customWidth="1"/>
    <col min="15364" max="15364" width="15.7109375" style="60" customWidth="1"/>
    <col min="15365" max="15365" width="11.85546875" style="60" customWidth="1"/>
    <col min="15366" max="15366" width="7.85546875" style="60" customWidth="1"/>
    <col min="15367" max="15616" width="11.42578125" style="60"/>
    <col min="15617" max="15617" width="19.42578125" style="60" customWidth="1"/>
    <col min="15618" max="15618" width="17.28515625" style="60" customWidth="1"/>
    <col min="15619" max="15619" width="13.7109375" style="60" customWidth="1"/>
    <col min="15620" max="15620" width="15.7109375" style="60" customWidth="1"/>
    <col min="15621" max="15621" width="11.85546875" style="60" customWidth="1"/>
    <col min="15622" max="15622" width="7.85546875" style="60" customWidth="1"/>
    <col min="15623" max="15872" width="11.42578125" style="60"/>
    <col min="15873" max="15873" width="19.42578125" style="60" customWidth="1"/>
    <col min="15874" max="15874" width="17.28515625" style="60" customWidth="1"/>
    <col min="15875" max="15875" width="13.7109375" style="60" customWidth="1"/>
    <col min="15876" max="15876" width="15.7109375" style="60" customWidth="1"/>
    <col min="15877" max="15877" width="11.85546875" style="60" customWidth="1"/>
    <col min="15878" max="15878" width="7.85546875" style="60" customWidth="1"/>
    <col min="15879" max="16128" width="11.42578125" style="60"/>
    <col min="16129" max="16129" width="19.42578125" style="60" customWidth="1"/>
    <col min="16130" max="16130" width="17.28515625" style="60" customWidth="1"/>
    <col min="16131" max="16131" width="13.7109375" style="60" customWidth="1"/>
    <col min="16132" max="16132" width="15.7109375" style="60" customWidth="1"/>
    <col min="16133" max="16133" width="11.85546875" style="60" customWidth="1"/>
    <col min="16134" max="16134" width="7.85546875" style="60" customWidth="1"/>
    <col min="16135" max="16384" width="11.42578125" style="60"/>
  </cols>
  <sheetData>
    <row r="1" spans="2:18" s="7" customFormat="1" x14ac:dyDescent="0.25">
      <c r="C1" s="8"/>
    </row>
    <row r="2" spans="2:18" s="7" customFormat="1" ht="12.75" x14ac:dyDescent="0.2">
      <c r="B2" s="9" t="s">
        <v>152</v>
      </c>
      <c r="C2" s="9"/>
      <c r="G2" s="509" t="s">
        <v>151</v>
      </c>
      <c r="H2" s="509"/>
      <c r="I2" s="509"/>
      <c r="J2" s="509"/>
      <c r="K2" s="509"/>
      <c r="L2" s="509"/>
    </row>
    <row r="3" spans="2:18" s="7" customFormat="1" ht="12.75" thickBot="1" x14ac:dyDescent="0.3">
      <c r="B3" s="9"/>
      <c r="C3" s="9"/>
    </row>
    <row r="4" spans="2:18" s="10" customFormat="1" ht="13.5" customHeight="1" x14ac:dyDescent="0.2">
      <c r="B4" s="11" t="s">
        <v>150</v>
      </c>
      <c r="G4" s="113" t="s">
        <v>93</v>
      </c>
      <c r="H4" s="114" t="s">
        <v>132</v>
      </c>
      <c r="I4" s="114" t="s">
        <v>131</v>
      </c>
      <c r="J4" s="115" t="s">
        <v>130</v>
      </c>
      <c r="K4" s="84"/>
      <c r="L4" s="84"/>
      <c r="M4" s="8" t="s">
        <v>45</v>
      </c>
      <c r="N4" s="8" t="s">
        <v>149</v>
      </c>
      <c r="O4" s="510" t="s">
        <v>148</v>
      </c>
    </row>
    <row r="5" spans="2:18" s="7" customFormat="1" ht="11.1" customHeight="1" x14ac:dyDescent="0.2">
      <c r="B5" s="12" t="s">
        <v>147</v>
      </c>
      <c r="C5" s="13">
        <f>P26</f>
        <v>0</v>
      </c>
      <c r="D5" s="8"/>
      <c r="G5" s="116" t="s">
        <v>146</v>
      </c>
      <c r="H5" s="14" t="s">
        <v>128</v>
      </c>
      <c r="I5" s="14" t="s">
        <v>128</v>
      </c>
      <c r="J5" s="117" t="s">
        <v>128</v>
      </c>
      <c r="K5" s="84"/>
      <c r="L5" s="84"/>
      <c r="O5" s="510"/>
    </row>
    <row r="6" spans="2:18" s="7" customFormat="1" ht="11.1" customHeight="1" x14ac:dyDescent="0.2">
      <c r="B6" s="12" t="s">
        <v>145</v>
      </c>
      <c r="C6" s="2">
        <v>3</v>
      </c>
      <c r="D6" s="8"/>
      <c r="G6" s="118">
        <v>0</v>
      </c>
      <c r="H6" s="15">
        <f>Datos!B25</f>
        <v>0</v>
      </c>
      <c r="I6" s="15">
        <f>Datos!C25</f>
        <v>0</v>
      </c>
      <c r="J6" s="119">
        <f>Datos!D25</f>
        <v>0</v>
      </c>
      <c r="K6" s="49"/>
      <c r="L6" s="49"/>
      <c r="M6" s="16">
        <f>AVERAGE(H6:J6)</f>
        <v>0</v>
      </c>
      <c r="N6" s="17">
        <f>STDEV(H6:J6)</f>
        <v>0</v>
      </c>
      <c r="O6" s="18">
        <f>N6/SQRT(C$6)</f>
        <v>0</v>
      </c>
      <c r="P6" s="19"/>
      <c r="Q6" s="19"/>
      <c r="R6" s="20"/>
    </row>
    <row r="7" spans="2:18" s="7" customFormat="1" ht="11.1" customHeight="1" thickBot="1" x14ac:dyDescent="0.25">
      <c r="B7" s="12" t="s">
        <v>144</v>
      </c>
      <c r="C7" s="2">
        <v>2.2999999999999998</v>
      </c>
      <c r="D7" s="8"/>
      <c r="G7" s="118">
        <v>10.3</v>
      </c>
      <c r="H7" s="15">
        <f>Datos!B26</f>
        <v>0</v>
      </c>
      <c r="I7" s="15">
        <f>Datos!C26</f>
        <v>0</v>
      </c>
      <c r="J7" s="119">
        <f>Datos!D26</f>
        <v>0</v>
      </c>
      <c r="K7" s="49"/>
      <c r="L7" s="49"/>
      <c r="M7" s="16">
        <f t="shared" ref="M7:M14" si="0">AVERAGE(H7:J7)</f>
        <v>0</v>
      </c>
      <c r="N7" s="17">
        <f t="shared" ref="N7:N14" si="1">STDEV(H7:J7)</f>
        <v>0</v>
      </c>
      <c r="O7" s="18">
        <f t="shared" ref="O7:O14" si="2">N7/SQRT(C$6)</f>
        <v>0</v>
      </c>
      <c r="P7" s="19"/>
      <c r="Q7" s="19"/>
      <c r="R7" s="20"/>
    </row>
    <row r="8" spans="2:18" s="7" customFormat="1" ht="11.1" customHeight="1" thickBot="1" x14ac:dyDescent="0.25">
      <c r="B8" s="21" t="s">
        <v>143</v>
      </c>
      <c r="C8" s="22">
        <f>(C5/SQRT(C6))*C7</f>
        <v>0</v>
      </c>
      <c r="D8" s="23" t="s">
        <v>73</v>
      </c>
      <c r="G8" s="118">
        <v>12.9</v>
      </c>
      <c r="H8" s="15">
        <f>Datos!B27</f>
        <v>0</v>
      </c>
      <c r="I8" s="15">
        <f>Datos!C27</f>
        <v>0</v>
      </c>
      <c r="J8" s="119">
        <f>Datos!D27</f>
        <v>0</v>
      </c>
      <c r="K8" s="49"/>
      <c r="L8" s="49"/>
      <c r="M8" s="16">
        <f t="shared" si="0"/>
        <v>0</v>
      </c>
      <c r="N8" s="17">
        <f t="shared" si="1"/>
        <v>0</v>
      </c>
      <c r="O8" s="18">
        <f t="shared" si="2"/>
        <v>0</v>
      </c>
      <c r="P8" s="19"/>
      <c r="Q8" s="19"/>
      <c r="R8" s="20"/>
    </row>
    <row r="9" spans="2:18" s="7" customFormat="1" ht="11.1" customHeight="1" x14ac:dyDescent="0.2">
      <c r="C9" s="8"/>
      <c r="G9" s="118">
        <v>50</v>
      </c>
      <c r="H9" s="15">
        <f>Datos!B28</f>
        <v>0</v>
      </c>
      <c r="I9" s="15">
        <f>Datos!C28</f>
        <v>0</v>
      </c>
      <c r="J9" s="119">
        <f>Datos!D28</f>
        <v>0</v>
      </c>
      <c r="K9" s="49"/>
      <c r="L9" s="49"/>
      <c r="M9" s="16">
        <f t="shared" si="0"/>
        <v>0</v>
      </c>
      <c r="N9" s="17">
        <f t="shared" si="1"/>
        <v>0</v>
      </c>
      <c r="O9" s="18">
        <f t="shared" si="2"/>
        <v>0</v>
      </c>
      <c r="P9" s="24"/>
      <c r="Q9" s="19"/>
      <c r="R9" s="20"/>
    </row>
    <row r="10" spans="2:18" s="7" customFormat="1" ht="11.1" customHeight="1" x14ac:dyDescent="0.2">
      <c r="C10" s="8"/>
      <c r="G10" s="118">
        <v>100</v>
      </c>
      <c r="H10" s="15">
        <f>Datos!B29</f>
        <v>-0.01</v>
      </c>
      <c r="I10" s="15">
        <f>Datos!C29</f>
        <v>-0.01</v>
      </c>
      <c r="J10" s="119">
        <f>Datos!D29</f>
        <v>-0.01</v>
      </c>
      <c r="K10" s="49"/>
      <c r="L10" s="49"/>
      <c r="M10" s="16">
        <f t="shared" si="0"/>
        <v>-0.01</v>
      </c>
      <c r="N10" s="17">
        <f t="shared" si="1"/>
        <v>0</v>
      </c>
      <c r="O10" s="18">
        <f t="shared" si="2"/>
        <v>0</v>
      </c>
      <c r="P10" s="19"/>
      <c r="Q10" s="19"/>
      <c r="R10" s="20"/>
    </row>
    <row r="11" spans="2:18" s="7" customFormat="1" ht="11.1" customHeight="1" x14ac:dyDescent="0.2">
      <c r="B11" s="511" t="s">
        <v>142</v>
      </c>
      <c r="C11" s="511"/>
      <c r="D11" s="25" t="s">
        <v>141</v>
      </c>
      <c r="E11" s="7">
        <v>0.16</v>
      </c>
      <c r="G11" s="118">
        <v>150</v>
      </c>
      <c r="H11" s="15">
        <f>Datos!B30</f>
        <v>-0.01</v>
      </c>
      <c r="I11" s="15">
        <f>Datos!C30</f>
        <v>-0.01</v>
      </c>
      <c r="J11" s="119">
        <f>Datos!D30</f>
        <v>-0.01</v>
      </c>
      <c r="K11" s="49"/>
      <c r="L11" s="49"/>
      <c r="M11" s="16">
        <f t="shared" si="0"/>
        <v>-0.01</v>
      </c>
      <c r="N11" s="17">
        <f t="shared" si="1"/>
        <v>0</v>
      </c>
      <c r="O11" s="18">
        <f t="shared" si="2"/>
        <v>0</v>
      </c>
      <c r="P11" s="19"/>
      <c r="Q11" s="19"/>
      <c r="R11" s="20"/>
    </row>
    <row r="12" spans="2:18" s="7" customFormat="1" ht="11.1" customHeight="1" x14ac:dyDescent="0.2">
      <c r="B12" s="25"/>
      <c r="C12" s="26"/>
      <c r="D12" s="25" t="s">
        <v>140</v>
      </c>
      <c r="E12" s="7">
        <f>0.34+(0.0014*C14)</f>
        <v>0.76</v>
      </c>
      <c r="G12" s="118">
        <v>200</v>
      </c>
      <c r="H12" s="15">
        <f>Datos!B31</f>
        <v>-0.01</v>
      </c>
      <c r="I12" s="15">
        <f>Datos!C31</f>
        <v>-0.01</v>
      </c>
      <c r="J12" s="119">
        <f>Datos!D31</f>
        <v>-0.01</v>
      </c>
      <c r="K12" s="49"/>
      <c r="L12" s="49"/>
      <c r="M12" s="16">
        <f t="shared" si="0"/>
        <v>-0.01</v>
      </c>
      <c r="N12" s="17">
        <f t="shared" si="1"/>
        <v>0</v>
      </c>
      <c r="O12" s="18">
        <f t="shared" si="2"/>
        <v>0</v>
      </c>
      <c r="P12" s="19"/>
      <c r="Q12" s="19"/>
      <c r="R12" s="20"/>
    </row>
    <row r="13" spans="2:18" s="7" customFormat="1" ht="11.1" hidden="1" customHeight="1" x14ac:dyDescent="0.2">
      <c r="B13" s="27" t="s">
        <v>139</v>
      </c>
      <c r="C13" s="28">
        <v>0.2</v>
      </c>
      <c r="D13" s="25"/>
      <c r="G13" s="118"/>
      <c r="H13" s="15">
        <f>Datos!B32</f>
        <v>0</v>
      </c>
      <c r="I13" s="15">
        <f>Datos!C32</f>
        <v>0</v>
      </c>
      <c r="J13" s="119">
        <f>Datos!D32</f>
        <v>0</v>
      </c>
      <c r="K13" s="49"/>
      <c r="L13" s="49"/>
      <c r="M13" s="16">
        <f t="shared" si="0"/>
        <v>0</v>
      </c>
      <c r="N13" s="17">
        <f t="shared" si="1"/>
        <v>0</v>
      </c>
      <c r="O13" s="18">
        <f t="shared" si="2"/>
        <v>0</v>
      </c>
      <c r="P13" s="19"/>
      <c r="Q13" s="19"/>
      <c r="R13" s="20"/>
    </row>
    <row r="14" spans="2:18" s="7" customFormat="1" ht="11.1" customHeight="1" x14ac:dyDescent="0.2">
      <c r="B14" s="27" t="s">
        <v>138</v>
      </c>
      <c r="C14" s="29">
        <f>Datos!A130</f>
        <v>300</v>
      </c>
      <c r="D14" s="25" t="s">
        <v>137</v>
      </c>
      <c r="E14" s="7">
        <f>(250+0.5*C14)/1000</f>
        <v>0.4</v>
      </c>
      <c r="G14" s="118">
        <v>300</v>
      </c>
      <c r="H14" s="15">
        <f>Datos!B33</f>
        <v>0</v>
      </c>
      <c r="I14" s="15">
        <f>Datos!C33</f>
        <v>0</v>
      </c>
      <c r="J14" s="119">
        <f>Datos!D33</f>
        <v>0</v>
      </c>
      <c r="K14" s="49"/>
      <c r="L14" s="49"/>
      <c r="M14" s="16">
        <f t="shared" si="0"/>
        <v>0</v>
      </c>
      <c r="N14" s="17">
        <f t="shared" si="1"/>
        <v>0</v>
      </c>
      <c r="O14" s="18">
        <f t="shared" si="2"/>
        <v>0</v>
      </c>
      <c r="P14" s="19"/>
      <c r="Q14" s="19"/>
      <c r="R14" s="20"/>
    </row>
    <row r="15" spans="2:18" s="7" customFormat="1" ht="15.75" customHeight="1" thickBot="1" x14ac:dyDescent="0.25">
      <c r="B15" s="30"/>
      <c r="C15" s="8"/>
      <c r="E15" s="7">
        <f>SQRT(E11^2+E12^2+E14^2)</f>
        <v>0.87361318671366217</v>
      </c>
      <c r="G15" s="120">
        <v>0</v>
      </c>
      <c r="H15" s="121"/>
      <c r="I15" s="121"/>
      <c r="J15" s="122"/>
      <c r="K15" s="49"/>
      <c r="L15" s="49"/>
      <c r="M15" s="16" t="e">
        <f>AVERAGE(H15:J15)</f>
        <v>#DIV/0!</v>
      </c>
      <c r="N15" s="17" t="e">
        <f>STDEV(H15:J15)</f>
        <v>#DIV/0!</v>
      </c>
      <c r="O15" s="18" t="e">
        <f>N15/SQRT(5)</f>
        <v>#DIV/0!</v>
      </c>
      <c r="P15" s="19"/>
      <c r="Q15" s="19"/>
      <c r="R15" s="20"/>
    </row>
    <row r="16" spans="2:18" s="7" customFormat="1" ht="11.1" customHeight="1" x14ac:dyDescent="0.25">
      <c r="B16" s="30" t="s">
        <v>94</v>
      </c>
      <c r="C16" s="8">
        <f>E15</f>
        <v>0.87361318671366217</v>
      </c>
      <c r="D16" s="7">
        <v>0.17</v>
      </c>
      <c r="O16" s="30"/>
      <c r="P16" s="31"/>
    </row>
    <row r="17" spans="2:17" s="7" customFormat="1" ht="11.1" customHeight="1" x14ac:dyDescent="0.25">
      <c r="B17" s="30" t="s">
        <v>136</v>
      </c>
      <c r="C17" s="8">
        <f>C16/2</f>
        <v>0.43680659335683109</v>
      </c>
      <c r="E17" s="7">
        <f>(D18-D16)/610</f>
        <v>5.4262295081967211E-3</v>
      </c>
    </row>
    <row r="18" spans="2:17" s="7" customFormat="1" ht="11.1" customHeight="1" thickBot="1" x14ac:dyDescent="0.3">
      <c r="B18" s="30" t="s">
        <v>135</v>
      </c>
      <c r="C18" s="8">
        <f>(0.17+(0.01*C14))/SQRT(3)</f>
        <v>1.8302003533311137</v>
      </c>
      <c r="D18" s="7">
        <v>3.48</v>
      </c>
    </row>
    <row r="19" spans="2:17" s="7" customFormat="1" ht="12.75" customHeight="1" thickBot="1" x14ac:dyDescent="0.25">
      <c r="B19" s="32" t="s">
        <v>134</v>
      </c>
      <c r="C19" s="33">
        <f>SQRT(C18^2+C17^2)</f>
        <v>1.8816039257328663</v>
      </c>
      <c r="D19" s="23" t="s">
        <v>73</v>
      </c>
      <c r="E19" s="10"/>
      <c r="F19" s="10"/>
    </row>
    <row r="20" spans="2:17" s="7" customFormat="1" ht="11.1" customHeight="1" x14ac:dyDescent="0.2">
      <c r="C20" s="8"/>
      <c r="G20" s="509" t="s">
        <v>133</v>
      </c>
      <c r="H20" s="509"/>
      <c r="I20" s="509"/>
      <c r="J20" s="509"/>
      <c r="K20" s="509"/>
      <c r="L20" s="509"/>
    </row>
    <row r="21" spans="2:17" s="7" customFormat="1" ht="11.1" customHeight="1" thickBot="1" x14ac:dyDescent="0.25">
      <c r="C21" s="8"/>
      <c r="G21" s="34"/>
      <c r="H21" s="34"/>
      <c r="I21" s="34"/>
      <c r="J21" s="34"/>
      <c r="K21" s="34"/>
      <c r="L21" s="34"/>
    </row>
    <row r="22" spans="2:17" s="7" customFormat="1" ht="11.1" customHeight="1" x14ac:dyDescent="0.2">
      <c r="B22" s="512" t="s">
        <v>77</v>
      </c>
      <c r="C22" s="512"/>
      <c r="G22" s="113" t="s">
        <v>93</v>
      </c>
      <c r="H22" s="114" t="s">
        <v>132</v>
      </c>
      <c r="I22" s="114" t="s">
        <v>131</v>
      </c>
      <c r="J22" s="115" t="s">
        <v>130</v>
      </c>
      <c r="K22" s="84"/>
      <c r="L22" s="84"/>
    </row>
    <row r="23" spans="2:17" s="7" customFormat="1" ht="11.1" customHeight="1" x14ac:dyDescent="0.2">
      <c r="C23" s="8"/>
      <c r="D23" s="8" t="s">
        <v>85</v>
      </c>
      <c r="G23" s="116" t="s">
        <v>129</v>
      </c>
      <c r="H23" s="14" t="s">
        <v>128</v>
      </c>
      <c r="I23" s="14" t="s">
        <v>128</v>
      </c>
      <c r="J23" s="117" t="s">
        <v>128</v>
      </c>
      <c r="K23" s="84"/>
      <c r="L23" s="84"/>
    </row>
    <row r="24" spans="2:17" s="7" customFormat="1" ht="11.1" customHeight="1" x14ac:dyDescent="0.2">
      <c r="B24" s="35" t="s">
        <v>127</v>
      </c>
      <c r="C24" s="2">
        <v>2</v>
      </c>
      <c r="D24" s="2">
        <f>C24/SQRT(3)</f>
        <v>1.1547005383792517</v>
      </c>
      <c r="G24" s="118">
        <v>0</v>
      </c>
      <c r="H24" s="15">
        <f>Datos!B36</f>
        <v>0</v>
      </c>
      <c r="I24" s="15">
        <f>Datos!C36</f>
        <v>0</v>
      </c>
      <c r="J24" s="119">
        <f>Datos!D36</f>
        <v>0</v>
      </c>
      <c r="K24" s="49"/>
      <c r="L24" s="49"/>
      <c r="M24" s="16">
        <f>AVERAGE(H24:J24)</f>
        <v>0</v>
      </c>
      <c r="N24" s="17">
        <f>STDEV(H24:J24)</f>
        <v>0</v>
      </c>
      <c r="O24" s="36">
        <f>N24/SQRT(C$6)</f>
        <v>0</v>
      </c>
      <c r="P24" s="19">
        <f>MAX(O6:O11)</f>
        <v>0</v>
      </c>
      <c r="Q24" s="19"/>
    </row>
    <row r="25" spans="2:17" s="7" customFormat="1" ht="11.1" customHeight="1" x14ac:dyDescent="0.2">
      <c r="B25" s="35" t="s">
        <v>126</v>
      </c>
      <c r="C25" s="2">
        <v>2</v>
      </c>
      <c r="D25" s="2">
        <f>C25/SQRT(3)</f>
        <v>1.1547005383792517</v>
      </c>
      <c r="G25" s="118">
        <v>10</v>
      </c>
      <c r="H25" s="15">
        <f>Datos!B37</f>
        <v>0</v>
      </c>
      <c r="I25" s="15">
        <f>Datos!C37</f>
        <v>0</v>
      </c>
      <c r="J25" s="119">
        <f>Datos!D37</f>
        <v>0</v>
      </c>
      <c r="K25" s="49"/>
      <c r="L25" s="49"/>
      <c r="M25" s="16">
        <f t="shared" ref="M25:M31" si="3">AVERAGE(H25:J25)</f>
        <v>0</v>
      </c>
      <c r="N25" s="17">
        <f t="shared" ref="N25:N30" si="4">STDEV(H25:J25)</f>
        <v>0</v>
      </c>
      <c r="O25" s="36">
        <f t="shared" ref="O25:O31" si="5">N25/SQRT(C$6)</f>
        <v>0</v>
      </c>
      <c r="P25" s="19">
        <f>MAX(O24:O29)</f>
        <v>0</v>
      </c>
      <c r="Q25" s="19"/>
    </row>
    <row r="26" spans="2:17" s="7" customFormat="1" ht="11.1" customHeight="1" x14ac:dyDescent="0.2">
      <c r="B26" s="35" t="s">
        <v>125</v>
      </c>
      <c r="C26" s="2">
        <v>0.5</v>
      </c>
      <c r="D26" s="2">
        <f>C26/2</f>
        <v>0.25</v>
      </c>
      <c r="G26" s="118">
        <v>30</v>
      </c>
      <c r="H26" s="15">
        <f>Datos!B38</f>
        <v>0.01</v>
      </c>
      <c r="I26" s="15">
        <f>Datos!C38</f>
        <v>0.01</v>
      </c>
      <c r="J26" s="119">
        <f>Datos!D38</f>
        <v>0.01</v>
      </c>
      <c r="K26" s="49"/>
      <c r="L26" s="49"/>
      <c r="M26" s="16">
        <f t="shared" si="3"/>
        <v>0.01</v>
      </c>
      <c r="N26" s="17">
        <f t="shared" si="4"/>
        <v>0</v>
      </c>
      <c r="O26" s="36">
        <f t="shared" si="5"/>
        <v>0</v>
      </c>
      <c r="P26" s="19">
        <f>(MAX(P24:P25))*1000</f>
        <v>0</v>
      </c>
      <c r="Q26" s="19"/>
    </row>
    <row r="27" spans="2:17" s="7" customFormat="1" ht="11.1" customHeight="1" x14ac:dyDescent="0.2">
      <c r="B27" s="35" t="s">
        <v>124</v>
      </c>
      <c r="C27" s="2">
        <v>0.5</v>
      </c>
      <c r="D27" s="2">
        <f>C27/SQRT(3)</f>
        <v>0.28867513459481292</v>
      </c>
      <c r="G27" s="118">
        <v>50</v>
      </c>
      <c r="H27" s="15">
        <f>Datos!B39</f>
        <v>0</v>
      </c>
      <c r="I27" s="15">
        <f>Datos!C39</f>
        <v>0</v>
      </c>
      <c r="J27" s="119">
        <f>Datos!D39</f>
        <v>0</v>
      </c>
      <c r="K27" s="49"/>
      <c r="L27" s="49"/>
      <c r="M27" s="16">
        <f t="shared" si="3"/>
        <v>0</v>
      </c>
      <c r="N27" s="17">
        <f t="shared" si="4"/>
        <v>0</v>
      </c>
      <c r="O27" s="36">
        <f t="shared" si="5"/>
        <v>0</v>
      </c>
      <c r="P27" s="19"/>
      <c r="Q27" s="19"/>
    </row>
    <row r="28" spans="2:17" s="7" customFormat="1" ht="12.75" customHeight="1" x14ac:dyDescent="0.2">
      <c r="B28" s="35"/>
      <c r="C28" s="2" t="s">
        <v>85</v>
      </c>
      <c r="D28" s="2">
        <f>SQRT(POWER(D27,2)+POWER(D26,2))</f>
        <v>0.38188130791298669</v>
      </c>
      <c r="G28" s="118">
        <v>90</v>
      </c>
      <c r="H28" s="15">
        <f>Datos!B40</f>
        <v>0</v>
      </c>
      <c r="I28" s="15">
        <f>Datos!C40</f>
        <v>0</v>
      </c>
      <c r="J28" s="119">
        <f>Datos!D40</f>
        <v>0</v>
      </c>
      <c r="K28" s="49"/>
      <c r="L28" s="49"/>
      <c r="M28" s="16">
        <f t="shared" si="3"/>
        <v>0</v>
      </c>
      <c r="N28" s="17">
        <f t="shared" si="4"/>
        <v>0</v>
      </c>
      <c r="O28" s="36">
        <f t="shared" si="5"/>
        <v>0</v>
      </c>
      <c r="P28" s="19"/>
      <c r="Q28" s="19"/>
    </row>
    <row r="29" spans="2:17" s="7" customFormat="1" ht="11.1" customHeight="1" thickBot="1" x14ac:dyDescent="0.25">
      <c r="B29" s="35" t="s">
        <v>123</v>
      </c>
      <c r="C29" s="2">
        <v>0.5</v>
      </c>
      <c r="D29" s="2">
        <f>C29/SQRT(3)</f>
        <v>0.28867513459481292</v>
      </c>
      <c r="G29" s="123">
        <v>150</v>
      </c>
      <c r="H29" s="15">
        <f>Datos!B41</f>
        <v>0</v>
      </c>
      <c r="I29" s="15">
        <f>Datos!C41</f>
        <v>0</v>
      </c>
      <c r="J29" s="119">
        <f>Datos!D41</f>
        <v>0</v>
      </c>
      <c r="K29" s="49"/>
      <c r="L29" s="49"/>
      <c r="M29" s="16">
        <f t="shared" si="3"/>
        <v>0</v>
      </c>
      <c r="N29" s="17">
        <f t="shared" si="4"/>
        <v>0</v>
      </c>
      <c r="O29" s="36">
        <f t="shared" si="5"/>
        <v>0</v>
      </c>
      <c r="P29" s="19"/>
    </row>
    <row r="30" spans="2:17" s="7" customFormat="1" ht="11.1" customHeight="1" thickTop="1" x14ac:dyDescent="0.2">
      <c r="B30" s="35" t="s">
        <v>122</v>
      </c>
      <c r="C30" s="2">
        <v>11.8</v>
      </c>
      <c r="D30" s="2"/>
      <c r="G30" s="118">
        <v>190</v>
      </c>
      <c r="H30" s="15">
        <f>Datos!B42</f>
        <v>-0.01</v>
      </c>
      <c r="I30" s="15">
        <f>Datos!C42</f>
        <v>-0.01</v>
      </c>
      <c r="J30" s="119">
        <f>Datos!D42</f>
        <v>-0.01</v>
      </c>
      <c r="K30" s="49"/>
      <c r="L30" s="49"/>
      <c r="M30" s="16">
        <f t="shared" si="3"/>
        <v>-0.01</v>
      </c>
      <c r="N30" s="17">
        <f t="shared" si="4"/>
        <v>0</v>
      </c>
      <c r="O30" s="36">
        <f t="shared" si="5"/>
        <v>0</v>
      </c>
    </row>
    <row r="31" spans="2:17" s="7" customFormat="1" ht="11.1" customHeight="1" thickBot="1" x14ac:dyDescent="0.25">
      <c r="B31" s="35" t="s">
        <v>121</v>
      </c>
      <c r="C31" s="2">
        <v>11.8</v>
      </c>
      <c r="D31" s="2"/>
      <c r="G31" s="120">
        <v>290</v>
      </c>
      <c r="H31" s="121">
        <f>Datos!B43</f>
        <v>0</v>
      </c>
      <c r="I31" s="121">
        <f>Datos!C43</f>
        <v>0</v>
      </c>
      <c r="J31" s="122">
        <f>Datos!D43</f>
        <v>0</v>
      </c>
      <c r="K31" s="49"/>
      <c r="L31" s="49"/>
      <c r="M31" s="16">
        <f t="shared" si="3"/>
        <v>0</v>
      </c>
      <c r="N31" s="17">
        <f>STDEV(H31:J31)</f>
        <v>0</v>
      </c>
      <c r="O31" s="36">
        <f t="shared" si="5"/>
        <v>0</v>
      </c>
    </row>
    <row r="32" spans="2:17" s="7" customFormat="1" ht="11.1" customHeight="1" x14ac:dyDescent="0.25">
      <c r="B32" s="35" t="s">
        <v>120</v>
      </c>
      <c r="C32" s="2">
        <f>(C30+C31)/2</f>
        <v>11.8</v>
      </c>
      <c r="D32" s="2"/>
    </row>
    <row r="33" spans="2:12" s="7" customFormat="1" ht="11.1" customHeight="1" x14ac:dyDescent="0.25">
      <c r="B33" s="35" t="s">
        <v>119</v>
      </c>
      <c r="C33" s="2">
        <v>20</v>
      </c>
      <c r="D33" s="2"/>
    </row>
    <row r="34" spans="2:12" s="7" customFormat="1" ht="11.1" customHeight="1" x14ac:dyDescent="0.25">
      <c r="B34" s="35" t="s">
        <v>118</v>
      </c>
      <c r="C34" s="2">
        <f>C14/1000</f>
        <v>0.3</v>
      </c>
      <c r="D34" s="2"/>
      <c r="G34" s="500" t="s">
        <v>271</v>
      </c>
      <c r="H34" s="501"/>
      <c r="I34" s="501"/>
      <c r="J34" s="501"/>
      <c r="K34" s="501"/>
      <c r="L34" s="501"/>
    </row>
    <row r="35" spans="2:12" s="7" customFormat="1" ht="11.1" customHeight="1" thickBot="1" x14ac:dyDescent="0.3">
      <c r="C35" s="8"/>
      <c r="D35" s="2"/>
    </row>
    <row r="36" spans="2:12" s="7" customFormat="1" ht="11.1" customHeight="1" x14ac:dyDescent="0.25">
      <c r="B36" s="35" t="s">
        <v>117</v>
      </c>
      <c r="C36" s="2">
        <f>(C34*C27*D25)/SQRT(3)</f>
        <v>0.10000000000000002</v>
      </c>
      <c r="D36" s="2">
        <f>C36*SQRT(3)</f>
        <v>0.17320508075688776</v>
      </c>
      <c r="G36" s="513" t="s">
        <v>270</v>
      </c>
      <c r="H36" s="514"/>
      <c r="I36" s="514"/>
      <c r="J36" s="514"/>
      <c r="K36" s="514"/>
      <c r="L36" s="515"/>
    </row>
    <row r="37" spans="2:12" s="7" customFormat="1" ht="11.1" customHeight="1" thickBot="1" x14ac:dyDescent="0.3">
      <c r="C37" s="8"/>
      <c r="D37" s="2"/>
      <c r="G37" s="516"/>
      <c r="H37" s="517"/>
      <c r="I37" s="517"/>
      <c r="J37" s="517"/>
      <c r="K37" s="517"/>
      <c r="L37" s="518"/>
    </row>
    <row r="38" spans="2:12" s="7" customFormat="1" ht="11.1" customHeight="1" thickBot="1" x14ac:dyDescent="0.3">
      <c r="B38" s="37" t="s">
        <v>116</v>
      </c>
      <c r="C38" s="38">
        <f>(C34*C32*C29)/(SQRT(3))</f>
        <v>1.0219099764656376</v>
      </c>
      <c r="D38" s="2">
        <f>C38*SQRT(3)</f>
        <v>1.77</v>
      </c>
      <c r="G38" s="519" t="s">
        <v>268</v>
      </c>
      <c r="H38" s="520"/>
      <c r="I38" s="520" t="s">
        <v>269</v>
      </c>
      <c r="J38" s="520"/>
      <c r="K38" s="520"/>
      <c r="L38" s="521"/>
    </row>
    <row r="39" spans="2:12" s="7" customFormat="1" ht="24.75" customHeight="1" thickBot="1" x14ac:dyDescent="0.3">
      <c r="C39" s="8"/>
      <c r="D39" s="2"/>
      <c r="G39" s="519"/>
      <c r="H39" s="520"/>
      <c r="I39" s="520"/>
      <c r="J39" s="520"/>
      <c r="K39" s="520"/>
      <c r="L39" s="521"/>
    </row>
    <row r="40" spans="2:12" s="7" customFormat="1" ht="11.1" customHeight="1" x14ac:dyDescent="0.25">
      <c r="B40" s="39" t="s">
        <v>115</v>
      </c>
      <c r="C40" s="40">
        <f>(C34*D25*D28)</f>
        <v>0.13228756555322957</v>
      </c>
      <c r="D40" s="13">
        <f>C40/SQRT(3)</f>
        <v>7.637626158259736E-2</v>
      </c>
      <c r="G40" s="519"/>
      <c r="H40" s="520"/>
      <c r="I40" s="522" t="s">
        <v>241</v>
      </c>
      <c r="J40" s="522"/>
      <c r="K40" s="522" t="s">
        <v>242</v>
      </c>
      <c r="L40" s="523"/>
    </row>
    <row r="41" spans="2:12" s="7" customFormat="1" ht="11.1" customHeight="1" x14ac:dyDescent="0.25">
      <c r="B41" s="35" t="s">
        <v>114</v>
      </c>
      <c r="C41" s="41">
        <f>(C34*D24*D29)</f>
        <v>0.10000000000000003</v>
      </c>
      <c r="D41" s="13">
        <f>C41/SQRT(3)</f>
        <v>5.7735026918962602E-2</v>
      </c>
      <c r="G41" s="502" t="s">
        <v>243</v>
      </c>
      <c r="H41" s="503"/>
      <c r="I41" s="503" t="s">
        <v>244</v>
      </c>
      <c r="J41" s="503"/>
      <c r="K41" s="503" t="s">
        <v>245</v>
      </c>
      <c r="L41" s="504"/>
    </row>
    <row r="42" spans="2:12" s="7" customFormat="1" ht="11.1" customHeight="1" thickBot="1" x14ac:dyDescent="0.3">
      <c r="C42" s="8"/>
      <c r="D42" s="2"/>
      <c r="G42" s="502" t="s">
        <v>246</v>
      </c>
      <c r="H42" s="503"/>
      <c r="I42" s="503" t="s">
        <v>247</v>
      </c>
      <c r="J42" s="503"/>
      <c r="K42" s="503" t="s">
        <v>248</v>
      </c>
      <c r="L42" s="504"/>
    </row>
    <row r="43" spans="2:12" s="7" customFormat="1" ht="11.1" customHeight="1" thickBot="1" x14ac:dyDescent="0.3">
      <c r="B43" s="42" t="s">
        <v>113</v>
      </c>
      <c r="C43" s="43">
        <f>SQRT(POWER(C36,2)+POWER(C38,2)+D40^2+D41^2)</f>
        <v>1.0312452020090406</v>
      </c>
      <c r="D43" s="2"/>
      <c r="G43" s="502" t="s">
        <v>249</v>
      </c>
      <c r="H43" s="503"/>
      <c r="I43" s="503" t="s">
        <v>250</v>
      </c>
      <c r="J43" s="503"/>
      <c r="K43" s="503"/>
      <c r="L43" s="504"/>
    </row>
    <row r="44" spans="2:12" s="7" customFormat="1" ht="11.1" customHeight="1" x14ac:dyDescent="0.25">
      <c r="C44" s="8"/>
      <c r="D44" s="2"/>
      <c r="G44" s="502" t="s">
        <v>251</v>
      </c>
      <c r="H44" s="503"/>
      <c r="I44" s="503" t="s">
        <v>252</v>
      </c>
      <c r="J44" s="503"/>
      <c r="K44" s="503" t="s">
        <v>253</v>
      </c>
      <c r="L44" s="504"/>
    </row>
    <row r="45" spans="2:12" s="7" customFormat="1" ht="11.1" customHeight="1" x14ac:dyDescent="0.25">
      <c r="B45" s="508" t="s">
        <v>112</v>
      </c>
      <c r="C45" s="508"/>
      <c r="D45" s="2"/>
      <c r="G45" s="502" t="s">
        <v>254</v>
      </c>
      <c r="H45" s="503"/>
      <c r="I45" s="503" t="s">
        <v>255</v>
      </c>
      <c r="J45" s="503"/>
      <c r="K45" s="503"/>
      <c r="L45" s="504"/>
    </row>
    <row r="46" spans="2:12" s="7" customFormat="1" ht="11.1" customHeight="1" x14ac:dyDescent="0.25">
      <c r="C46" s="8"/>
      <c r="D46" s="2"/>
      <c r="G46" s="502" t="s">
        <v>256</v>
      </c>
      <c r="H46" s="503"/>
      <c r="I46" s="503" t="s">
        <v>257</v>
      </c>
      <c r="J46" s="503"/>
      <c r="K46" s="503" t="s">
        <v>244</v>
      </c>
      <c r="L46" s="504"/>
    </row>
    <row r="47" spans="2:12" s="7" customFormat="1" ht="11.1" customHeight="1" x14ac:dyDescent="0.25">
      <c r="B47" s="7" t="s">
        <v>109</v>
      </c>
      <c r="C47" s="2">
        <v>0</v>
      </c>
      <c r="D47" s="2"/>
      <c r="G47" s="502" t="s">
        <v>258</v>
      </c>
      <c r="H47" s="503"/>
      <c r="I47" s="503" t="s">
        <v>259</v>
      </c>
      <c r="J47" s="503"/>
      <c r="K47" s="503"/>
      <c r="L47" s="504"/>
    </row>
    <row r="48" spans="2:12" s="7" customFormat="1" ht="11.1" customHeight="1" thickBot="1" x14ac:dyDescent="0.3">
      <c r="C48" s="8"/>
      <c r="G48" s="502" t="s">
        <v>260</v>
      </c>
      <c r="H48" s="503"/>
      <c r="I48" s="503" t="s">
        <v>261</v>
      </c>
      <c r="J48" s="503"/>
      <c r="K48" s="503" t="s">
        <v>247</v>
      </c>
      <c r="L48" s="504"/>
    </row>
    <row r="49" spans="2:12" s="7" customFormat="1" ht="11.1" customHeight="1" thickBot="1" x14ac:dyDescent="0.3">
      <c r="B49" s="44" t="s">
        <v>111</v>
      </c>
      <c r="C49" s="45">
        <f>(C47)/((1)*2*SQRT(3))</f>
        <v>0</v>
      </c>
      <c r="E49" s="10"/>
      <c r="F49" s="10"/>
      <c r="G49" s="502" t="s">
        <v>262</v>
      </c>
      <c r="H49" s="503"/>
      <c r="I49" s="503" t="s">
        <v>263</v>
      </c>
      <c r="J49" s="503"/>
      <c r="K49" s="503"/>
      <c r="L49" s="504"/>
    </row>
    <row r="50" spans="2:12" s="7" customFormat="1" ht="11.1" customHeight="1" x14ac:dyDescent="0.25">
      <c r="C50" s="8"/>
      <c r="G50" s="502" t="s">
        <v>264</v>
      </c>
      <c r="H50" s="503"/>
      <c r="I50" s="503" t="s">
        <v>265</v>
      </c>
      <c r="J50" s="503"/>
      <c r="K50" s="503" t="s">
        <v>250</v>
      </c>
      <c r="L50" s="504"/>
    </row>
    <row r="51" spans="2:12" s="7" customFormat="1" ht="11.1" customHeight="1" thickBot="1" x14ac:dyDescent="0.3">
      <c r="C51" s="8"/>
      <c r="G51" s="507" t="s">
        <v>266</v>
      </c>
      <c r="H51" s="505"/>
      <c r="I51" s="505" t="s">
        <v>267</v>
      </c>
      <c r="J51" s="505"/>
      <c r="K51" s="505"/>
      <c r="L51" s="506"/>
    </row>
    <row r="52" spans="2:12" s="7" customFormat="1" ht="11.1" customHeight="1" x14ac:dyDescent="0.25">
      <c r="B52" s="508" t="s">
        <v>110</v>
      </c>
      <c r="C52" s="508"/>
    </row>
    <row r="53" spans="2:12" s="7" customFormat="1" ht="11.1" customHeight="1" x14ac:dyDescent="0.25">
      <c r="C53" s="8"/>
    </row>
    <row r="54" spans="2:12" s="7" customFormat="1" ht="11.1" customHeight="1" x14ac:dyDescent="0.25">
      <c r="B54" s="7" t="s">
        <v>109</v>
      </c>
      <c r="C54" s="2">
        <f>Datos!A131*1000</f>
        <v>0</v>
      </c>
    </row>
    <row r="55" spans="2:12" s="7" customFormat="1" ht="11.1" customHeight="1" x14ac:dyDescent="0.25">
      <c r="C55" s="8"/>
    </row>
    <row r="56" spans="2:12" s="7" customFormat="1" ht="11.1" customHeight="1" thickBot="1" x14ac:dyDescent="0.3">
      <c r="C56" s="8"/>
    </row>
    <row r="57" spans="2:12" s="7" customFormat="1" ht="20.25" customHeight="1" thickBot="1" x14ac:dyDescent="0.25">
      <c r="B57" s="46" t="s">
        <v>108</v>
      </c>
      <c r="C57" s="43">
        <f>(C54)/((1)*2*SQRT(3))</f>
        <v>0</v>
      </c>
      <c r="D57" s="23" t="s">
        <v>73</v>
      </c>
      <c r="E57" s="34" t="s">
        <v>107</v>
      </c>
      <c r="F57" s="47"/>
      <c r="G57" s="47"/>
      <c r="H57" s="47"/>
      <c r="I57" s="47"/>
      <c r="J57" s="25"/>
      <c r="K57" s="25"/>
    </row>
    <row r="58" spans="2:12" s="7" customFormat="1" ht="14.25" customHeight="1" x14ac:dyDescent="0.2">
      <c r="C58" s="8"/>
      <c r="E58" s="34"/>
      <c r="F58" s="34" t="s">
        <v>106</v>
      </c>
      <c r="G58" s="48"/>
      <c r="H58" s="34"/>
      <c r="I58" s="49">
        <f>ABS(Datos!D47)-ABS(Datos!E47)</f>
        <v>0.01</v>
      </c>
      <c r="J58" s="50">
        <f>MAX(H6:L11)</f>
        <v>0</v>
      </c>
      <c r="K58" s="25">
        <f>MIN(H6:L15)</f>
        <v>-0.01</v>
      </c>
    </row>
    <row r="59" spans="2:12" s="7" customFormat="1" ht="15" customHeight="1" thickBot="1" x14ac:dyDescent="0.25">
      <c r="B59" s="9" t="s">
        <v>105</v>
      </c>
      <c r="C59" s="8" t="s">
        <v>104</v>
      </c>
      <c r="E59" s="34"/>
      <c r="F59" s="34" t="s">
        <v>103</v>
      </c>
      <c r="G59" s="34"/>
      <c r="H59" s="51"/>
      <c r="I59" s="52">
        <v>2E-3</v>
      </c>
      <c r="J59" s="25">
        <f>J58-K58</f>
        <v>0.01</v>
      </c>
      <c r="K59" s="25"/>
    </row>
    <row r="60" spans="2:12" s="7" customFormat="1" ht="18" customHeight="1" thickBot="1" x14ac:dyDescent="0.25">
      <c r="B60" s="7" t="s">
        <v>88</v>
      </c>
      <c r="C60" s="8">
        <v>0.01</v>
      </c>
      <c r="F60" s="53" t="s">
        <v>102</v>
      </c>
      <c r="G60" s="54">
        <f>I58/SQRT(3)*1000</f>
        <v>5.7735026918962582</v>
      </c>
      <c r="H60" s="55" t="s">
        <v>73</v>
      </c>
    </row>
    <row r="61" spans="2:12" s="7" customFormat="1" ht="11.1" customHeight="1" x14ac:dyDescent="0.25">
      <c r="B61" s="7" t="s">
        <v>101</v>
      </c>
      <c r="C61" s="8">
        <v>20</v>
      </c>
    </row>
    <row r="62" spans="2:12" s="7" customFormat="1" ht="11.1" customHeight="1" x14ac:dyDescent="0.25">
      <c r="B62" s="7" t="s">
        <v>86</v>
      </c>
      <c r="C62" s="8">
        <v>53</v>
      </c>
    </row>
    <row r="63" spans="2:12" s="7" customFormat="1" ht="11.1" customHeight="1" thickBot="1" x14ac:dyDescent="0.3">
      <c r="B63" s="7" t="s">
        <v>100</v>
      </c>
      <c r="C63" s="8">
        <f>(C60*C61/C62)*1000</f>
        <v>3.7735849056603774</v>
      </c>
    </row>
    <row r="64" spans="2:12" s="7" customFormat="1" ht="11.1" customHeight="1" thickBot="1" x14ac:dyDescent="0.25">
      <c r="B64" s="56" t="s">
        <v>99</v>
      </c>
      <c r="C64" s="57">
        <f>C63/SQRT(3)</f>
        <v>2.1786802610929277</v>
      </c>
      <c r="D64" s="23" t="s">
        <v>73</v>
      </c>
    </row>
    <row r="65" spans="1:13" s="7" customFormat="1" ht="11.1" customHeight="1" x14ac:dyDescent="0.25">
      <c r="C65" s="8"/>
    </row>
    <row r="66" spans="1:13" s="7" customFormat="1" ht="11.1" customHeight="1" x14ac:dyDescent="0.25">
      <c r="B66" s="9" t="s">
        <v>98</v>
      </c>
      <c r="C66" s="8"/>
    </row>
    <row r="67" spans="1:13" s="7" customFormat="1" ht="11.1" customHeight="1" x14ac:dyDescent="0.25">
      <c r="B67" s="7" t="s">
        <v>97</v>
      </c>
      <c r="C67" s="8">
        <v>0</v>
      </c>
    </row>
    <row r="68" spans="1:13" s="7" customFormat="1" ht="11.1" customHeight="1" x14ac:dyDescent="0.25">
      <c r="B68" s="7" t="s">
        <v>96</v>
      </c>
      <c r="C68" s="8">
        <f>C67/SQRT(3)</f>
        <v>0</v>
      </c>
    </row>
    <row r="69" spans="1:13" s="7" customFormat="1" ht="11.1" customHeight="1" thickBot="1" x14ac:dyDescent="0.3">
      <c r="C69" s="8"/>
    </row>
    <row r="70" spans="1:13" s="7" customFormat="1" ht="11.1" customHeight="1" thickBot="1" x14ac:dyDescent="0.25">
      <c r="B70" s="56" t="s">
        <v>95</v>
      </c>
      <c r="C70" s="57">
        <f>SQRT(POWER(C57,2) + POWER(C49,2) + POWER(C43,2)+POWER(C19,2) + POWER(C8,2) +POWER(C64,2) + POWER(C68,2)+POWER(G60,2))</f>
        <v>6.5332902134689599</v>
      </c>
      <c r="D70" s="23" t="s">
        <v>73</v>
      </c>
    </row>
    <row r="71" spans="1:13" s="7" customFormat="1" ht="11.1" customHeight="1" thickBot="1" x14ac:dyDescent="0.3">
      <c r="C71" s="8"/>
    </row>
    <row r="72" spans="1:13" s="7" customFormat="1" ht="11.1" customHeight="1" thickBot="1" x14ac:dyDescent="0.25">
      <c r="B72" s="58" t="s">
        <v>94</v>
      </c>
      <c r="C72" s="59">
        <f>C70*2</f>
        <v>13.06658042693792</v>
      </c>
      <c r="D72" s="23" t="s">
        <v>73</v>
      </c>
      <c r="M72" s="7" t="e">
        <f>VLOOKUP(Datos!B3,[1]Clientes!$A$1:$IV$65536,2,FALSE)</f>
        <v>#N/A</v>
      </c>
    </row>
    <row r="73" spans="1:13" ht="11.1" customHeight="1" x14ac:dyDescent="0.25"/>
    <row r="74" spans="1:13" ht="11.1" customHeight="1" x14ac:dyDescent="0.25"/>
    <row r="75" spans="1:13" ht="11.1" customHeight="1" x14ac:dyDescent="0.25"/>
    <row r="76" spans="1:13" ht="11.1" hidden="1" customHeight="1" x14ac:dyDescent="0.25">
      <c r="A76" s="62"/>
      <c r="B76" s="62"/>
      <c r="C76" s="63" t="s">
        <v>93</v>
      </c>
      <c r="D76" s="62" t="s">
        <v>92</v>
      </c>
      <c r="E76" s="62"/>
    </row>
    <row r="77" spans="1:13" ht="11.1" hidden="1" customHeight="1" x14ac:dyDescent="0.25">
      <c r="A77" s="62"/>
      <c r="B77" s="62" t="s">
        <v>91</v>
      </c>
      <c r="C77" s="63">
        <v>5.8</v>
      </c>
      <c r="D77" s="62">
        <v>0</v>
      </c>
      <c r="E77" s="62"/>
    </row>
    <row r="78" spans="1:13" ht="11.1" hidden="1" customHeight="1" x14ac:dyDescent="0.25">
      <c r="A78" s="62"/>
      <c r="B78" s="62" t="s">
        <v>90</v>
      </c>
      <c r="C78" s="63">
        <v>24</v>
      </c>
      <c r="D78" s="62">
        <v>1500</v>
      </c>
      <c r="E78" s="62"/>
    </row>
    <row r="79" spans="1:13" ht="11.1" hidden="1" customHeight="1" x14ac:dyDescent="0.25">
      <c r="A79" s="62"/>
      <c r="B79" s="62" t="s">
        <v>89</v>
      </c>
      <c r="C79" s="63">
        <f>C78-C77</f>
        <v>18.2</v>
      </c>
      <c r="D79" s="64">
        <f>D78-D77</f>
        <v>1500</v>
      </c>
      <c r="E79" s="62"/>
    </row>
    <row r="80" spans="1:13" ht="11.1" hidden="1" customHeight="1" x14ac:dyDescent="0.25">
      <c r="A80" s="62"/>
      <c r="B80" s="65" t="s">
        <v>88</v>
      </c>
      <c r="C80" s="63">
        <f>C77-C79*D77/D79</f>
        <v>5.8</v>
      </c>
      <c r="D80" s="62"/>
      <c r="E80" s="62"/>
    </row>
    <row r="81" spans="1:10" ht="11.1" hidden="1" customHeight="1" x14ac:dyDescent="0.25">
      <c r="A81" s="62"/>
      <c r="B81" s="62"/>
      <c r="C81" s="63"/>
      <c r="D81" s="62"/>
      <c r="E81" s="62"/>
    </row>
    <row r="82" spans="1:10" ht="11.1" hidden="1" customHeight="1" x14ac:dyDescent="0.25">
      <c r="A82" s="62"/>
      <c r="B82" s="64" t="s">
        <v>88</v>
      </c>
      <c r="C82" s="63">
        <f>C80</f>
        <v>5.8</v>
      </c>
      <c r="D82" s="62"/>
      <c r="E82" s="62"/>
    </row>
    <row r="83" spans="1:10" ht="11.1" hidden="1" customHeight="1" x14ac:dyDescent="0.25">
      <c r="A83" s="62"/>
      <c r="B83" s="64" t="s">
        <v>87</v>
      </c>
      <c r="C83" s="63">
        <f>C79/D79</f>
        <v>1.2133333333333333E-2</v>
      </c>
      <c r="D83" s="62"/>
      <c r="E83" s="62"/>
    </row>
    <row r="84" spans="1:10" ht="11.1" hidden="1" customHeight="1" x14ac:dyDescent="0.25">
      <c r="A84" s="62"/>
      <c r="B84" s="64" t="s">
        <v>86</v>
      </c>
      <c r="C84" s="63">
        <v>1500</v>
      </c>
      <c r="D84" s="62"/>
      <c r="E84" s="62"/>
    </row>
    <row r="85" spans="1:10" ht="11.1" hidden="1" customHeight="1" x14ac:dyDescent="0.25">
      <c r="A85" s="62"/>
      <c r="B85" s="64" t="s">
        <v>85</v>
      </c>
      <c r="C85" s="63">
        <f>C82+C84*C83</f>
        <v>24</v>
      </c>
      <c r="D85" s="62"/>
      <c r="E85" s="62"/>
    </row>
    <row r="89" spans="1:10" x14ac:dyDescent="0.25">
      <c r="B89" s="66" t="s">
        <v>84</v>
      </c>
      <c r="C89" s="66"/>
      <c r="D89" s="66" t="s">
        <v>83</v>
      </c>
      <c r="E89" s="67"/>
      <c r="F89" s="66"/>
    </row>
    <row r="90" spans="1:10" x14ac:dyDescent="0.25">
      <c r="B90" s="66"/>
      <c r="C90" s="66"/>
      <c r="D90" s="68" t="s">
        <v>82</v>
      </c>
      <c r="E90" s="69"/>
      <c r="F90" s="66"/>
    </row>
    <row r="91" spans="1:10" x14ac:dyDescent="0.25">
      <c r="B91" s="66" t="s">
        <v>81</v>
      </c>
      <c r="C91" s="66"/>
      <c r="D91" s="68" t="s">
        <v>80</v>
      </c>
      <c r="E91" s="69">
        <f>C19</f>
        <v>1.8816039257328663</v>
      </c>
      <c r="F91" s="66" t="s">
        <v>73</v>
      </c>
    </row>
    <row r="92" spans="1:10" x14ac:dyDescent="0.25">
      <c r="B92" s="33">
        <f>C8</f>
        <v>0</v>
      </c>
      <c r="C92" s="66" t="s">
        <v>73</v>
      </c>
      <c r="D92" s="68" t="s">
        <v>79</v>
      </c>
      <c r="E92" s="69">
        <f>C64</f>
        <v>2.1786802610929277</v>
      </c>
      <c r="F92" s="66" t="s">
        <v>73</v>
      </c>
    </row>
    <row r="93" spans="1:10" x14ac:dyDescent="0.25">
      <c r="B93" s="66" t="s">
        <v>78</v>
      </c>
      <c r="C93" s="66"/>
      <c r="D93" s="68" t="s">
        <v>77</v>
      </c>
      <c r="E93" s="70">
        <f>C43</f>
        <v>1.0312452020090406</v>
      </c>
      <c r="F93" s="66" t="s">
        <v>73</v>
      </c>
      <c r="H93" s="60" t="s">
        <v>72</v>
      </c>
      <c r="I93" s="60">
        <v>14</v>
      </c>
      <c r="J93" s="60">
        <f>(I94-I93)/1000</f>
        <v>6.0000000000000001E-3</v>
      </c>
    </row>
    <row r="94" spans="1:10" x14ac:dyDescent="0.25">
      <c r="B94" s="33">
        <f>C57</f>
        <v>0</v>
      </c>
      <c r="C94" s="66"/>
      <c r="D94" s="71" t="s">
        <v>76</v>
      </c>
      <c r="E94" s="72">
        <f>G60</f>
        <v>5.7735026918962582</v>
      </c>
      <c r="F94" s="66" t="s">
        <v>73</v>
      </c>
      <c r="H94" s="60" t="s">
        <v>71</v>
      </c>
      <c r="I94" s="60">
        <v>20</v>
      </c>
    </row>
    <row r="95" spans="1:10" x14ac:dyDescent="0.25">
      <c r="B95" s="33">
        <f>SQRT(B92^2+B94^2)</f>
        <v>0</v>
      </c>
      <c r="C95" s="66"/>
      <c r="D95" s="67"/>
      <c r="E95" s="73">
        <f>SQRT(E90^2+E91^2+E92^2+E93^2+E94^2)</f>
        <v>6.5332902134689599</v>
      </c>
      <c r="F95" s="66" t="s">
        <v>73</v>
      </c>
    </row>
    <row r="96" spans="1:10" x14ac:dyDescent="0.25">
      <c r="B96" s="74">
        <f>B95*2</f>
        <v>0</v>
      </c>
      <c r="C96" s="66"/>
      <c r="D96" s="75"/>
      <c r="E96" s="76">
        <f>E95*2</f>
        <v>13.06658042693792</v>
      </c>
      <c r="F96" s="66" t="s">
        <v>73</v>
      </c>
      <c r="H96" s="77" t="s">
        <v>75</v>
      </c>
      <c r="I96" s="77"/>
    </row>
    <row r="97" spans="2:9" x14ac:dyDescent="0.25">
      <c r="B97" s="66"/>
      <c r="C97" s="66"/>
      <c r="D97" s="67"/>
      <c r="E97" s="67"/>
      <c r="F97" s="66"/>
      <c r="H97" s="77"/>
      <c r="I97" s="77" t="s">
        <v>173</v>
      </c>
    </row>
    <row r="98" spans="2:9" x14ac:dyDescent="0.25">
      <c r="B98" s="78"/>
      <c r="C98" s="78"/>
      <c r="D98" s="67"/>
      <c r="E98" s="67"/>
      <c r="F98" s="66"/>
    </row>
    <row r="99" spans="2:9" ht="12.75" x14ac:dyDescent="0.25">
      <c r="B99" s="66"/>
      <c r="C99" s="79" t="s">
        <v>74</v>
      </c>
      <c r="D99" s="80"/>
      <c r="E99" s="81">
        <f>SQRT(B96^2+E96^2)</f>
        <v>13.06658042693792</v>
      </c>
      <c r="F99" s="79" t="s">
        <v>73</v>
      </c>
    </row>
    <row r="100" spans="2:9" x14ac:dyDescent="0.25">
      <c r="B100" s="66"/>
      <c r="C100" s="66"/>
      <c r="D100" s="67"/>
      <c r="E100" s="67"/>
      <c r="F100" s="66"/>
    </row>
    <row r="101" spans="2:9" x14ac:dyDescent="0.25">
      <c r="B101" s="82"/>
      <c r="C101" s="82"/>
      <c r="D101" s="83"/>
      <c r="E101" s="67"/>
      <c r="F101" s="66"/>
    </row>
    <row r="102" spans="2:9" x14ac:dyDescent="0.25">
      <c r="B102" s="82"/>
      <c r="C102" s="82"/>
      <c r="D102" s="83"/>
      <c r="E102" s="67"/>
      <c r="F102" s="66"/>
    </row>
    <row r="104" spans="2:9" x14ac:dyDescent="0.25">
      <c r="D104" s="60" t="s">
        <v>72</v>
      </c>
      <c r="E104" s="60">
        <v>12.4</v>
      </c>
      <c r="F104" s="16">
        <f>(E105-E104)/1000</f>
        <v>6.0999999999999995E-3</v>
      </c>
    </row>
    <row r="105" spans="2:9" x14ac:dyDescent="0.25">
      <c r="D105" s="60" t="s">
        <v>71</v>
      </c>
      <c r="E105" s="60">
        <v>18.5</v>
      </c>
    </row>
    <row r="107" spans="2:9" x14ac:dyDescent="0.25">
      <c r="D107" s="77" t="s">
        <v>70</v>
      </c>
      <c r="E107" s="77"/>
    </row>
    <row r="108" spans="2:9" x14ac:dyDescent="0.25">
      <c r="D108" s="77"/>
      <c r="E108" s="77" t="s">
        <v>69</v>
      </c>
    </row>
  </sheetData>
  <sheetProtection selectLockedCells="1" selectUnlockedCells="1"/>
  <mergeCells count="41">
    <mergeCell ref="B52:C52"/>
    <mergeCell ref="G2:L2"/>
    <mergeCell ref="O4:O5"/>
    <mergeCell ref="B11:C11"/>
    <mergeCell ref="G20:L20"/>
    <mergeCell ref="B22:C22"/>
    <mergeCell ref="B45:C45"/>
    <mergeCell ref="G36:L37"/>
    <mergeCell ref="G38:H40"/>
    <mergeCell ref="I38:L39"/>
    <mergeCell ref="I40:J40"/>
    <mergeCell ref="K40:L40"/>
    <mergeCell ref="G41:H41"/>
    <mergeCell ref="I41:J41"/>
    <mergeCell ref="K41:L41"/>
    <mergeCell ref="G42:H42"/>
    <mergeCell ref="I42:J42"/>
    <mergeCell ref="K42:L43"/>
    <mergeCell ref="G43:H43"/>
    <mergeCell ref="I43:J43"/>
    <mergeCell ref="G44:H44"/>
    <mergeCell ref="I44:J44"/>
    <mergeCell ref="K44:L45"/>
    <mergeCell ref="G45:H45"/>
    <mergeCell ref="I45:J45"/>
    <mergeCell ref="G34:L34"/>
    <mergeCell ref="G50:H50"/>
    <mergeCell ref="I50:J50"/>
    <mergeCell ref="K50:L51"/>
    <mergeCell ref="G51:H51"/>
    <mergeCell ref="I51:J51"/>
    <mergeCell ref="G48:H48"/>
    <mergeCell ref="I48:J48"/>
    <mergeCell ref="K48:L49"/>
    <mergeCell ref="G49:H49"/>
    <mergeCell ref="I49:J49"/>
    <mergeCell ref="G46:H46"/>
    <mergeCell ref="I46:J46"/>
    <mergeCell ref="K46:L47"/>
    <mergeCell ref="G47:H47"/>
    <mergeCell ref="I47:J47"/>
  </mergeCells>
  <printOptions horizontalCentered="1" verticalCentered="1"/>
  <pageMargins left="0.35433070866141736" right="0.35433070866141736" top="0.19685039370078741" bottom="0.19685039370078741" header="0" footer="0"/>
  <pageSetup scale="65"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2</vt:i4>
      </vt:variant>
    </vt:vector>
  </HeadingPairs>
  <TitlesOfParts>
    <vt:vector size="5" baseType="lpstr">
      <vt:lpstr>Datos</vt:lpstr>
      <vt:lpstr>Certificado </vt:lpstr>
      <vt:lpstr>Incertidumbre</vt:lpstr>
      <vt:lpstr>'Certificado '!Área_de_impresión</vt:lpstr>
      <vt:lpstr>Datos!Área_de_impresión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KALIBRIX</dc:creator>
  <cp:lastModifiedBy>Elizabeth Kalibrix</cp:lastModifiedBy>
  <cp:lastPrinted>2019-04-08T14:21:36Z</cp:lastPrinted>
  <dcterms:created xsi:type="dcterms:W3CDTF">2014-12-10T19:54:34Z</dcterms:created>
  <dcterms:modified xsi:type="dcterms:W3CDTF">2019-08-26T16:10:26Z</dcterms:modified>
</cp:coreProperties>
</file>